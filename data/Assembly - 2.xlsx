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https://people.ey.com/personal/asaf_damari_il_ey_com/Documents/Desktop/Digital Audit/Assembly/"/>
    </mc:Choice>
  </mc:AlternateContent>
  <xr:revisionPtr revIDLastSave="19" documentId="13_ncr:1_{DA828556-CAC8-409E-ADBB-190A5BAF6C2F}" xr6:coauthVersionLast="47" xr6:coauthVersionMax="47" xr10:uidLastSave="{E32CE321-66DF-4582-BA41-A168107F50B2}"/>
  <bookViews>
    <workbookView xWindow="-120" yWindow="-120" windowWidth="29040" windowHeight="15990" xr2:uid="{93E2FB0A-3C90-4A29-9C17-4AF1BDAB952C}"/>
  </bookViews>
  <sheets>
    <sheet name="2021" sheetId="2" r:id="rId1"/>
    <sheet name="TB LTD 2021" sheetId="1" r:id="rId2"/>
    <sheet name="AJE LTD" sheetId="4" r:id="rId3"/>
    <sheet name="TB INC" sheetId="8" r:id="rId4"/>
    <sheet name="AJE INC" sheetId="9" r:id="rId5"/>
    <sheet name="Equity " sheetId="10" r:id="rId6"/>
    <sheet name="CF " sheetId="11" r:id="rId7"/>
    <sheet name="Allocation - G&amp;A" sheetId="3" state="hidden" r:id="rId8"/>
    <sheet name="FS" sheetId="5" state="hidden" r:id="rId9"/>
    <sheet name="CF" sheetId="6" state="hidden" r:id="rId10"/>
    <sheet name="Equity" sheetId="7" state="hidden" r:id="rId11"/>
    <sheet name="Investment 2021" sheetId="12" state="hidden" r:id="rId12"/>
    <sheet name="Warrants" sheetId="13" state="hidden" r:id="rId13"/>
    <sheet name="TP 2021" sheetId="14"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A" localSheetId="5">'[1]טורים 98'!$HJ$133</definedName>
    <definedName name="\A">'[2]טורים 98'!$HJ$133</definedName>
    <definedName name="\B" localSheetId="6">#REF!</definedName>
    <definedName name="\B" localSheetId="5">#REF!</definedName>
    <definedName name="\B">#REF!</definedName>
    <definedName name="\C" localSheetId="5">'[1]טורים 98'!$HJ$154</definedName>
    <definedName name="\C">'[2]טורים 98'!$HJ$154</definedName>
    <definedName name="\D" localSheetId="6">'[2]טורים 98'!#REF!</definedName>
    <definedName name="\D" localSheetId="5">'[1]טורים 98'!#REF!</definedName>
    <definedName name="\D">'[2]טורים 98'!#REF!</definedName>
    <definedName name="\E" localSheetId="5">'[1]טורים 98'!$HJ$155</definedName>
    <definedName name="\E">'[2]טורים 98'!$HJ$155</definedName>
    <definedName name="\F" localSheetId="5">'[1]טורים 98'!$GS$2</definedName>
    <definedName name="\F">'[2]טורים 98'!$GS$2</definedName>
    <definedName name="\H" localSheetId="5">'[1]טורים 98'!$B$336</definedName>
    <definedName name="\H">'[2]טורים 98'!$B$336</definedName>
    <definedName name="\J" localSheetId="5">'[1]טורים 98'!$HJ$164</definedName>
    <definedName name="\J">'[2]טורים 98'!$HJ$164</definedName>
    <definedName name="\K" localSheetId="5">'[1]טורים 98'!$HJ$166</definedName>
    <definedName name="\K">'[2]טורים 98'!$HJ$166</definedName>
    <definedName name="\L" localSheetId="5">'[1]טורים 98'!$HJ$124</definedName>
    <definedName name="\L">'[2]טורים 98'!$HJ$124</definedName>
    <definedName name="\M" localSheetId="5">'[1]טורים 98'!$HJ$121</definedName>
    <definedName name="\M">'[2]טורים 98'!$HJ$121</definedName>
    <definedName name="\O" localSheetId="5">'[1]טורים 98'!$HJ$144</definedName>
    <definedName name="\O">'[2]טורים 98'!$HJ$144</definedName>
    <definedName name="\P" localSheetId="5">'[1]טורים 98'!$GT$13</definedName>
    <definedName name="\P">'[2]טורים 98'!$GT$13</definedName>
    <definedName name="\Q" localSheetId="5">'[1]טורים 98'!$HJ$127</definedName>
    <definedName name="\Q">'[2]טורים 98'!$HJ$127</definedName>
    <definedName name="\R" localSheetId="5">'[1]טורים 98'!$HJ$118</definedName>
    <definedName name="\R">'[2]טורים 98'!$HJ$118</definedName>
    <definedName name="\S" localSheetId="5">'[1]טורים 98'!$HJ$151</definedName>
    <definedName name="\S">'[2]טורים 98'!$HJ$151</definedName>
    <definedName name="\U" localSheetId="5">'[1]טורים 98'!$HJ$116</definedName>
    <definedName name="\U">'[2]טורים 98'!$HJ$116</definedName>
    <definedName name="\W" localSheetId="5">'[1]טורים 98'!$HJ$113</definedName>
    <definedName name="\W">'[2]טורים 98'!$HJ$113</definedName>
    <definedName name="\X" localSheetId="5">'[1]טורים 98'!$HJ$146</definedName>
    <definedName name="\X">'[2]טורים 98'!$HJ$146</definedName>
    <definedName name="\Y" localSheetId="5">'[1]טורים 98'!$GT$6</definedName>
    <definedName name="\Y">'[2]טורים 98'!$GT$6</definedName>
    <definedName name="\Z" localSheetId="5">'[1]טורים 98'!$HJ$129</definedName>
    <definedName name="\Z">'[2]טורים 98'!$HJ$129</definedName>
    <definedName name="_______DAT1" localSheetId="6">#REF!</definedName>
    <definedName name="_______DAT1" localSheetId="5">#REF!</definedName>
    <definedName name="_______DAT1">#REF!</definedName>
    <definedName name="_______DAT10" localSheetId="6">#REF!</definedName>
    <definedName name="_______DAT10" localSheetId="5">#REF!</definedName>
    <definedName name="_______DAT10">#REF!</definedName>
    <definedName name="_______DAT11" localSheetId="6">#REF!</definedName>
    <definedName name="_______DAT11" localSheetId="5">#REF!</definedName>
    <definedName name="_______DAT11">#REF!</definedName>
    <definedName name="_______DAT12" localSheetId="6">#REF!</definedName>
    <definedName name="_______DAT12" localSheetId="5">#REF!</definedName>
    <definedName name="_______DAT12">#REF!</definedName>
    <definedName name="_______DAT13" localSheetId="6">#REF!</definedName>
    <definedName name="_______DAT13" localSheetId="5">#REF!</definedName>
    <definedName name="_______DAT13">#REF!</definedName>
    <definedName name="_______DAT14" localSheetId="6">#REF!</definedName>
    <definedName name="_______DAT14" localSheetId="5">#REF!</definedName>
    <definedName name="_______DAT14">#REF!</definedName>
    <definedName name="_______DAT15" localSheetId="6">#REF!</definedName>
    <definedName name="_______DAT15" localSheetId="5">#REF!</definedName>
    <definedName name="_______DAT15">#REF!</definedName>
    <definedName name="_______DAT2" localSheetId="6">#REF!</definedName>
    <definedName name="_______DAT2" localSheetId="5">#REF!</definedName>
    <definedName name="_______DAT2">#REF!</definedName>
    <definedName name="_______DAT3" localSheetId="6">#REF!</definedName>
    <definedName name="_______DAT3" localSheetId="5">#REF!</definedName>
    <definedName name="_______DAT3">#REF!</definedName>
    <definedName name="_______DAT4" localSheetId="6">#REF!</definedName>
    <definedName name="_______DAT4" localSheetId="5">#REF!</definedName>
    <definedName name="_______DAT4">#REF!</definedName>
    <definedName name="_______DAT5" localSheetId="6">#REF!</definedName>
    <definedName name="_______DAT5" localSheetId="5">#REF!</definedName>
    <definedName name="_______DAT5">#REF!</definedName>
    <definedName name="_______DAT6" localSheetId="6">#REF!</definedName>
    <definedName name="_______DAT6" localSheetId="5">#REF!</definedName>
    <definedName name="_______DAT6">#REF!</definedName>
    <definedName name="_______DAT7" localSheetId="6">#REF!</definedName>
    <definedName name="_______DAT7" localSheetId="5">#REF!</definedName>
    <definedName name="_______DAT7">#REF!</definedName>
    <definedName name="_______DAT8" localSheetId="6">#REF!</definedName>
    <definedName name="_______DAT8" localSheetId="5">#REF!</definedName>
    <definedName name="_______DAT8">#REF!</definedName>
    <definedName name="_______DAT9" localSheetId="6">#REF!</definedName>
    <definedName name="_______DAT9" localSheetId="5">#REF!</definedName>
    <definedName name="_______DAT9">#REF!</definedName>
    <definedName name="_______ICP1" localSheetId="6">#REF!</definedName>
    <definedName name="_______ICP1" localSheetId="5">#REF!</definedName>
    <definedName name="_______ICP1">#REF!</definedName>
    <definedName name="_______ND1" localSheetId="6">#REF!</definedName>
    <definedName name="_______ND1" localSheetId="5">#REF!</definedName>
    <definedName name="_______ND1">#REF!</definedName>
    <definedName name="_______OM9" localSheetId="6">#REF!</definedName>
    <definedName name="_______OM9" localSheetId="5">#REF!</definedName>
    <definedName name="_______OM9">#REF!</definedName>
    <definedName name="_______rk1">[3]מעגלים!$A$1:$F$18,[3]מעגלים!$G$1:$L$18,[3]מעגלים!$M$1:$R$18,[3]מעגלים!$Y$1:$AD$18,[3]מעגלים!$AE$1:$AJ$18,[3]מעגלים!$AK$1:$AP$18,[3]מעגלים!$AQ$1:$AV$18,[3]מעגלים!$AW$1:$BB$18,[3]מעגלים!$BC$1:$BJ$18</definedName>
    <definedName name="_______RQ1" localSheetId="6">#REF!</definedName>
    <definedName name="_______RQ1" localSheetId="5">#REF!</definedName>
    <definedName name="_______RQ1">#REF!</definedName>
    <definedName name="_______RQ2" localSheetId="6">#REF!</definedName>
    <definedName name="_______RQ2" localSheetId="5">#REF!</definedName>
    <definedName name="_______RQ2">#REF!</definedName>
    <definedName name="_______RQS1" localSheetId="6">#REF!</definedName>
    <definedName name="_______RQS1" localSheetId="5">#REF!</definedName>
    <definedName name="_______RQS1">#REF!</definedName>
    <definedName name="_______RQS2" localSheetId="6">#REF!</definedName>
    <definedName name="_______RQS2" localSheetId="5">#REF!</definedName>
    <definedName name="_______RQS2">#REF!</definedName>
    <definedName name="_______TAD4" localSheetId="6">#REF!</definedName>
    <definedName name="_______TAD4" localSheetId="5">#REF!</definedName>
    <definedName name="_______TAD4">#REF!</definedName>
    <definedName name="_______TAD5" localSheetId="6">#REF!</definedName>
    <definedName name="_______TAD5" localSheetId="5">#REF!</definedName>
    <definedName name="_______TAD5">#REF!</definedName>
    <definedName name="_______us0301">'[4]מדדים ושע"ח'!$C$22</definedName>
    <definedName name="______DAT1" localSheetId="6">#REF!</definedName>
    <definedName name="______DAT1" localSheetId="5">#REF!</definedName>
    <definedName name="______DAT1">#REF!</definedName>
    <definedName name="______DAT10" localSheetId="6">#REF!</definedName>
    <definedName name="______DAT10" localSheetId="5">#REF!</definedName>
    <definedName name="______DAT10">#REF!</definedName>
    <definedName name="______DAT11" localSheetId="6">#REF!</definedName>
    <definedName name="______DAT11" localSheetId="5">#REF!</definedName>
    <definedName name="______DAT11">#REF!</definedName>
    <definedName name="______DAT12" localSheetId="6">#REF!</definedName>
    <definedName name="______DAT12" localSheetId="5">#REF!</definedName>
    <definedName name="______DAT12">#REF!</definedName>
    <definedName name="______DAT13" localSheetId="6">#REF!</definedName>
    <definedName name="______DAT13" localSheetId="5">#REF!</definedName>
    <definedName name="______DAT13">#REF!</definedName>
    <definedName name="______DAT14" localSheetId="6">#REF!</definedName>
    <definedName name="______DAT14" localSheetId="5">#REF!</definedName>
    <definedName name="______DAT14">#REF!</definedName>
    <definedName name="______DAT15" localSheetId="6">#REF!</definedName>
    <definedName name="______DAT15" localSheetId="5">#REF!</definedName>
    <definedName name="______DAT15">#REF!</definedName>
    <definedName name="______DAT2" localSheetId="6">#REF!</definedName>
    <definedName name="______DAT2" localSheetId="5">#REF!</definedName>
    <definedName name="______DAT2">#REF!</definedName>
    <definedName name="______DAT3" localSheetId="6">#REF!</definedName>
    <definedName name="______DAT3" localSheetId="5">#REF!</definedName>
    <definedName name="______DAT3">#REF!</definedName>
    <definedName name="______DAT4" localSheetId="6">#REF!</definedName>
    <definedName name="______DAT4" localSheetId="5">#REF!</definedName>
    <definedName name="______DAT4">#REF!</definedName>
    <definedName name="______DAT5" localSheetId="6">#REF!</definedName>
    <definedName name="______DAT5" localSheetId="5">#REF!</definedName>
    <definedName name="______DAT5">#REF!</definedName>
    <definedName name="______DAT6" localSheetId="6">#REF!</definedName>
    <definedName name="______DAT6" localSheetId="5">#REF!</definedName>
    <definedName name="______DAT6">#REF!</definedName>
    <definedName name="______DAT7" localSheetId="6">#REF!</definedName>
    <definedName name="______DAT7" localSheetId="5">#REF!</definedName>
    <definedName name="______DAT7">#REF!</definedName>
    <definedName name="______DAT8" localSheetId="6">#REF!</definedName>
    <definedName name="______DAT8" localSheetId="5">#REF!</definedName>
    <definedName name="______DAT8">#REF!</definedName>
    <definedName name="______DAT9" localSheetId="6">#REF!</definedName>
    <definedName name="______DAT9" localSheetId="5">#REF!</definedName>
    <definedName name="______DAT9">#REF!</definedName>
    <definedName name="______ICP1" localSheetId="6">#REF!</definedName>
    <definedName name="______ICP1" localSheetId="5">#REF!</definedName>
    <definedName name="______ICP1">#REF!</definedName>
    <definedName name="______ND1" localSheetId="6">#REF!</definedName>
    <definedName name="______ND1" localSheetId="5">#REF!</definedName>
    <definedName name="______ND1">#REF!</definedName>
    <definedName name="______OM9" localSheetId="6">#REF!</definedName>
    <definedName name="______OM9" localSheetId="5">#REF!</definedName>
    <definedName name="______OM9">#REF!</definedName>
    <definedName name="______rk1">[3]מעגלים!$A$1:$F$18,[3]מעגלים!$G$1:$L$18,[3]מעגלים!$M$1:$R$18,[3]מעגלים!$Y$1:$AD$18,[3]מעגלים!$AE$1:$AJ$18,[3]מעגלים!$AK$1:$AP$18,[3]מעגלים!$AQ$1:$AV$18,[3]מעגלים!$AW$1:$BB$18,[3]מעגלים!$BC$1:$BJ$18</definedName>
    <definedName name="______RQ1" localSheetId="6">#REF!</definedName>
    <definedName name="______RQ1" localSheetId="5">#REF!</definedName>
    <definedName name="______RQ1">#REF!</definedName>
    <definedName name="______RQ2" localSheetId="6">#REF!</definedName>
    <definedName name="______RQ2" localSheetId="5">#REF!</definedName>
    <definedName name="______RQ2">#REF!</definedName>
    <definedName name="______RQS1" localSheetId="6">#REF!</definedName>
    <definedName name="______RQS1" localSheetId="5">#REF!</definedName>
    <definedName name="______RQS1">#REF!</definedName>
    <definedName name="______RQS2" localSheetId="6">#REF!</definedName>
    <definedName name="______RQS2" localSheetId="5">#REF!</definedName>
    <definedName name="______RQS2">#REF!</definedName>
    <definedName name="______TAD4" localSheetId="6">#REF!</definedName>
    <definedName name="______TAD4" localSheetId="5">#REF!</definedName>
    <definedName name="______TAD4">#REF!</definedName>
    <definedName name="______TAD5" localSheetId="6">#REF!</definedName>
    <definedName name="______TAD5" localSheetId="5">#REF!</definedName>
    <definedName name="______TAD5">#REF!</definedName>
    <definedName name="______us0301">'[4]מדדים ושע"ח'!$C$22</definedName>
    <definedName name="_____DAT1" localSheetId="6">#REF!</definedName>
    <definedName name="_____DAT1" localSheetId="5">#REF!</definedName>
    <definedName name="_____DAT1">#REF!</definedName>
    <definedName name="_____DAT10" localSheetId="6">#REF!</definedName>
    <definedName name="_____DAT10" localSheetId="5">#REF!</definedName>
    <definedName name="_____DAT10">#REF!</definedName>
    <definedName name="_____DAT11" localSheetId="6">#REF!</definedName>
    <definedName name="_____DAT11" localSheetId="5">#REF!</definedName>
    <definedName name="_____DAT11">#REF!</definedName>
    <definedName name="_____DAT12" localSheetId="6">#REF!</definedName>
    <definedName name="_____DAT12" localSheetId="5">#REF!</definedName>
    <definedName name="_____DAT12">#REF!</definedName>
    <definedName name="_____DAT13" localSheetId="6">#REF!</definedName>
    <definedName name="_____DAT13" localSheetId="5">#REF!</definedName>
    <definedName name="_____DAT13">#REF!</definedName>
    <definedName name="_____DAT14" localSheetId="6">#REF!</definedName>
    <definedName name="_____DAT14" localSheetId="5">#REF!</definedName>
    <definedName name="_____DAT14">#REF!</definedName>
    <definedName name="_____DAT15" localSheetId="6">#REF!</definedName>
    <definedName name="_____DAT15" localSheetId="5">#REF!</definedName>
    <definedName name="_____DAT15">#REF!</definedName>
    <definedName name="_____DAT2" localSheetId="6">#REF!</definedName>
    <definedName name="_____DAT2" localSheetId="5">#REF!</definedName>
    <definedName name="_____DAT2">#REF!</definedName>
    <definedName name="_____DAT3" localSheetId="6">#REF!</definedName>
    <definedName name="_____DAT3" localSheetId="5">#REF!</definedName>
    <definedName name="_____DAT3">#REF!</definedName>
    <definedName name="_____DAT4" localSheetId="6">#REF!</definedName>
    <definedName name="_____DAT4" localSheetId="5">#REF!</definedName>
    <definedName name="_____DAT4">#REF!</definedName>
    <definedName name="_____DAT5" localSheetId="6">#REF!</definedName>
    <definedName name="_____DAT5" localSheetId="5">#REF!</definedName>
    <definedName name="_____DAT5">#REF!</definedName>
    <definedName name="_____DAT6" localSheetId="6">#REF!</definedName>
    <definedName name="_____DAT6" localSheetId="5">#REF!</definedName>
    <definedName name="_____DAT6">#REF!</definedName>
    <definedName name="_____DAT7" localSheetId="6">#REF!</definedName>
    <definedName name="_____DAT7" localSheetId="5">#REF!</definedName>
    <definedName name="_____DAT7">#REF!</definedName>
    <definedName name="_____DAT8" localSheetId="6">#REF!</definedName>
    <definedName name="_____DAT8" localSheetId="5">#REF!</definedName>
    <definedName name="_____DAT8">#REF!</definedName>
    <definedName name="_____DAT9" localSheetId="6">#REF!</definedName>
    <definedName name="_____DAT9" localSheetId="5">#REF!</definedName>
    <definedName name="_____DAT9">#REF!</definedName>
    <definedName name="_____ICP1" localSheetId="6">#REF!</definedName>
    <definedName name="_____ICP1" localSheetId="5">#REF!</definedName>
    <definedName name="_____ICP1">#REF!</definedName>
    <definedName name="_____ND1" localSheetId="6">#REF!</definedName>
    <definedName name="_____ND1" localSheetId="5">#REF!</definedName>
    <definedName name="_____ND1">#REF!</definedName>
    <definedName name="_____OM9" localSheetId="6">#REF!</definedName>
    <definedName name="_____OM9" localSheetId="5">#REF!</definedName>
    <definedName name="_____OM9">#REF!</definedName>
    <definedName name="_____rk1">[3]מעגלים!$A$1:$F$18,[3]מעגלים!$G$1:$L$18,[3]מעגלים!$M$1:$R$18,[3]מעגלים!$Y$1:$AD$18,[3]מעגלים!$AE$1:$AJ$18,[3]מעגלים!$AK$1:$AP$18,[3]מעגלים!$AQ$1:$AV$18,[3]מעגלים!$AW$1:$BB$18,[3]מעגלים!$BC$1:$BJ$18</definedName>
    <definedName name="_____RQ1" localSheetId="6">#REF!</definedName>
    <definedName name="_____RQ1" localSheetId="5">#REF!</definedName>
    <definedName name="_____RQ1">#REF!</definedName>
    <definedName name="_____RQ2" localSheetId="6">#REF!</definedName>
    <definedName name="_____RQ2" localSheetId="5">#REF!</definedName>
    <definedName name="_____RQ2">#REF!</definedName>
    <definedName name="_____RQS1" localSheetId="6">#REF!</definedName>
    <definedName name="_____RQS1" localSheetId="5">#REF!</definedName>
    <definedName name="_____RQS1">#REF!</definedName>
    <definedName name="_____RQS2" localSheetId="6">#REF!</definedName>
    <definedName name="_____RQS2" localSheetId="5">#REF!</definedName>
    <definedName name="_____RQS2">#REF!</definedName>
    <definedName name="_____TAD4" localSheetId="6">#REF!</definedName>
    <definedName name="_____TAD4" localSheetId="5">#REF!</definedName>
    <definedName name="_____TAD4">#REF!</definedName>
    <definedName name="_____TAD5" localSheetId="6">#REF!</definedName>
    <definedName name="_____TAD5" localSheetId="5">#REF!</definedName>
    <definedName name="_____TAD5">#REF!</definedName>
    <definedName name="_____us0301">'[4]מדדים ושע"ח'!$C$22</definedName>
    <definedName name="____DAT1" localSheetId="6">#REF!</definedName>
    <definedName name="____DAT1" localSheetId="5">#REF!</definedName>
    <definedName name="____DAT1">#REF!</definedName>
    <definedName name="____DAT10" localSheetId="6">#REF!</definedName>
    <definedName name="____DAT10" localSheetId="5">#REF!</definedName>
    <definedName name="____DAT10">#REF!</definedName>
    <definedName name="____DAT11" localSheetId="6">#REF!</definedName>
    <definedName name="____DAT11" localSheetId="5">#REF!</definedName>
    <definedName name="____DAT11">#REF!</definedName>
    <definedName name="____DAT12" localSheetId="6">#REF!</definedName>
    <definedName name="____DAT12" localSheetId="5">#REF!</definedName>
    <definedName name="____DAT12">#REF!</definedName>
    <definedName name="____DAT13" localSheetId="6">#REF!</definedName>
    <definedName name="____DAT13" localSheetId="5">#REF!</definedName>
    <definedName name="____DAT13">#REF!</definedName>
    <definedName name="____DAT14" localSheetId="6">#REF!</definedName>
    <definedName name="____DAT14" localSheetId="5">#REF!</definedName>
    <definedName name="____DAT14">#REF!</definedName>
    <definedName name="____DAT15" localSheetId="6">#REF!</definedName>
    <definedName name="____DAT15" localSheetId="5">#REF!</definedName>
    <definedName name="____DAT15">#REF!</definedName>
    <definedName name="____DAT2" localSheetId="6">#REF!</definedName>
    <definedName name="____DAT2" localSheetId="5">#REF!</definedName>
    <definedName name="____DAT2">#REF!</definedName>
    <definedName name="____DAT3" localSheetId="6">#REF!</definedName>
    <definedName name="____DAT3" localSheetId="5">#REF!</definedName>
    <definedName name="____DAT3">#REF!</definedName>
    <definedName name="____DAT4" localSheetId="6">#REF!</definedName>
    <definedName name="____DAT4" localSheetId="5">#REF!</definedName>
    <definedName name="____DAT4">#REF!</definedName>
    <definedName name="____DAT5" localSheetId="6">#REF!</definedName>
    <definedName name="____DAT5" localSheetId="5">#REF!</definedName>
    <definedName name="____DAT5">#REF!</definedName>
    <definedName name="____DAT6" localSheetId="6">#REF!</definedName>
    <definedName name="____DAT6" localSheetId="5">#REF!</definedName>
    <definedName name="____DAT6">#REF!</definedName>
    <definedName name="____DAT7" localSheetId="6">#REF!</definedName>
    <definedName name="____DAT7" localSheetId="5">#REF!</definedName>
    <definedName name="____DAT7">#REF!</definedName>
    <definedName name="____DAT8" localSheetId="6">#REF!</definedName>
    <definedName name="____DAT8" localSheetId="5">#REF!</definedName>
    <definedName name="____DAT8">#REF!</definedName>
    <definedName name="____DAT9" localSheetId="6">#REF!</definedName>
    <definedName name="____DAT9" localSheetId="5">#REF!</definedName>
    <definedName name="____DAT9">#REF!</definedName>
    <definedName name="____ICP1" localSheetId="6">#REF!</definedName>
    <definedName name="____ICP1" localSheetId="5">#REF!</definedName>
    <definedName name="____ICP1">#REF!</definedName>
    <definedName name="____ND1" localSheetId="6">#REF!</definedName>
    <definedName name="____ND1" localSheetId="5">#REF!</definedName>
    <definedName name="____ND1">#REF!</definedName>
    <definedName name="____OM9" localSheetId="6">#REF!</definedName>
    <definedName name="____OM9" localSheetId="5">#REF!</definedName>
    <definedName name="____OM9">#REF!</definedName>
    <definedName name="____rk1">[3]מעגלים!$A$1:$F$18,[3]מעגלים!$G$1:$L$18,[3]מעגלים!$M$1:$R$18,[3]מעגלים!$Y$1:$AD$18,[3]מעגלים!$AE$1:$AJ$18,[3]מעגלים!$AK$1:$AP$18,[3]מעגלים!$AQ$1:$AV$18,[3]מעגלים!$AW$1:$BB$18,[3]מעגלים!$BC$1:$BJ$18</definedName>
    <definedName name="____RQ1" localSheetId="6">#REF!</definedName>
    <definedName name="____RQ1" localSheetId="5">#REF!</definedName>
    <definedName name="____RQ1">#REF!</definedName>
    <definedName name="____RQ2" localSheetId="6">#REF!</definedName>
    <definedName name="____RQ2" localSheetId="5">#REF!</definedName>
    <definedName name="____RQ2">#REF!</definedName>
    <definedName name="____RQS1" localSheetId="6">#REF!</definedName>
    <definedName name="____RQS1" localSheetId="5">#REF!</definedName>
    <definedName name="____RQS1">#REF!</definedName>
    <definedName name="____RQS2" localSheetId="6">#REF!</definedName>
    <definedName name="____RQS2" localSheetId="5">#REF!</definedName>
    <definedName name="____RQS2">#REF!</definedName>
    <definedName name="____TAD4" localSheetId="6">#REF!</definedName>
    <definedName name="____TAD4" localSheetId="5">#REF!</definedName>
    <definedName name="____TAD4">#REF!</definedName>
    <definedName name="____TAD5" localSheetId="6">#REF!</definedName>
    <definedName name="____TAD5" localSheetId="5">#REF!</definedName>
    <definedName name="____TAD5">#REF!</definedName>
    <definedName name="____us0301">'[4]מדדים ושע"ח'!$C$22</definedName>
    <definedName name="___DAT1" localSheetId="6">#REF!</definedName>
    <definedName name="___DAT1" localSheetId="5">#REF!</definedName>
    <definedName name="___DAT1">#REF!</definedName>
    <definedName name="___DAT10" localSheetId="6">#REF!</definedName>
    <definedName name="___DAT10" localSheetId="5">#REF!</definedName>
    <definedName name="___DAT10">#REF!</definedName>
    <definedName name="___DAT11" localSheetId="6">#REF!</definedName>
    <definedName name="___DAT11" localSheetId="5">#REF!</definedName>
    <definedName name="___DAT11">#REF!</definedName>
    <definedName name="___DAT12" localSheetId="6">#REF!</definedName>
    <definedName name="___DAT12" localSheetId="5">#REF!</definedName>
    <definedName name="___DAT12">#REF!</definedName>
    <definedName name="___DAT13" localSheetId="6">#REF!</definedName>
    <definedName name="___DAT13" localSheetId="5">#REF!</definedName>
    <definedName name="___DAT13">#REF!</definedName>
    <definedName name="___DAT14" localSheetId="6">#REF!</definedName>
    <definedName name="___DAT14" localSheetId="5">#REF!</definedName>
    <definedName name="___DAT14">#REF!</definedName>
    <definedName name="___DAT15" localSheetId="6">#REF!</definedName>
    <definedName name="___DAT15" localSheetId="5">#REF!</definedName>
    <definedName name="___DAT15">#REF!</definedName>
    <definedName name="___DAT2" localSheetId="6">#REF!</definedName>
    <definedName name="___DAT2" localSheetId="5">#REF!</definedName>
    <definedName name="___DAT2">#REF!</definedName>
    <definedName name="___DAT3" localSheetId="6">#REF!</definedName>
    <definedName name="___DAT3" localSheetId="5">#REF!</definedName>
    <definedName name="___DAT3">#REF!</definedName>
    <definedName name="___DAT4" localSheetId="6">#REF!</definedName>
    <definedName name="___DAT4" localSheetId="5">#REF!</definedName>
    <definedName name="___DAT4">#REF!</definedName>
    <definedName name="___DAT5" localSheetId="6">#REF!</definedName>
    <definedName name="___DAT5" localSheetId="5">#REF!</definedName>
    <definedName name="___DAT5">#REF!</definedName>
    <definedName name="___DAT6" localSheetId="6">#REF!</definedName>
    <definedName name="___DAT6" localSheetId="5">#REF!</definedName>
    <definedName name="___DAT6">#REF!</definedName>
    <definedName name="___DAT7" localSheetId="6">#REF!</definedName>
    <definedName name="___DAT7" localSheetId="5">#REF!</definedName>
    <definedName name="___DAT7">#REF!</definedName>
    <definedName name="___DAT8" localSheetId="6">#REF!</definedName>
    <definedName name="___DAT8" localSheetId="5">#REF!</definedName>
    <definedName name="___DAT8">#REF!</definedName>
    <definedName name="___DAT9" localSheetId="6">#REF!</definedName>
    <definedName name="___DAT9" localSheetId="5">#REF!</definedName>
    <definedName name="___DAT9">#REF!</definedName>
    <definedName name="___ICP1" localSheetId="6">#REF!</definedName>
    <definedName name="___ICP1" localSheetId="5">#REF!</definedName>
    <definedName name="___ICP1">#REF!</definedName>
    <definedName name="___ND1" localSheetId="6">#REF!</definedName>
    <definedName name="___ND1" localSheetId="5">#REF!</definedName>
    <definedName name="___ND1">#REF!</definedName>
    <definedName name="___OM9" localSheetId="6">#REF!</definedName>
    <definedName name="___OM9" localSheetId="5">#REF!</definedName>
    <definedName name="___OM9">#REF!</definedName>
    <definedName name="___rk1">[3]מעגלים!$A$1:$F$18,[3]מעגלים!$G$1:$L$18,[3]מעגלים!$M$1:$R$18,[3]מעגלים!$Y$1:$AD$18,[3]מעגלים!$AE$1:$AJ$18,[3]מעגלים!$AK$1:$AP$18,[3]מעגלים!$AQ$1:$AV$18,[3]מעגלים!$AW$1:$BB$18,[3]מעגלים!$BC$1:$BJ$18</definedName>
    <definedName name="___RQ1" localSheetId="6">#REF!</definedName>
    <definedName name="___RQ1" localSheetId="5">#REF!</definedName>
    <definedName name="___RQ1">#REF!</definedName>
    <definedName name="___RQ2" localSheetId="6">#REF!</definedName>
    <definedName name="___RQ2" localSheetId="5">#REF!</definedName>
    <definedName name="___RQ2">#REF!</definedName>
    <definedName name="___RQS1" localSheetId="6">#REF!</definedName>
    <definedName name="___RQS1" localSheetId="5">#REF!</definedName>
    <definedName name="___RQS1">#REF!</definedName>
    <definedName name="___RQS2" localSheetId="6">#REF!</definedName>
    <definedName name="___RQS2" localSheetId="5">#REF!</definedName>
    <definedName name="___RQS2">#REF!</definedName>
    <definedName name="___TAD4" localSheetId="6">#REF!</definedName>
    <definedName name="___TAD4" localSheetId="5">#REF!</definedName>
    <definedName name="___TAD4">#REF!</definedName>
    <definedName name="___TAD5" localSheetId="6">#REF!</definedName>
    <definedName name="___TAD5" localSheetId="5">#REF!</definedName>
    <definedName name="___TAD5">#REF!</definedName>
    <definedName name="___us0301">'[4]מדדים ושע"ח'!$C$22</definedName>
    <definedName name="__a1" localSheetId="6" hidden="1">{"mgmt forecast",#N/A,FALSE,"Mgmt Forecast";"dcf table",#N/A,FALSE,"Mgmt Forecast";"sensitivity",#N/A,FALSE,"Mgmt Forecast";"table inputs",#N/A,FALSE,"Mgmt Forecast";"calculations",#N/A,FALSE,"Mgmt Forecast"}</definedName>
    <definedName name="__a1" localSheetId="5" hidden="1">{"mgmt forecast",#N/A,FALSE,"Mgmt Forecast";"dcf table",#N/A,FALSE,"Mgmt Forecast";"sensitivity",#N/A,FALSE,"Mgmt Forecast";"table inputs",#N/A,FALSE,"Mgmt Forecast";"calculations",#N/A,FALSE,"Mgmt Forecast"}</definedName>
    <definedName name="__a1" hidden="1">{"mgmt forecast",#N/A,FALSE,"Mgmt Forecast";"dcf table",#N/A,FALSE,"Mgmt Forecast";"sensitivity",#N/A,FALSE,"Mgmt Forecast";"table inputs",#N/A,FALSE,"Mgmt Forecast";"calculations",#N/A,FALSE,"Mgmt Forecast"}</definedName>
    <definedName name="__a2" localSheetId="6" hidden="1">{"mgmt forecast",#N/A,FALSE,"Mgmt Forecast";"dcf table",#N/A,FALSE,"Mgmt Forecast";"sensitivity",#N/A,FALSE,"Mgmt Forecast";"table inputs",#N/A,FALSE,"Mgmt Forecast";"calculations",#N/A,FALSE,"Mgmt Forecast"}</definedName>
    <definedName name="__a2" localSheetId="5" hidden="1">{"mgmt forecast",#N/A,FALSE,"Mgmt Forecast";"dcf table",#N/A,FALSE,"Mgmt Forecast";"sensitivity",#N/A,FALSE,"Mgmt Forecast";"table inputs",#N/A,FALSE,"Mgmt Forecast";"calculations",#N/A,FALSE,"Mgmt Forecast"}</definedName>
    <definedName name="__a2" hidden="1">{"mgmt forecast",#N/A,FALSE,"Mgmt Forecast";"dcf table",#N/A,FALSE,"Mgmt Forecast";"sensitivity",#N/A,FALSE,"Mgmt Forecast";"table inputs",#N/A,FALSE,"Mgmt Forecast";"calculations",#N/A,FALSE,"Mgmt Forecast"}</definedName>
    <definedName name="__app4" localSheetId="6" hidden="1">{#N/A,#N/A,TRUE,"Cover sheet";#N/A,#N/A,TRUE,"Summary";#N/A,#N/A,TRUE,"Key Assumptions";#N/A,#N/A,TRUE,"Profit &amp; Loss";#N/A,#N/A,TRUE,"Balance Sheet";#N/A,#N/A,TRUE,"Cashflow";#N/A,#N/A,TRUE,"IRR";#N/A,#N/A,TRUE,"Ratios";#N/A,#N/A,TRUE,"Debt analysis"}</definedName>
    <definedName name="__app4" localSheetId="5" hidden="1">{#N/A,#N/A,TRUE,"Cover sheet";#N/A,#N/A,TRUE,"Summary";#N/A,#N/A,TRUE,"Key Assumptions";#N/A,#N/A,TRUE,"Profit &amp; Loss";#N/A,#N/A,TRUE,"Balance Sheet";#N/A,#N/A,TRUE,"Cashflow";#N/A,#N/A,TRUE,"IRR";#N/A,#N/A,TRUE,"Ratios";#N/A,#N/A,TRUE,"Debt analysis"}</definedName>
    <definedName name="__app4" hidden="1">{#N/A,#N/A,TRUE,"Cover sheet";#N/A,#N/A,TRUE,"Summary";#N/A,#N/A,TRUE,"Key Assumptions";#N/A,#N/A,TRUE,"Profit &amp; Loss";#N/A,#N/A,TRUE,"Balance Sheet";#N/A,#N/A,TRUE,"Cashflow";#N/A,#N/A,TRUE,"IRR";#N/A,#N/A,TRUE,"Ratios";#N/A,#N/A,TRUE,"Debt analysis"}</definedName>
    <definedName name="__Aug98">'[5]הקצאות מימושים ופקיעות'!#REF!</definedName>
    <definedName name="__DAT1" localSheetId="6">#REF!</definedName>
    <definedName name="__DAT1" localSheetId="5">#REF!</definedName>
    <definedName name="__DAT1">#REF!</definedName>
    <definedName name="__DAT10" localSheetId="6">#REF!</definedName>
    <definedName name="__DAT10" localSheetId="5">#REF!</definedName>
    <definedName name="__DAT10">#REF!</definedName>
    <definedName name="__DAT11" localSheetId="6">#REF!</definedName>
    <definedName name="__DAT11" localSheetId="5">#REF!</definedName>
    <definedName name="__DAT11">#REF!</definedName>
    <definedName name="__DAT12" localSheetId="6">#REF!</definedName>
    <definedName name="__DAT12" localSheetId="5">#REF!</definedName>
    <definedName name="__DAT12">#REF!</definedName>
    <definedName name="__DAT13" localSheetId="6">#REF!</definedName>
    <definedName name="__DAT13" localSheetId="5">#REF!</definedName>
    <definedName name="__DAT13">#REF!</definedName>
    <definedName name="__DAT14" localSheetId="6">#REF!</definedName>
    <definedName name="__DAT14" localSheetId="5">#REF!</definedName>
    <definedName name="__DAT14">#REF!</definedName>
    <definedName name="__DAT15" localSheetId="6">#REF!</definedName>
    <definedName name="__DAT15" localSheetId="5">#REF!</definedName>
    <definedName name="__DAT15">#REF!</definedName>
    <definedName name="__DAT2" localSheetId="6">#REF!</definedName>
    <definedName name="__DAT2" localSheetId="5">#REF!</definedName>
    <definedName name="__DAT2">#REF!</definedName>
    <definedName name="__DAT3" localSheetId="6">#REF!</definedName>
    <definedName name="__DAT3" localSheetId="5">#REF!</definedName>
    <definedName name="__DAT3">#REF!</definedName>
    <definedName name="__DAT4" localSheetId="6">#REF!</definedName>
    <definedName name="__DAT4" localSheetId="5">#REF!</definedName>
    <definedName name="__DAT4">#REF!</definedName>
    <definedName name="__DAT5" localSheetId="6">#REF!</definedName>
    <definedName name="__DAT5" localSheetId="5">#REF!</definedName>
    <definedName name="__DAT5">#REF!</definedName>
    <definedName name="__DAT6" localSheetId="6">#REF!</definedName>
    <definedName name="__DAT6" localSheetId="5">#REF!</definedName>
    <definedName name="__DAT6">#REF!</definedName>
    <definedName name="__DAT7" localSheetId="6">#REF!</definedName>
    <definedName name="__DAT7" localSheetId="5">#REF!</definedName>
    <definedName name="__DAT7">#REF!</definedName>
    <definedName name="__DAT8" localSheetId="6">#REF!</definedName>
    <definedName name="__DAT8" localSheetId="5">#REF!</definedName>
    <definedName name="__DAT8">#REF!</definedName>
    <definedName name="__DAT9" localSheetId="6">#REF!</definedName>
    <definedName name="__DAT9" localSheetId="5">#REF!</definedName>
    <definedName name="__DAT9">#REF!</definedName>
    <definedName name="__DCF1" localSheetId="6" hidden="1">{"Back Page",#N/A,FALSE,"Front and Back"}</definedName>
    <definedName name="__DCF1" localSheetId="5" hidden="1">{"Back Page",#N/A,FALSE,"Front and Back"}</definedName>
    <definedName name="__DCF1" hidden="1">{"Back Page",#N/A,FALSE,"Front and Back"}</definedName>
    <definedName name="__DEC90">#REF!</definedName>
    <definedName name="__DEC91" localSheetId="5">#REF!</definedName>
    <definedName name="__DEC91">#REF!</definedName>
    <definedName name="__DEC92" localSheetId="5">#REF!</definedName>
    <definedName name="__DEC92">#REF!</definedName>
    <definedName name="__DEC93">#REF!</definedName>
    <definedName name="__FDS_HYPERLINK_TOGGLE_STATE__" hidden="1">"ON"</definedName>
    <definedName name="__feb99" localSheetId="5">'[5]הקצאות מימושים ופקיעות'!#REF!</definedName>
    <definedName name="__feb99">'[5]הקצאות מימושים ופקיעות'!#REF!</definedName>
    <definedName name="__ICP1" localSheetId="6">#REF!</definedName>
    <definedName name="__ICP1" localSheetId="5">#REF!</definedName>
    <definedName name="__ICP1">#REF!</definedName>
    <definedName name="__JUN94">#REF!</definedName>
    <definedName name="__MAR94">#REF!</definedName>
    <definedName name="__May98" localSheetId="5">'[5]הקצאות מימושים ופקיעות'!#REF!</definedName>
    <definedName name="__May98">'[5]הקצאות מימושים ופקיעות'!#REF!</definedName>
    <definedName name="__ND1" localSheetId="6">#REF!</definedName>
    <definedName name="__ND1" localSheetId="5">#REF!</definedName>
    <definedName name="__ND1">#REF!</definedName>
    <definedName name="__OM9" localSheetId="6">#REF!</definedName>
    <definedName name="__OM9" localSheetId="5">#REF!</definedName>
    <definedName name="__OM9">#REF!</definedName>
    <definedName name="__rk1">[3]מעגלים!$A$1:$F$18,[3]מעגלים!$G$1:$L$18,[3]מעגלים!$M$1:$R$18,[3]מעגלים!$Y$1:$AD$18,[3]מעגלים!$AE$1:$AJ$18,[3]מעגלים!$AK$1:$AP$18,[3]מעגלים!$AQ$1:$AV$18,[3]מעגלים!$AW$1:$BB$18,[3]מעגלים!$BC$1:$BJ$18</definedName>
    <definedName name="__RQ1" localSheetId="6">#REF!</definedName>
    <definedName name="__RQ1" localSheetId="5">#REF!</definedName>
    <definedName name="__RQ1">#REF!</definedName>
    <definedName name="__RQ2" localSheetId="6">#REF!</definedName>
    <definedName name="__RQ2" localSheetId="5">#REF!</definedName>
    <definedName name="__RQ2">#REF!</definedName>
    <definedName name="__RQS1" localSheetId="6">#REF!</definedName>
    <definedName name="__RQS1" localSheetId="5">#REF!</definedName>
    <definedName name="__RQS1">#REF!</definedName>
    <definedName name="__RQS2" localSheetId="6">#REF!</definedName>
    <definedName name="__RQS2" localSheetId="5">#REF!</definedName>
    <definedName name="__RQS2">#REF!</definedName>
    <definedName name="__SEP92">#REF!</definedName>
    <definedName name="__SEP93">#REF!</definedName>
    <definedName name="__SEP94">#REF!</definedName>
    <definedName name="__TAD4" localSheetId="6">#REF!</definedName>
    <definedName name="__TAD4" localSheetId="5">#REF!</definedName>
    <definedName name="__TAD4">#REF!</definedName>
    <definedName name="__TAD5" localSheetId="6">#REF!</definedName>
    <definedName name="__TAD5" localSheetId="5">#REF!</definedName>
    <definedName name="__TAD5">#REF!</definedName>
    <definedName name="__us0301">'[4]מדדים ושע"ח'!$C$22</definedName>
    <definedName name="_0.5MM" localSheetId="6">#REF!</definedName>
    <definedName name="_0.5MM" localSheetId="5">#REF!</definedName>
    <definedName name="_0.5MM">#REF!</definedName>
    <definedName name="_0A1" localSheetId="6">#REF!</definedName>
    <definedName name="_0A1" localSheetId="5">#REF!</definedName>
    <definedName name="_0A1">#REF!</definedName>
    <definedName name="_0AG9" localSheetId="6">#REF!</definedName>
    <definedName name="_0AG9" localSheetId="5">#REF!</definedName>
    <definedName name="_0AG9">#REF!</definedName>
    <definedName name="_0AI" localSheetId="6">#REF!</definedName>
    <definedName name="_0AI" localSheetId="5">#REF!</definedName>
    <definedName name="_0AI">#REF!</definedName>
    <definedName name="_0D" localSheetId="6">#REF!</definedName>
    <definedName name="_0D" localSheetId="5">#REF!</definedName>
    <definedName name="_0D">#REF!</definedName>
    <definedName name="_0D9" localSheetId="6">#REF!</definedName>
    <definedName name="_0D9" localSheetId="5">#REF!</definedName>
    <definedName name="_0D9">#REF!</definedName>
    <definedName name="_0E" localSheetId="6">#REF!</definedName>
    <definedName name="_0E" localSheetId="5">#REF!</definedName>
    <definedName name="_0E">#REF!</definedName>
    <definedName name="_0E9" localSheetId="6">#REF!</definedName>
    <definedName name="_0E9" localSheetId="5">#REF!</definedName>
    <definedName name="_0E9">#REF!</definedName>
    <definedName name="_0G" localSheetId="6">#REF!</definedName>
    <definedName name="_0G" localSheetId="5">#REF!</definedName>
    <definedName name="_0G">#REF!</definedName>
    <definedName name="_0G9" localSheetId="6">#REF!</definedName>
    <definedName name="_0G9" localSheetId="5">#REF!</definedName>
    <definedName name="_0G9">#REF!</definedName>
    <definedName name="_0M" localSheetId="6">#REF!</definedName>
    <definedName name="_0M" localSheetId="5">#REF!</definedName>
    <definedName name="_0M">#REF!</definedName>
    <definedName name="_0M9" localSheetId="6">#REF!</definedName>
    <definedName name="_0M9" localSheetId="5">#REF!</definedName>
    <definedName name="_0M9">#REF!</definedName>
    <definedName name="_0MD" localSheetId="6">#REF!</definedName>
    <definedName name="_0MD" localSheetId="5">#REF!</definedName>
    <definedName name="_0MD">#REF!</definedName>
    <definedName name="_0MDA" localSheetId="6">#REF!</definedName>
    <definedName name="_0MDA" localSheetId="5">#REF!</definedName>
    <definedName name="_0MDA">#REF!</definedName>
    <definedName name="_0ME" localSheetId="6">#REF!</definedName>
    <definedName name="_0ME" localSheetId="5">#REF!</definedName>
    <definedName name="_0ME">#REF!</definedName>
    <definedName name="_0MG" localSheetId="6">#REF!</definedName>
    <definedName name="_0MG" localSheetId="5">#REF!</definedName>
    <definedName name="_0MG">#REF!</definedName>
    <definedName name="_0MM" localSheetId="6">#REF!</definedName>
    <definedName name="_0MM" localSheetId="5">#REF!</definedName>
    <definedName name="_0MM">#REF!</definedName>
    <definedName name="_0MS" localSheetId="6">#REF!</definedName>
    <definedName name="_0MS" localSheetId="5">#REF!</definedName>
    <definedName name="_0MS">#REF!</definedName>
    <definedName name="_0TA" localSheetId="6">'[6]שמ"מ מ"ה'!#REF!</definedName>
    <definedName name="_0TA" localSheetId="5">'[7]שמ"מ מ"ה'!#REF!</definedName>
    <definedName name="_0TA">'[6]שמ"מ מ"ה'!#REF!</definedName>
    <definedName name="_0TD" localSheetId="6">#REF!</definedName>
    <definedName name="_0TD" localSheetId="5">#REF!</definedName>
    <definedName name="_0TD">#REF!</definedName>
    <definedName name="_0TE" localSheetId="6">#REF!</definedName>
    <definedName name="_0TE" localSheetId="5">#REF!</definedName>
    <definedName name="_0TE">#REF!</definedName>
    <definedName name="_0TM" localSheetId="6">#REF!</definedName>
    <definedName name="_0TM" localSheetId="5">#REF!</definedName>
    <definedName name="_0TM">#REF!</definedName>
    <definedName name="_1.1">#REF!</definedName>
    <definedName name="_1.2">#REF!</definedName>
    <definedName name="_1.3">#REF!</definedName>
    <definedName name="_1.4">#REF!</definedName>
    <definedName name="_1.5">#REF!</definedName>
    <definedName name="_1.5MM" localSheetId="6">#REF!</definedName>
    <definedName name="_1.5MM" localSheetId="5">#REF!</definedName>
    <definedName name="_1.5MM">#REF!</definedName>
    <definedName name="_1.6">#REF!</definedName>
    <definedName name="_10A" localSheetId="6">#REF!</definedName>
    <definedName name="_10A" localSheetId="5">#REF!</definedName>
    <definedName name="_10A">#REF!</definedName>
    <definedName name="_10AAMDA" localSheetId="6">#REF!</definedName>
    <definedName name="_10AAMDA" localSheetId="5">#REF!</definedName>
    <definedName name="_10AAMDA">#REF!</definedName>
    <definedName name="_10ABMDA" localSheetId="6">#REF!</definedName>
    <definedName name="_10ABMDA" localSheetId="5">#REF!</definedName>
    <definedName name="_10ABMDA">#REF!</definedName>
    <definedName name="_10AMDA" localSheetId="6">#REF!</definedName>
    <definedName name="_10AMDA" localSheetId="5">#REF!</definedName>
    <definedName name="_10AMDA">#REF!</definedName>
    <definedName name="_10BMDA" localSheetId="6">#REF!</definedName>
    <definedName name="_10BMDA" localSheetId="5">#REF!</definedName>
    <definedName name="_10BMDA">#REF!</definedName>
    <definedName name="_10E" localSheetId="6">#REF!</definedName>
    <definedName name="_10E" localSheetId="5">#REF!</definedName>
    <definedName name="_10E">#REF!</definedName>
    <definedName name="_10G" localSheetId="6">#REF!</definedName>
    <definedName name="_10G" localSheetId="5">#REF!</definedName>
    <definedName name="_10G">#REF!</definedName>
    <definedName name="_10M" localSheetId="6">#REF!</definedName>
    <definedName name="_10M" localSheetId="5">#REF!</definedName>
    <definedName name="_10M">#REF!</definedName>
    <definedName name="_10MDA" localSheetId="6">#REF!</definedName>
    <definedName name="_10MDA" localSheetId="5">#REF!</definedName>
    <definedName name="_10MDA">#REF!</definedName>
    <definedName name="_10ME" localSheetId="6">#REF!</definedName>
    <definedName name="_10ME" localSheetId="5">#REF!</definedName>
    <definedName name="_10ME">#REF!</definedName>
    <definedName name="_10MG" localSheetId="6">#REF!</definedName>
    <definedName name="_10MG" localSheetId="5">#REF!</definedName>
    <definedName name="_10MG">#REF!</definedName>
    <definedName name="_10MM" localSheetId="6">#REF!</definedName>
    <definedName name="_10MM" localSheetId="5">#REF!</definedName>
    <definedName name="_10MM">#REF!</definedName>
    <definedName name="_10TA" localSheetId="6">'[6]שמ"מ מ"ה'!#REF!</definedName>
    <definedName name="_10TA" localSheetId="5">'[7]שמ"מ מ"ה'!#REF!</definedName>
    <definedName name="_10TA">'[6]שמ"מ מ"ה'!#REF!</definedName>
    <definedName name="_11A" localSheetId="6">#REF!</definedName>
    <definedName name="_11A" localSheetId="5">#REF!</definedName>
    <definedName name="_11A">#REF!</definedName>
    <definedName name="_11AB" localSheetId="6">#REF!</definedName>
    <definedName name="_11AB" localSheetId="5">#REF!</definedName>
    <definedName name="_11AB">#REF!</definedName>
    <definedName name="_11AC" localSheetId="6">#REF!</definedName>
    <definedName name="_11AC" localSheetId="5">#REF!</definedName>
    <definedName name="_11AC">#REF!</definedName>
    <definedName name="_11AD" localSheetId="6">#REF!</definedName>
    <definedName name="_11AD" localSheetId="5">#REF!</definedName>
    <definedName name="_11AD">#REF!</definedName>
    <definedName name="_11AG" localSheetId="6">#REF!</definedName>
    <definedName name="_11AG" localSheetId="5">#REF!</definedName>
    <definedName name="_11AG">#REF!</definedName>
    <definedName name="_11E" localSheetId="6">#REF!</definedName>
    <definedName name="_11E" localSheetId="5">#REF!</definedName>
    <definedName name="_11E">#REF!</definedName>
    <definedName name="_11G" localSheetId="6">#REF!</definedName>
    <definedName name="_11G" localSheetId="5">#REF!</definedName>
    <definedName name="_11G">#REF!</definedName>
    <definedName name="_11M" localSheetId="6">#REF!</definedName>
    <definedName name="_11M" localSheetId="5">#REF!</definedName>
    <definedName name="_11M">#REF!</definedName>
    <definedName name="_11MA" localSheetId="6">#REF!</definedName>
    <definedName name="_11MA" localSheetId="5">#REF!</definedName>
    <definedName name="_11MA">#REF!</definedName>
    <definedName name="_11MDA" localSheetId="6">#REF!</definedName>
    <definedName name="_11MDA" localSheetId="5">#REF!</definedName>
    <definedName name="_11MDA">#REF!</definedName>
    <definedName name="_11ME" localSheetId="6">#REF!</definedName>
    <definedName name="_11ME" localSheetId="5">#REF!</definedName>
    <definedName name="_11ME">#REF!</definedName>
    <definedName name="_11MEA" localSheetId="6">#REF!</definedName>
    <definedName name="_11MEA" localSheetId="5">#REF!</definedName>
    <definedName name="_11MEA">#REF!</definedName>
    <definedName name="_11MG" localSheetId="6">#REF!</definedName>
    <definedName name="_11MG" localSheetId="5">#REF!</definedName>
    <definedName name="_11MG">#REF!</definedName>
    <definedName name="_11MM" localSheetId="6">#REF!</definedName>
    <definedName name="_11MM" localSheetId="5">#REF!</definedName>
    <definedName name="_11MM">#REF!</definedName>
    <definedName name="_1294" localSheetId="5">'[1]טורים 98'!$HK$57</definedName>
    <definedName name="_1294">'[2]טורים 98'!$HK$57</definedName>
    <definedName name="_1295" localSheetId="5">'[1]טורים 98'!$HJ$57</definedName>
    <definedName name="_1295">'[2]טורים 98'!$HJ$57</definedName>
    <definedName name="_1296" localSheetId="5">'[1]טורים 98'!$HI$57</definedName>
    <definedName name="_1296">'[2]טורים 98'!$HI$57</definedName>
    <definedName name="_12A" localSheetId="6">#REF!</definedName>
    <definedName name="_12A" localSheetId="5">#REF!</definedName>
    <definedName name="_12A">#REF!</definedName>
    <definedName name="_12AA" localSheetId="6">#REF!</definedName>
    <definedName name="_12AA" localSheetId="5">#REF!</definedName>
    <definedName name="_12AA">#REF!</definedName>
    <definedName name="_12G" localSheetId="6">#REF!</definedName>
    <definedName name="_12G" localSheetId="5">#REF!</definedName>
    <definedName name="_12G">#REF!</definedName>
    <definedName name="_12M" localSheetId="6">#REF!</definedName>
    <definedName name="_12M" localSheetId="5">#REF!</definedName>
    <definedName name="_12M">#REF!</definedName>
    <definedName name="_12MDA" localSheetId="6">#REF!</definedName>
    <definedName name="_12MDA" localSheetId="5">#REF!</definedName>
    <definedName name="_12MDA">#REF!</definedName>
    <definedName name="_12ME" localSheetId="6">#REF!</definedName>
    <definedName name="_12ME" localSheetId="5">#REF!</definedName>
    <definedName name="_12ME">#REF!</definedName>
    <definedName name="_12MG" localSheetId="6">#REF!</definedName>
    <definedName name="_12MG" localSheetId="5">#REF!</definedName>
    <definedName name="_12MG">#REF!</definedName>
    <definedName name="_12MM" localSheetId="6">#REF!</definedName>
    <definedName name="_12MM" localSheetId="5">#REF!</definedName>
    <definedName name="_12MM">#REF!</definedName>
    <definedName name="_12TA" localSheetId="6">'[6]שמ"מ מ"ה'!#REF!</definedName>
    <definedName name="_12TA" localSheetId="5">'[7]שמ"מ מ"ה'!#REF!</definedName>
    <definedName name="_12TA">'[6]שמ"מ מ"ה'!#REF!</definedName>
    <definedName name="_1392_E" localSheetId="6">#REF!</definedName>
    <definedName name="_1392_E" localSheetId="5">#REF!</definedName>
    <definedName name="_1392_E">#REF!</definedName>
    <definedName name="_1392AL" localSheetId="6">'[6]שמ"מ מ"ה'!#REF!</definedName>
    <definedName name="_1392AL" localSheetId="5">'[7]שמ"מ מ"ה'!#REF!</definedName>
    <definedName name="_1392AL">'[6]שמ"מ מ"ה'!#REF!</definedName>
    <definedName name="_1392M" localSheetId="6">#REF!</definedName>
    <definedName name="_1392M" localSheetId="5">#REF!</definedName>
    <definedName name="_1392M">#REF!</definedName>
    <definedName name="_13A" localSheetId="6">#REF!</definedName>
    <definedName name="_13A" localSheetId="5">#REF!</definedName>
    <definedName name="_13A">#REF!</definedName>
    <definedName name="_13AA" localSheetId="6">#REF!</definedName>
    <definedName name="_13AA" localSheetId="5">#REF!</definedName>
    <definedName name="_13AA">#REF!</definedName>
    <definedName name="_13AB" localSheetId="6">#REF!</definedName>
    <definedName name="_13AB" localSheetId="5">#REF!</definedName>
    <definedName name="_13AB">#REF!</definedName>
    <definedName name="_13AMDA" localSheetId="6">#REF!</definedName>
    <definedName name="_13AMDA" localSheetId="5">#REF!</definedName>
    <definedName name="_13AMDA">#REF!</definedName>
    <definedName name="_13G" localSheetId="6">#REF!</definedName>
    <definedName name="_13G" localSheetId="5">#REF!</definedName>
    <definedName name="_13G">#REF!</definedName>
    <definedName name="_13HG">'[8]ער"ז דוח מס:מיעוט'!$K$323:$BS$724</definedName>
    <definedName name="_13M" localSheetId="6">#REF!</definedName>
    <definedName name="_13M" localSheetId="5">#REF!</definedName>
    <definedName name="_13M">#REF!</definedName>
    <definedName name="_13MDA" localSheetId="6">#REF!</definedName>
    <definedName name="_13MDA" localSheetId="5">#REF!</definedName>
    <definedName name="_13MDA">#REF!</definedName>
    <definedName name="_13ME" localSheetId="6">#REF!</definedName>
    <definedName name="_13ME" localSheetId="5">#REF!</definedName>
    <definedName name="_13ME">#REF!</definedName>
    <definedName name="_13MG" localSheetId="6">#REF!</definedName>
    <definedName name="_13MG" localSheetId="5">#REF!</definedName>
    <definedName name="_13MG">#REF!</definedName>
    <definedName name="_13MM" localSheetId="6">#REF!</definedName>
    <definedName name="_13MM" localSheetId="5">#REF!</definedName>
    <definedName name="_13MM">#REF!</definedName>
    <definedName name="_14A" localSheetId="6">#REF!</definedName>
    <definedName name="_14A" localSheetId="5">#REF!</definedName>
    <definedName name="_14A">#REF!</definedName>
    <definedName name="_14AA" localSheetId="6">#REF!</definedName>
    <definedName name="_14AA" localSheetId="5">#REF!</definedName>
    <definedName name="_14AA">#REF!</definedName>
    <definedName name="_14AB" localSheetId="6">#REF!</definedName>
    <definedName name="_14AB" localSheetId="5">#REF!</definedName>
    <definedName name="_14AB">#REF!</definedName>
    <definedName name="_14G" localSheetId="6">#REF!</definedName>
    <definedName name="_14G" localSheetId="5">#REF!</definedName>
    <definedName name="_14G">#REF!</definedName>
    <definedName name="_14GA" localSheetId="6">#REF!</definedName>
    <definedName name="_14GA" localSheetId="5">#REF!</definedName>
    <definedName name="_14GA">#REF!</definedName>
    <definedName name="_14GB" localSheetId="6">#REF!</definedName>
    <definedName name="_14GB" localSheetId="5">#REF!</definedName>
    <definedName name="_14GB">#REF!</definedName>
    <definedName name="_14M" localSheetId="6">#REF!</definedName>
    <definedName name="_14M" localSheetId="5">#REF!</definedName>
    <definedName name="_14M">#REF!</definedName>
    <definedName name="_14MA" localSheetId="6">#REF!</definedName>
    <definedName name="_14MA" localSheetId="5">#REF!</definedName>
    <definedName name="_14MA">#REF!</definedName>
    <definedName name="_14MDA" localSheetId="6">#REF!</definedName>
    <definedName name="_14MDA" localSheetId="5">#REF!</definedName>
    <definedName name="_14MDA">#REF!</definedName>
    <definedName name="_14MG" localSheetId="6">#REF!</definedName>
    <definedName name="_14MG" localSheetId="5">#REF!</definedName>
    <definedName name="_14MG">#REF!</definedName>
    <definedName name="_14MM" localSheetId="6">#REF!</definedName>
    <definedName name="_14MM" localSheetId="5">#REF!</definedName>
    <definedName name="_14MM">#REF!</definedName>
    <definedName name="_15A" localSheetId="6">#REF!</definedName>
    <definedName name="_15A" localSheetId="5">#REF!</definedName>
    <definedName name="_15A">#REF!</definedName>
    <definedName name="_15G" localSheetId="6">#REF!</definedName>
    <definedName name="_15G" localSheetId="5">#REF!</definedName>
    <definedName name="_15G">#REF!</definedName>
    <definedName name="_15M" localSheetId="6">#REF!</definedName>
    <definedName name="_15M" localSheetId="5">#REF!</definedName>
    <definedName name="_15M">#REF!</definedName>
    <definedName name="_15MDA" localSheetId="6">#REF!</definedName>
    <definedName name="_15MDA" localSheetId="5">#REF!</definedName>
    <definedName name="_15MDA">#REF!</definedName>
    <definedName name="_15MG" localSheetId="6">#REF!</definedName>
    <definedName name="_15MG" localSheetId="5">#REF!</definedName>
    <definedName name="_15MG">#REF!</definedName>
    <definedName name="_16A" localSheetId="6">#REF!</definedName>
    <definedName name="_16A" localSheetId="5">#REF!</definedName>
    <definedName name="_16A">#REF!</definedName>
    <definedName name="_16G" localSheetId="6">#REF!</definedName>
    <definedName name="_16G" localSheetId="5">#REF!</definedName>
    <definedName name="_16G">#REF!</definedName>
    <definedName name="_16M" localSheetId="6">#REF!</definedName>
    <definedName name="_16M" localSheetId="5">#REF!</definedName>
    <definedName name="_16M">#REF!</definedName>
    <definedName name="_16MDA" localSheetId="6">#REF!</definedName>
    <definedName name="_16MDA" localSheetId="5">#REF!</definedName>
    <definedName name="_16MDA">#REF!</definedName>
    <definedName name="_16MG" localSheetId="6">#REF!</definedName>
    <definedName name="_16MG" localSheetId="5">#REF!</definedName>
    <definedName name="_16MG">#REF!</definedName>
    <definedName name="_17A" localSheetId="6">#REF!</definedName>
    <definedName name="_17A" localSheetId="5">#REF!</definedName>
    <definedName name="_17A">#REF!</definedName>
    <definedName name="_17AB" localSheetId="6">#REF!</definedName>
    <definedName name="_17AB" localSheetId="5">#REF!</definedName>
    <definedName name="_17AB">#REF!</definedName>
    <definedName name="_17AC" localSheetId="6">#REF!</definedName>
    <definedName name="_17AC" localSheetId="5">#REF!</definedName>
    <definedName name="_17AC">#REF!</definedName>
    <definedName name="_17AD" localSheetId="6">#REF!</definedName>
    <definedName name="_17AD" localSheetId="5">#REF!</definedName>
    <definedName name="_17AD">#REF!</definedName>
    <definedName name="_17AMDA" localSheetId="6">#REF!</definedName>
    <definedName name="_17AMDA" localSheetId="5">#REF!</definedName>
    <definedName name="_17AMDA">#REF!</definedName>
    <definedName name="_17G" localSheetId="6">#REF!</definedName>
    <definedName name="_17G" localSheetId="5">#REF!</definedName>
    <definedName name="_17G">#REF!</definedName>
    <definedName name="_17M" localSheetId="6">#REF!</definedName>
    <definedName name="_17M" localSheetId="5">#REF!</definedName>
    <definedName name="_17M">#REF!</definedName>
    <definedName name="_17MDA" localSheetId="6">#REF!</definedName>
    <definedName name="_17MDA" localSheetId="5">#REF!</definedName>
    <definedName name="_17MDA">#REF!</definedName>
    <definedName name="_18A" localSheetId="6">#REF!</definedName>
    <definedName name="_18A" localSheetId="5">#REF!</definedName>
    <definedName name="_18A">#REF!</definedName>
    <definedName name="_18G" localSheetId="6">#REF!</definedName>
    <definedName name="_18G" localSheetId="5">#REF!</definedName>
    <definedName name="_18G">#REF!</definedName>
    <definedName name="_18MDA" localSheetId="6">#REF!</definedName>
    <definedName name="_18MDA" localSheetId="5">#REF!</definedName>
    <definedName name="_18MDA">#REF!</definedName>
    <definedName name="_19A" localSheetId="6">#REF!</definedName>
    <definedName name="_19A" localSheetId="5">#REF!</definedName>
    <definedName name="_19A">#REF!</definedName>
    <definedName name="_19AMDA" localSheetId="6">#REF!</definedName>
    <definedName name="_19AMDA" localSheetId="5">#REF!</definedName>
    <definedName name="_19AMDA">#REF!</definedName>
    <definedName name="_19BMDA" localSheetId="6">#REF!</definedName>
    <definedName name="_19BMDA" localSheetId="5">#REF!</definedName>
    <definedName name="_19BMDA">#REF!</definedName>
    <definedName name="_19CMDA" localSheetId="6">#REF!</definedName>
    <definedName name="_19CMDA" localSheetId="5">#REF!</definedName>
    <definedName name="_19CMDA">#REF!</definedName>
    <definedName name="_19MDA" localSheetId="6">#REF!</definedName>
    <definedName name="_19MDA" localSheetId="5">#REF!</definedName>
    <definedName name="_19MDA">#REF!</definedName>
    <definedName name="_1A" localSheetId="6">#REF!</definedName>
    <definedName name="_1A" localSheetId="5">#REF!</definedName>
    <definedName name="_1A">#REF!</definedName>
    <definedName name="_1A9" localSheetId="6">#REF!</definedName>
    <definedName name="_1A9" localSheetId="5">#REF!</definedName>
    <definedName name="_1A9">#REF!</definedName>
    <definedName name="_1AG9" localSheetId="6">#REF!</definedName>
    <definedName name="_1AG9" localSheetId="5">#REF!</definedName>
    <definedName name="_1AG9">#REF!</definedName>
    <definedName name="_1AI" localSheetId="6">#REF!</definedName>
    <definedName name="_1AI" localSheetId="5">#REF!</definedName>
    <definedName name="_1AI">#REF!</definedName>
    <definedName name="_1C" localSheetId="6">#REF!</definedName>
    <definedName name="_1C" localSheetId="5">#REF!</definedName>
    <definedName name="_1C">#REF!</definedName>
    <definedName name="_1D" localSheetId="6">#REF!</definedName>
    <definedName name="_1D" localSheetId="5">#REF!</definedName>
    <definedName name="_1D">#REF!</definedName>
    <definedName name="_1D9" localSheetId="6">#REF!</definedName>
    <definedName name="_1D9" localSheetId="5">#REF!</definedName>
    <definedName name="_1D9">#REF!</definedName>
    <definedName name="_1E9" localSheetId="6">#REF!</definedName>
    <definedName name="_1E9" localSheetId="5">#REF!</definedName>
    <definedName name="_1E9">#REF!</definedName>
    <definedName name="_1G" localSheetId="6">#REF!</definedName>
    <definedName name="_1G" localSheetId="5">#REF!</definedName>
    <definedName name="_1G">#REF!</definedName>
    <definedName name="_1G9" localSheetId="6">#REF!</definedName>
    <definedName name="_1G9" localSheetId="5">#REF!</definedName>
    <definedName name="_1G9">#REF!</definedName>
    <definedName name="_1HD" localSheetId="6">#REF!</definedName>
    <definedName name="_1HD" localSheetId="5">#REF!</definedName>
    <definedName name="_1HD">#REF!</definedName>
    <definedName name="_1M" localSheetId="6">#REF!</definedName>
    <definedName name="_1M" localSheetId="5">#REF!</definedName>
    <definedName name="_1M">#REF!</definedName>
    <definedName name="_1M9" localSheetId="6">#REF!</definedName>
    <definedName name="_1M9" localSheetId="5">#REF!</definedName>
    <definedName name="_1M9">#REF!</definedName>
    <definedName name="_1MD" localSheetId="6">#REF!</definedName>
    <definedName name="_1MD" localSheetId="5">#REF!</definedName>
    <definedName name="_1MD">#REF!</definedName>
    <definedName name="_1MDA" localSheetId="6">#REF!</definedName>
    <definedName name="_1MDA" localSheetId="5">#REF!</definedName>
    <definedName name="_1MDA">#REF!</definedName>
    <definedName name="_1ME" localSheetId="6">#REF!</definedName>
    <definedName name="_1ME" localSheetId="5">#REF!</definedName>
    <definedName name="_1ME">#REF!</definedName>
    <definedName name="_1MG" localSheetId="6">#REF!</definedName>
    <definedName name="_1MG" localSheetId="5">#REF!</definedName>
    <definedName name="_1MG">#REF!</definedName>
    <definedName name="_1MM" localSheetId="6">#REF!</definedName>
    <definedName name="_1MM" localSheetId="5">#REF!</definedName>
    <definedName name="_1MM">#REF!</definedName>
    <definedName name="_1MS" localSheetId="6">#REF!</definedName>
    <definedName name="_1MS" localSheetId="5">#REF!</definedName>
    <definedName name="_1MS">#REF!</definedName>
    <definedName name="_1T" localSheetId="6">'[6]שמ"מ מ"ה'!#REF!</definedName>
    <definedName name="_1T" localSheetId="5">'[7]שמ"מ מ"ה'!#REF!</definedName>
    <definedName name="_1T">'[6]שמ"מ מ"ה'!#REF!</definedName>
    <definedName name="_1TD" localSheetId="6">#REF!</definedName>
    <definedName name="_1TD" localSheetId="5">#REF!</definedName>
    <definedName name="_1TD">#REF!</definedName>
    <definedName name="_1TE" localSheetId="6">#REF!</definedName>
    <definedName name="_1TE" localSheetId="5">#REF!</definedName>
    <definedName name="_1TE">#REF!</definedName>
    <definedName name="_1TM" localSheetId="6">#REF!</definedName>
    <definedName name="_1TM" localSheetId="5">#REF!</definedName>
    <definedName name="_1TM">#REF!</definedName>
    <definedName name="_20A" localSheetId="6">#REF!</definedName>
    <definedName name="_20A" localSheetId="5">#REF!</definedName>
    <definedName name="_20A">#REF!</definedName>
    <definedName name="_20HA" localSheetId="6">#REF!</definedName>
    <definedName name="_20HA" localSheetId="5">#REF!</definedName>
    <definedName name="_20HA">#REF!</definedName>
    <definedName name="_20MDA" localSheetId="6">#REF!</definedName>
    <definedName name="_20MDA" localSheetId="5">#REF!</definedName>
    <definedName name="_20MDA">#REF!</definedName>
    <definedName name="_21A" localSheetId="6">#REF!</definedName>
    <definedName name="_21A" localSheetId="5">#REF!</definedName>
    <definedName name="_21A">#REF!</definedName>
    <definedName name="_22A" localSheetId="6">#REF!</definedName>
    <definedName name="_22A" localSheetId="5">#REF!</definedName>
    <definedName name="_22A">#REF!</definedName>
    <definedName name="_23A" localSheetId="6">#REF!</definedName>
    <definedName name="_23A" localSheetId="5">#REF!</definedName>
    <definedName name="_23A">#REF!</definedName>
    <definedName name="_24A" localSheetId="6">#REF!</definedName>
    <definedName name="_24A" localSheetId="5">#REF!</definedName>
    <definedName name="_24A">#REF!</definedName>
    <definedName name="_26A" localSheetId="6">#REF!</definedName>
    <definedName name="_26A" localSheetId="5">#REF!</definedName>
    <definedName name="_26A">#REF!</definedName>
    <definedName name="_27A" localSheetId="6">#REF!</definedName>
    <definedName name="_27A" localSheetId="5">#REF!</definedName>
    <definedName name="_27A">#REF!</definedName>
    <definedName name="_28A" localSheetId="6">#REF!</definedName>
    <definedName name="_28A" localSheetId="5">#REF!</definedName>
    <definedName name="_28A">#REF!</definedName>
    <definedName name="_2A" localSheetId="6">#REF!</definedName>
    <definedName name="_2A" localSheetId="5">#REF!</definedName>
    <definedName name="_2A">#REF!</definedName>
    <definedName name="_2A9" localSheetId="6">#REF!</definedName>
    <definedName name="_2A9" localSheetId="5">#REF!</definedName>
    <definedName name="_2A9">#REF!</definedName>
    <definedName name="_2AG9" localSheetId="6">#REF!</definedName>
    <definedName name="_2AG9" localSheetId="5">#REF!</definedName>
    <definedName name="_2AG9">#REF!</definedName>
    <definedName name="_2AI" localSheetId="6">#REF!</definedName>
    <definedName name="_2AI" localSheetId="5">#REF!</definedName>
    <definedName name="_2AI">#REF!</definedName>
    <definedName name="_2C" localSheetId="6">#REF!</definedName>
    <definedName name="_2C" localSheetId="5">#REF!</definedName>
    <definedName name="_2C">#REF!</definedName>
    <definedName name="_2D" localSheetId="6">#REF!</definedName>
    <definedName name="_2D" localSheetId="5">#REF!</definedName>
    <definedName name="_2D">#REF!</definedName>
    <definedName name="_2D9" localSheetId="6">#REF!</definedName>
    <definedName name="_2D9" localSheetId="5">#REF!</definedName>
    <definedName name="_2D9">#REF!</definedName>
    <definedName name="_2E" localSheetId="6">#REF!</definedName>
    <definedName name="_2E" localSheetId="5">#REF!</definedName>
    <definedName name="_2E">#REF!</definedName>
    <definedName name="_2E9" localSheetId="6">#REF!</definedName>
    <definedName name="_2E9" localSheetId="5">#REF!</definedName>
    <definedName name="_2E9">#REF!</definedName>
    <definedName name="_2G" localSheetId="6">#REF!</definedName>
    <definedName name="_2G" localSheetId="5">#REF!</definedName>
    <definedName name="_2G">#REF!</definedName>
    <definedName name="_2G9" localSheetId="6">#REF!</definedName>
    <definedName name="_2G9" localSheetId="5">#REF!</definedName>
    <definedName name="_2G9">#REF!</definedName>
    <definedName name="_2HD" localSheetId="6">#REF!</definedName>
    <definedName name="_2HD" localSheetId="5">#REF!</definedName>
    <definedName name="_2HD">#REF!</definedName>
    <definedName name="_2M" localSheetId="6">#REF!</definedName>
    <definedName name="_2M" localSheetId="5">#REF!</definedName>
    <definedName name="_2M">#REF!</definedName>
    <definedName name="_2M1" localSheetId="6">#REF!</definedName>
    <definedName name="_2M1" localSheetId="5">#REF!</definedName>
    <definedName name="_2M1">#REF!</definedName>
    <definedName name="_2M9" localSheetId="6">#REF!</definedName>
    <definedName name="_2M9" localSheetId="5">#REF!</definedName>
    <definedName name="_2M9">#REF!</definedName>
    <definedName name="_2MD" localSheetId="6">#REF!</definedName>
    <definedName name="_2MD" localSheetId="5">#REF!</definedName>
    <definedName name="_2MD">#REF!</definedName>
    <definedName name="_2MDA" localSheetId="6">#REF!</definedName>
    <definedName name="_2MDA" localSheetId="5">#REF!</definedName>
    <definedName name="_2MDA">#REF!</definedName>
    <definedName name="_2ME" localSheetId="6">#REF!</definedName>
    <definedName name="_2ME" localSheetId="5">#REF!</definedName>
    <definedName name="_2ME">#REF!</definedName>
    <definedName name="_2MG" localSheetId="6">#REF!</definedName>
    <definedName name="_2MG" localSheetId="5">#REF!</definedName>
    <definedName name="_2MG">#REF!</definedName>
    <definedName name="_2MM" localSheetId="6">#REF!</definedName>
    <definedName name="_2MM" localSheetId="5">#REF!</definedName>
    <definedName name="_2MM">#REF!</definedName>
    <definedName name="_2MS" localSheetId="6">#REF!</definedName>
    <definedName name="_2MS" localSheetId="5">#REF!</definedName>
    <definedName name="_2MS">#REF!</definedName>
    <definedName name="_2T" localSheetId="6">'[6]שמ"מ מ"ה'!#REF!</definedName>
    <definedName name="_2T" localSheetId="5">'[7]שמ"מ מ"ה'!#REF!</definedName>
    <definedName name="_2T">'[6]שמ"מ מ"ה'!#REF!</definedName>
    <definedName name="_2TD" localSheetId="6">#REF!</definedName>
    <definedName name="_2TD" localSheetId="5">#REF!</definedName>
    <definedName name="_2TD">#REF!</definedName>
    <definedName name="_2TE" localSheetId="6">#REF!</definedName>
    <definedName name="_2TE" localSheetId="5">#REF!</definedName>
    <definedName name="_2TE">#REF!</definedName>
    <definedName name="_2TM" localSheetId="6">#REF!</definedName>
    <definedName name="_2TM" localSheetId="5">#REF!</definedName>
    <definedName name="_2TM">#REF!</definedName>
    <definedName name="_30.06.97" localSheetId="6">#REF!</definedName>
    <definedName name="_30.06.97" localSheetId="5">#REF!</definedName>
    <definedName name="_30.06.97">#REF!</definedName>
    <definedName name="_30.06.98" localSheetId="6">#REF!</definedName>
    <definedName name="_30.06.98" localSheetId="5">#REF!</definedName>
    <definedName name="_30.06.98">#REF!</definedName>
    <definedName name="_30.09.98" localSheetId="6">#REF!</definedName>
    <definedName name="_30.09.98" localSheetId="5">#REF!</definedName>
    <definedName name="_30.09.98">#REF!</definedName>
    <definedName name="_31.03.97" localSheetId="6">#REF!</definedName>
    <definedName name="_31.03.97" localSheetId="5">#REF!</definedName>
    <definedName name="_31.03.97">#REF!</definedName>
    <definedName name="_31.03.98" localSheetId="6">#REF!</definedName>
    <definedName name="_31.03.98" localSheetId="5">#REF!</definedName>
    <definedName name="_31.03.98">#REF!</definedName>
    <definedName name="_31.06.98" localSheetId="6">#REF!</definedName>
    <definedName name="_31.06.98" localSheetId="5">#REF!</definedName>
    <definedName name="_31.06.98">#REF!</definedName>
    <definedName name="_31.12.94" localSheetId="6">#REF!</definedName>
    <definedName name="_31.12.94" localSheetId="5">#REF!</definedName>
    <definedName name="_31.12.94">#REF!</definedName>
    <definedName name="_31.12.95" localSheetId="6">#REF!</definedName>
    <definedName name="_31.12.95" localSheetId="5">#REF!</definedName>
    <definedName name="_31.12.95">#REF!</definedName>
    <definedName name="_31.12.96" localSheetId="6">#REF!</definedName>
    <definedName name="_31.12.96" localSheetId="5">#REF!</definedName>
    <definedName name="_31.12.96">#REF!</definedName>
    <definedName name="_31.12.97" localSheetId="6">#REF!</definedName>
    <definedName name="_31.12.97" localSheetId="5">#REF!</definedName>
    <definedName name="_31.12.97">#REF!</definedName>
    <definedName name="_31.12.98" localSheetId="6">#REF!</definedName>
    <definedName name="_31.12.98" localSheetId="5">#REF!</definedName>
    <definedName name="_31.12.98">#REF!</definedName>
    <definedName name="_3A" localSheetId="6">#REF!</definedName>
    <definedName name="_3A" localSheetId="5">#REF!</definedName>
    <definedName name="_3A">#REF!</definedName>
    <definedName name="_3AI" localSheetId="6">#REF!</definedName>
    <definedName name="_3AI" localSheetId="5">#REF!</definedName>
    <definedName name="_3AI">#REF!</definedName>
    <definedName name="_3AMDA" localSheetId="6">#REF!</definedName>
    <definedName name="_3AMDA" localSheetId="5">#REF!</definedName>
    <definedName name="_3AMDA">#REF!</definedName>
    <definedName name="_3AMS" localSheetId="6">#REF!</definedName>
    <definedName name="_3AMS" localSheetId="5">#REF!</definedName>
    <definedName name="_3AMS">#REF!</definedName>
    <definedName name="_3AP" localSheetId="6">#REF!</definedName>
    <definedName name="_3AP" localSheetId="5">#REF!</definedName>
    <definedName name="_3AP">#REF!</definedName>
    <definedName name="_3C" localSheetId="6">#REF!</definedName>
    <definedName name="_3C" localSheetId="5">#REF!</definedName>
    <definedName name="_3C">#REF!</definedName>
    <definedName name="_3CP" localSheetId="6">#REF!</definedName>
    <definedName name="_3CP" localSheetId="5">#REF!</definedName>
    <definedName name="_3CP">#REF!</definedName>
    <definedName name="_3D" localSheetId="6">#REF!</definedName>
    <definedName name="_3D" localSheetId="5">#REF!</definedName>
    <definedName name="_3D">#REF!</definedName>
    <definedName name="_3E" localSheetId="6">#REF!</definedName>
    <definedName name="_3E" localSheetId="5">#REF!</definedName>
    <definedName name="_3E">#REF!</definedName>
    <definedName name="_3EA" localSheetId="6">#REF!</definedName>
    <definedName name="_3EA" localSheetId="5">#REF!</definedName>
    <definedName name="_3EA">#REF!</definedName>
    <definedName name="_3G" localSheetId="6">#REF!</definedName>
    <definedName name="_3G" localSheetId="5">#REF!</definedName>
    <definedName name="_3G">#REF!</definedName>
    <definedName name="_3GA" localSheetId="6">#REF!</definedName>
    <definedName name="_3GA" localSheetId="5">#REF!</definedName>
    <definedName name="_3GA">#REF!</definedName>
    <definedName name="_3M" localSheetId="6">#REF!</definedName>
    <definedName name="_3M" localSheetId="5">#REF!</definedName>
    <definedName name="_3M">#REF!</definedName>
    <definedName name="_3MA" localSheetId="6">#REF!</definedName>
    <definedName name="_3MA" localSheetId="5">#REF!</definedName>
    <definedName name="_3MA">#REF!</definedName>
    <definedName name="_3MD" localSheetId="6">#REF!</definedName>
    <definedName name="_3MD" localSheetId="5">#REF!</definedName>
    <definedName name="_3MD">#REF!</definedName>
    <definedName name="_3MDA" localSheetId="6">#REF!</definedName>
    <definedName name="_3MDA" localSheetId="5">#REF!</definedName>
    <definedName name="_3MDA">#REF!</definedName>
    <definedName name="_3ME" localSheetId="6">#REF!</definedName>
    <definedName name="_3ME" localSheetId="5">#REF!</definedName>
    <definedName name="_3ME">#REF!</definedName>
    <definedName name="_3MEA" localSheetId="6">#REF!</definedName>
    <definedName name="_3MEA" localSheetId="5">#REF!</definedName>
    <definedName name="_3MEA">#REF!</definedName>
    <definedName name="_3MG" localSheetId="6">#REF!</definedName>
    <definedName name="_3MG" localSheetId="5">#REF!</definedName>
    <definedName name="_3MG">#REF!</definedName>
    <definedName name="_3MM" localSheetId="6">#REF!</definedName>
    <definedName name="_3MM" localSheetId="5">#REF!</definedName>
    <definedName name="_3MM">#REF!</definedName>
    <definedName name="_3MS" localSheetId="6">#REF!</definedName>
    <definedName name="_3MS" localSheetId="5">#REF!</definedName>
    <definedName name="_3MS">#REF!</definedName>
    <definedName name="_3MSA" localSheetId="6">#REF!</definedName>
    <definedName name="_3MSA" localSheetId="5">#REF!</definedName>
    <definedName name="_3MSA">#REF!</definedName>
    <definedName name="_3PMDA" localSheetId="6">#REF!</definedName>
    <definedName name="_3PMDA" localSheetId="5">#REF!</definedName>
    <definedName name="_3PMDA">#REF!</definedName>
    <definedName name="_3PMS" localSheetId="6">#REF!</definedName>
    <definedName name="_3PMS" localSheetId="5">#REF!</definedName>
    <definedName name="_3PMS">#REF!</definedName>
    <definedName name="_3T" localSheetId="6">'[6]שמ"מ מ"ה'!#REF!</definedName>
    <definedName name="_3T" localSheetId="5">'[7]שמ"מ מ"ה'!#REF!</definedName>
    <definedName name="_3T">'[6]שמ"מ מ"ה'!#REF!</definedName>
    <definedName name="_3TE" localSheetId="6">#REF!</definedName>
    <definedName name="_3TE" localSheetId="5">#REF!</definedName>
    <definedName name="_3TE">#REF!</definedName>
    <definedName name="_3TM" localSheetId="6">#REF!</definedName>
    <definedName name="_3TM" localSheetId="5">#REF!</definedName>
    <definedName name="_3TM">#REF!</definedName>
    <definedName name="_4A" localSheetId="6">#REF!</definedName>
    <definedName name="_4A" localSheetId="5">#REF!</definedName>
    <definedName name="_4A">#REF!</definedName>
    <definedName name="_4AB" localSheetId="6">#REF!</definedName>
    <definedName name="_4AB" localSheetId="5">#REF!</definedName>
    <definedName name="_4AB">#REF!</definedName>
    <definedName name="_4AI" localSheetId="6">#REF!</definedName>
    <definedName name="_4AI" localSheetId="5">#REF!</definedName>
    <definedName name="_4AI">#REF!</definedName>
    <definedName name="_4AMDA" localSheetId="6">#REF!</definedName>
    <definedName name="_4AMDA" localSheetId="5">#REF!</definedName>
    <definedName name="_4AMDA">#REF!</definedName>
    <definedName name="_4C" localSheetId="6">#REF!</definedName>
    <definedName name="_4C" localSheetId="5">#REF!</definedName>
    <definedName name="_4C">#REF!</definedName>
    <definedName name="_4D" localSheetId="6">#REF!</definedName>
    <definedName name="_4D" localSheetId="5">#REF!</definedName>
    <definedName name="_4D">#REF!</definedName>
    <definedName name="_4E" localSheetId="6">#REF!</definedName>
    <definedName name="_4E" localSheetId="5">#REF!</definedName>
    <definedName name="_4E">#REF!</definedName>
    <definedName name="_4G" localSheetId="6">#REF!</definedName>
    <definedName name="_4G" localSheetId="5">#REF!</definedName>
    <definedName name="_4G">#REF!</definedName>
    <definedName name="_4M" localSheetId="6">#REF!</definedName>
    <definedName name="_4M" localSheetId="5">#REF!</definedName>
    <definedName name="_4M">#REF!</definedName>
    <definedName name="_4MD" localSheetId="6">#REF!</definedName>
    <definedName name="_4MD" localSheetId="5">#REF!</definedName>
    <definedName name="_4MD">#REF!</definedName>
    <definedName name="_4MDA" localSheetId="6">#REF!</definedName>
    <definedName name="_4MDA" localSheetId="5">#REF!</definedName>
    <definedName name="_4MDA">#REF!</definedName>
    <definedName name="_4ME" localSheetId="6">#REF!</definedName>
    <definedName name="_4ME" localSheetId="5">#REF!</definedName>
    <definedName name="_4ME">#REF!</definedName>
    <definedName name="_4MG" localSheetId="6">#REF!</definedName>
    <definedName name="_4MG" localSheetId="5">#REF!</definedName>
    <definedName name="_4MG">#REF!</definedName>
    <definedName name="_4MM" localSheetId="6">#REF!</definedName>
    <definedName name="_4MM" localSheetId="5">#REF!</definedName>
    <definedName name="_4MM">#REF!</definedName>
    <definedName name="_4MS" localSheetId="6">#REF!</definedName>
    <definedName name="_4MS" localSheetId="5">#REF!</definedName>
    <definedName name="_4MS">#REF!</definedName>
    <definedName name="_4PMDA" localSheetId="6">#REF!</definedName>
    <definedName name="_4PMDA" localSheetId="5">#REF!</definedName>
    <definedName name="_4PMDA">#REF!</definedName>
    <definedName name="_4S" localSheetId="6">#REF!</definedName>
    <definedName name="_4S" localSheetId="5">#REF!</definedName>
    <definedName name="_4S">#REF!</definedName>
    <definedName name="_4SG" localSheetId="6">#REF!</definedName>
    <definedName name="_4SG" localSheetId="5">#REF!</definedName>
    <definedName name="_4SG">#REF!</definedName>
    <definedName name="_4T" localSheetId="6">'[6]שמ"מ מ"ה'!#REF!</definedName>
    <definedName name="_4T" localSheetId="5">'[7]שמ"מ מ"ה'!#REF!</definedName>
    <definedName name="_4T">'[6]שמ"מ מ"ה'!#REF!</definedName>
    <definedName name="_4TA" localSheetId="6">'[6]שמ"מ מ"ה'!#REF!</definedName>
    <definedName name="_4TA" localSheetId="5">'[7]שמ"מ מ"ה'!#REF!</definedName>
    <definedName name="_4TA">'[6]שמ"מ מ"ה'!#REF!</definedName>
    <definedName name="_4TD" localSheetId="6">#REF!</definedName>
    <definedName name="_4TD" localSheetId="5">#REF!</definedName>
    <definedName name="_4TD">#REF!</definedName>
    <definedName name="_4TM" localSheetId="6">#REF!</definedName>
    <definedName name="_4TM" localSheetId="5">#REF!</definedName>
    <definedName name="_4TM">#REF!</definedName>
    <definedName name="_5A" localSheetId="6">#REF!</definedName>
    <definedName name="_5A" localSheetId="5">#REF!</definedName>
    <definedName name="_5A">#REF!</definedName>
    <definedName name="_5AI" localSheetId="6">#REF!</definedName>
    <definedName name="_5AI" localSheetId="5">#REF!</definedName>
    <definedName name="_5AI">#REF!</definedName>
    <definedName name="_5AMDA" localSheetId="6">#REF!</definedName>
    <definedName name="_5AMDA" localSheetId="5">#REF!</definedName>
    <definedName name="_5AMDA">#REF!</definedName>
    <definedName name="_5BMDA" localSheetId="6">#REF!</definedName>
    <definedName name="_5BMDA" localSheetId="5">#REF!</definedName>
    <definedName name="_5BMDA">#REF!</definedName>
    <definedName name="_5C" localSheetId="6">#REF!</definedName>
    <definedName name="_5C" localSheetId="5">#REF!</definedName>
    <definedName name="_5C">#REF!</definedName>
    <definedName name="_5CA" localSheetId="6">#REF!</definedName>
    <definedName name="_5CA" localSheetId="5">#REF!</definedName>
    <definedName name="_5CA">#REF!</definedName>
    <definedName name="_5CMDA" localSheetId="6">#REF!</definedName>
    <definedName name="_5CMDA" localSheetId="5">#REF!</definedName>
    <definedName name="_5CMDA">#REF!</definedName>
    <definedName name="_5D" localSheetId="6">#REF!</definedName>
    <definedName name="_5D" localSheetId="5">#REF!</definedName>
    <definedName name="_5D">#REF!</definedName>
    <definedName name="_5DMDA" localSheetId="6">#REF!</definedName>
    <definedName name="_5DMDA" localSheetId="5">#REF!</definedName>
    <definedName name="_5DMDA">#REF!</definedName>
    <definedName name="_5E" localSheetId="6">#REF!</definedName>
    <definedName name="_5E" localSheetId="5">#REF!</definedName>
    <definedName name="_5E">#REF!</definedName>
    <definedName name="_5EMDA" localSheetId="6">#REF!</definedName>
    <definedName name="_5EMDA" localSheetId="5">#REF!</definedName>
    <definedName name="_5EMDA">#REF!</definedName>
    <definedName name="_5FMDA" localSheetId="6">#REF!</definedName>
    <definedName name="_5FMDA" localSheetId="5">#REF!</definedName>
    <definedName name="_5FMDA">#REF!</definedName>
    <definedName name="_5G" localSheetId="6">#REF!</definedName>
    <definedName name="_5G" localSheetId="5">#REF!</definedName>
    <definedName name="_5G">#REF!</definedName>
    <definedName name="_5HE" localSheetId="6">#REF!</definedName>
    <definedName name="_5HE" localSheetId="5">#REF!</definedName>
    <definedName name="_5HE">#REF!</definedName>
    <definedName name="_5M" localSheetId="6">#REF!</definedName>
    <definedName name="_5M" localSheetId="5">#REF!</definedName>
    <definedName name="_5M">#REF!</definedName>
    <definedName name="_5MD" localSheetId="6">#REF!</definedName>
    <definedName name="_5MD" localSheetId="5">#REF!</definedName>
    <definedName name="_5MD">#REF!</definedName>
    <definedName name="_5MDA" localSheetId="6">#REF!</definedName>
    <definedName name="_5MDA" localSheetId="5">#REF!</definedName>
    <definedName name="_5MDA">#REF!</definedName>
    <definedName name="_5ME" localSheetId="6">#REF!</definedName>
    <definedName name="_5ME" localSheetId="5">#REF!</definedName>
    <definedName name="_5ME">#REF!</definedName>
    <definedName name="_5MG" localSheetId="6">#REF!</definedName>
    <definedName name="_5MG" localSheetId="5">#REF!</definedName>
    <definedName name="_5MG">#REF!</definedName>
    <definedName name="_5MM" localSheetId="6">#REF!</definedName>
    <definedName name="_5MM" localSheetId="5">#REF!</definedName>
    <definedName name="_5MM">#REF!</definedName>
    <definedName name="_5MS" localSheetId="6">#REF!</definedName>
    <definedName name="_5MS" localSheetId="5">#REF!</definedName>
    <definedName name="_5MS">#REF!</definedName>
    <definedName name="_5T" localSheetId="6">'[6]שמ"מ מ"ה'!#REF!</definedName>
    <definedName name="_5T" localSheetId="5">'[7]שמ"מ מ"ה'!#REF!</definedName>
    <definedName name="_5T">'[6]שמ"מ מ"ה'!#REF!</definedName>
    <definedName name="_5TA" localSheetId="6">'[6]שמ"מ מ"ה'!#REF!</definedName>
    <definedName name="_5TA" localSheetId="5">'[7]שמ"מ מ"ה'!#REF!</definedName>
    <definedName name="_5TA">'[6]שמ"מ מ"ה'!#REF!</definedName>
    <definedName name="_5TD" localSheetId="6">#REF!</definedName>
    <definedName name="_5TD" localSheetId="5">#REF!</definedName>
    <definedName name="_5TD">#REF!</definedName>
    <definedName name="_6A" localSheetId="6">#REF!</definedName>
    <definedName name="_6A" localSheetId="5">#REF!</definedName>
    <definedName name="_6A">#REF!</definedName>
    <definedName name="_6AI" localSheetId="6">#REF!</definedName>
    <definedName name="_6AI" localSheetId="5">#REF!</definedName>
    <definedName name="_6AI">#REF!</definedName>
    <definedName name="_6C" localSheetId="6">#REF!</definedName>
    <definedName name="_6C" localSheetId="5">#REF!</definedName>
    <definedName name="_6C">#REF!</definedName>
    <definedName name="_6D" localSheetId="6">#REF!</definedName>
    <definedName name="_6D" localSheetId="5">#REF!</definedName>
    <definedName name="_6D">#REF!</definedName>
    <definedName name="_6E" localSheetId="6">#REF!</definedName>
    <definedName name="_6E" localSheetId="5">#REF!</definedName>
    <definedName name="_6E">#REF!</definedName>
    <definedName name="_6G" localSheetId="6">#REF!</definedName>
    <definedName name="_6G" localSheetId="5">#REF!</definedName>
    <definedName name="_6G">#REF!</definedName>
    <definedName name="_6M" localSheetId="6">#REF!</definedName>
    <definedName name="_6M" localSheetId="5">#REF!</definedName>
    <definedName name="_6M">#REF!</definedName>
    <definedName name="_6MD" localSheetId="6">#REF!</definedName>
    <definedName name="_6MD" localSheetId="5">#REF!</definedName>
    <definedName name="_6MD">#REF!</definedName>
    <definedName name="_6MDA" localSheetId="6">#REF!</definedName>
    <definedName name="_6MDA" localSheetId="5">#REF!</definedName>
    <definedName name="_6MDA">#REF!</definedName>
    <definedName name="_6ME" localSheetId="6">#REF!</definedName>
    <definedName name="_6ME" localSheetId="5">#REF!</definedName>
    <definedName name="_6ME">#REF!</definedName>
    <definedName name="_6MG" localSheetId="6">#REF!</definedName>
    <definedName name="_6MG" localSheetId="5">#REF!</definedName>
    <definedName name="_6MG">#REF!</definedName>
    <definedName name="_6MM" localSheetId="6">#REF!</definedName>
    <definedName name="_6MM" localSheetId="5">#REF!</definedName>
    <definedName name="_6MM">#REF!</definedName>
    <definedName name="_6MS" localSheetId="6">#REF!</definedName>
    <definedName name="_6MS" localSheetId="5">#REF!</definedName>
    <definedName name="_6MS">#REF!</definedName>
    <definedName name="_6TA" localSheetId="6">'[6]שמ"מ מ"ה'!#REF!</definedName>
    <definedName name="_6TA" localSheetId="5">'[7]שמ"מ מ"ה'!#REF!</definedName>
    <definedName name="_6TA">'[6]שמ"מ מ"ה'!#REF!</definedName>
    <definedName name="_6TD" localSheetId="6">#REF!</definedName>
    <definedName name="_6TD" localSheetId="5">#REF!</definedName>
    <definedName name="_6TD">#REF!</definedName>
    <definedName name="_6TE" localSheetId="6">#REF!</definedName>
    <definedName name="_6TE" localSheetId="5">#REF!</definedName>
    <definedName name="_6TE">#REF!</definedName>
    <definedName name="_6TM" localSheetId="6">#REF!</definedName>
    <definedName name="_6TM" localSheetId="5">#REF!</definedName>
    <definedName name="_6TM">#REF!</definedName>
    <definedName name="_7.5MG" localSheetId="6">#REF!</definedName>
    <definedName name="_7.5MG" localSheetId="5">#REF!</definedName>
    <definedName name="_7.5MG">#REF!</definedName>
    <definedName name="_7A" localSheetId="6">#REF!</definedName>
    <definedName name="_7A" localSheetId="5">#REF!</definedName>
    <definedName name="_7A">#REF!</definedName>
    <definedName name="_7AB" localSheetId="6">#REF!</definedName>
    <definedName name="_7AB" localSheetId="5">#REF!</definedName>
    <definedName name="_7AB">#REF!</definedName>
    <definedName name="_7AC" localSheetId="6">#REF!</definedName>
    <definedName name="_7AC" localSheetId="5">#REF!</definedName>
    <definedName name="_7AC">#REF!</definedName>
    <definedName name="_7C" localSheetId="6">#REF!</definedName>
    <definedName name="_7C" localSheetId="5">#REF!</definedName>
    <definedName name="_7C">#REF!</definedName>
    <definedName name="_7D" localSheetId="6">#REF!</definedName>
    <definedName name="_7D" localSheetId="5">#REF!</definedName>
    <definedName name="_7D">#REF!</definedName>
    <definedName name="_7E" localSheetId="6">#REF!</definedName>
    <definedName name="_7E" localSheetId="5">#REF!</definedName>
    <definedName name="_7E">#REF!</definedName>
    <definedName name="_7G" localSheetId="6">#REF!</definedName>
    <definedName name="_7G" localSheetId="5">#REF!</definedName>
    <definedName name="_7G">#REF!</definedName>
    <definedName name="_7M" localSheetId="6">#REF!</definedName>
    <definedName name="_7M" localSheetId="5">#REF!</definedName>
    <definedName name="_7M">#REF!</definedName>
    <definedName name="_7MD" localSheetId="6">#REF!</definedName>
    <definedName name="_7MD" localSheetId="5">#REF!</definedName>
    <definedName name="_7MD">#REF!</definedName>
    <definedName name="_7ME" localSheetId="6">#REF!</definedName>
    <definedName name="_7ME" localSheetId="5">#REF!</definedName>
    <definedName name="_7ME">#REF!</definedName>
    <definedName name="_7MG" localSheetId="6">#REF!</definedName>
    <definedName name="_7MG" localSheetId="5">#REF!</definedName>
    <definedName name="_7MG">#REF!</definedName>
    <definedName name="_7MM" localSheetId="6">#REF!</definedName>
    <definedName name="_7MM" localSheetId="5">#REF!</definedName>
    <definedName name="_7MM">#REF!</definedName>
    <definedName name="_7MS" localSheetId="6">#REF!</definedName>
    <definedName name="_7MS" localSheetId="5">#REF!</definedName>
    <definedName name="_7MS">#REF!</definedName>
    <definedName name="_7TA" localSheetId="6">'[6]שמ"מ מ"ה'!#REF!</definedName>
    <definedName name="_7TA" localSheetId="5">'[7]שמ"מ מ"ה'!#REF!</definedName>
    <definedName name="_7TA">'[6]שמ"מ מ"ה'!#REF!</definedName>
    <definedName name="_8A" localSheetId="6">#REF!</definedName>
    <definedName name="_8A" localSheetId="5">#REF!</definedName>
    <definedName name="_8A">#REF!</definedName>
    <definedName name="_8C" localSheetId="6">#REF!</definedName>
    <definedName name="_8C" localSheetId="5">#REF!</definedName>
    <definedName name="_8C">#REF!</definedName>
    <definedName name="_8D" localSheetId="6">#REF!</definedName>
    <definedName name="_8D" localSheetId="5">#REF!</definedName>
    <definedName name="_8D">#REF!</definedName>
    <definedName name="_8E" localSheetId="6">#REF!</definedName>
    <definedName name="_8E" localSheetId="5">#REF!</definedName>
    <definedName name="_8E">#REF!</definedName>
    <definedName name="_8G" localSheetId="6">#REF!</definedName>
    <definedName name="_8G" localSheetId="5">#REF!</definedName>
    <definedName name="_8G">#REF!</definedName>
    <definedName name="_8M" localSheetId="6">#REF!</definedName>
    <definedName name="_8M" localSheetId="5">#REF!</definedName>
    <definedName name="_8M">#REF!</definedName>
    <definedName name="_8MD" localSheetId="6">#REF!</definedName>
    <definedName name="_8MD" localSheetId="5">#REF!</definedName>
    <definedName name="_8MD">#REF!</definedName>
    <definedName name="_8MDA" localSheetId="6">#REF!</definedName>
    <definedName name="_8MDA" localSheetId="5">#REF!</definedName>
    <definedName name="_8MDA">#REF!</definedName>
    <definedName name="_8ME" localSheetId="6">#REF!</definedName>
    <definedName name="_8ME" localSheetId="5">#REF!</definedName>
    <definedName name="_8ME">#REF!</definedName>
    <definedName name="_8MG" localSheetId="6">#REF!</definedName>
    <definedName name="_8MG" localSheetId="5">#REF!</definedName>
    <definedName name="_8MG">#REF!</definedName>
    <definedName name="_8MG1" localSheetId="6">#REF!</definedName>
    <definedName name="_8MG1" localSheetId="5">#REF!</definedName>
    <definedName name="_8MG1">#REF!</definedName>
    <definedName name="_8MM" localSheetId="6">#REF!</definedName>
    <definedName name="_8MM" localSheetId="5">#REF!</definedName>
    <definedName name="_8MM">#REF!</definedName>
    <definedName name="_8MS" localSheetId="6">#REF!</definedName>
    <definedName name="_8MS" localSheetId="5">#REF!</definedName>
    <definedName name="_8MS">#REF!</definedName>
    <definedName name="_9A" localSheetId="6">#REF!</definedName>
    <definedName name="_9A" localSheetId="5">#REF!</definedName>
    <definedName name="_9A">#REF!</definedName>
    <definedName name="_9C" localSheetId="6">#REF!</definedName>
    <definedName name="_9C" localSheetId="5">#REF!</definedName>
    <definedName name="_9C">#REF!</definedName>
    <definedName name="_9E" localSheetId="6">#REF!</definedName>
    <definedName name="_9E" localSheetId="5">#REF!</definedName>
    <definedName name="_9E">#REF!</definedName>
    <definedName name="_9G" localSheetId="6">#REF!</definedName>
    <definedName name="_9G" localSheetId="5">#REF!</definedName>
    <definedName name="_9G">#REF!</definedName>
    <definedName name="_9M" localSheetId="6">#REF!</definedName>
    <definedName name="_9M" localSheetId="5">#REF!</definedName>
    <definedName name="_9M">#REF!</definedName>
    <definedName name="_9MD" localSheetId="6">#REF!</definedName>
    <definedName name="_9MD" localSheetId="5">#REF!</definedName>
    <definedName name="_9MD">#REF!</definedName>
    <definedName name="_9MDA" localSheetId="6">#REF!</definedName>
    <definedName name="_9MDA" localSheetId="5">#REF!</definedName>
    <definedName name="_9MDA">#REF!</definedName>
    <definedName name="_9ME" localSheetId="6">#REF!</definedName>
    <definedName name="_9ME" localSheetId="5">#REF!</definedName>
    <definedName name="_9ME">#REF!</definedName>
    <definedName name="_9MG" localSheetId="6">#REF!</definedName>
    <definedName name="_9MG" localSheetId="5">#REF!</definedName>
    <definedName name="_9MG">#REF!</definedName>
    <definedName name="_9MM" localSheetId="6">#REF!</definedName>
    <definedName name="_9MM" localSheetId="5">#REF!</definedName>
    <definedName name="_9MM">#REF!</definedName>
    <definedName name="_a1" localSheetId="6" hidden="1">{"mgmt forecast",#N/A,FALSE,"Mgmt Forecast";"dcf table",#N/A,FALSE,"Mgmt Forecast";"sensitivity",#N/A,FALSE,"Mgmt Forecast";"table inputs",#N/A,FALSE,"Mgmt Forecast";"calculations",#N/A,FALSE,"Mgmt Forecast"}</definedName>
    <definedName name="_a1" localSheetId="5" hidden="1">{"mgmt forecast",#N/A,FALSE,"Mgmt Forecast";"dcf table",#N/A,FALSE,"Mgmt Forecast";"sensitivity",#N/A,FALSE,"Mgmt Forecast";"table inputs",#N/A,FALSE,"Mgmt Forecast";"calculations",#N/A,FALSE,"Mgmt Forecast"}</definedName>
    <definedName name="_a1" hidden="1">{"mgmt forecast",#N/A,FALSE,"Mgmt Forecast";"dcf table",#N/A,FALSE,"Mgmt Forecast";"sensitivity",#N/A,FALSE,"Mgmt Forecast";"table inputs",#N/A,FALSE,"Mgmt Forecast";"calculations",#N/A,FALSE,"Mgmt Forecast"}</definedName>
    <definedName name="_a2" localSheetId="6" hidden="1">{"mgmt forecast",#N/A,FALSE,"Mgmt Forecast";"dcf table",#N/A,FALSE,"Mgmt Forecast";"sensitivity",#N/A,FALSE,"Mgmt Forecast";"table inputs",#N/A,FALSE,"Mgmt Forecast";"calculations",#N/A,FALSE,"Mgmt Forecast"}</definedName>
    <definedName name="_a2" localSheetId="5" hidden="1">{"mgmt forecast",#N/A,FALSE,"Mgmt Forecast";"dcf table",#N/A,FALSE,"Mgmt Forecast";"sensitivity",#N/A,FALSE,"Mgmt Forecast";"table inputs",#N/A,FALSE,"Mgmt Forecast";"calculations",#N/A,FALSE,"Mgmt Forecast"}</definedName>
    <definedName name="_a2" hidden="1">{"mgmt forecast",#N/A,FALSE,"Mgmt Forecast";"dcf table",#N/A,FALSE,"Mgmt Forecast";"sensitivity",#N/A,FALSE,"Mgmt Forecast";"table inputs",#N/A,FALSE,"Mgmt Forecast";"calculations",#N/A,FALSE,"Mgmt Forecast"}</definedName>
    <definedName name="_app4" localSheetId="6" hidden="1">{#N/A,#N/A,TRUE,"Cover sheet";#N/A,#N/A,TRUE,"Summary";#N/A,#N/A,TRUE,"Key Assumptions";#N/A,#N/A,TRUE,"Profit &amp; Loss";#N/A,#N/A,TRUE,"Balance Sheet";#N/A,#N/A,TRUE,"Cashflow";#N/A,#N/A,TRUE,"IRR";#N/A,#N/A,TRUE,"Ratios";#N/A,#N/A,TRUE,"Debt analysis"}</definedName>
    <definedName name="_app4" localSheetId="5" hidden="1">{#N/A,#N/A,TRUE,"Cover sheet";#N/A,#N/A,TRUE,"Summary";#N/A,#N/A,TRUE,"Key Assumptions";#N/A,#N/A,TRUE,"Profit &amp; Loss";#N/A,#N/A,TRUE,"Balance Sheet";#N/A,#N/A,TRUE,"Cashflow";#N/A,#N/A,TRUE,"IRR";#N/A,#N/A,TRUE,"Ratios";#N/A,#N/A,TRUE,"Debt analysis"}</definedName>
    <definedName name="_app4" hidden="1">{#N/A,#N/A,TRUE,"Cover sheet";#N/A,#N/A,TRUE,"Summary";#N/A,#N/A,TRUE,"Key Assumptions";#N/A,#N/A,TRUE,"Profit &amp; Loss";#N/A,#N/A,TRUE,"Balance Sheet";#N/A,#N/A,TRUE,"Cashflow";#N/A,#N/A,TRUE,"IRR";#N/A,#N/A,TRUE,"Ratios";#N/A,#N/A,TRUE,"Debt analysis"}</definedName>
    <definedName name="_Aug98">'[9]הקצאות מימושים ופקיעות'!#REF!</definedName>
    <definedName name="_DAT1" localSheetId="6">#REF!</definedName>
    <definedName name="_DAT1" localSheetId="5">#REF!</definedName>
    <definedName name="_DAT1">#REF!</definedName>
    <definedName name="_DAT10" localSheetId="6">#REF!</definedName>
    <definedName name="_DAT10" localSheetId="5">#REF!</definedName>
    <definedName name="_DAT10">#REF!</definedName>
    <definedName name="_DAT11" localSheetId="6">#REF!</definedName>
    <definedName name="_DAT11" localSheetId="5">#REF!</definedName>
    <definedName name="_DAT11">#REF!</definedName>
    <definedName name="_DAT12" localSheetId="6">#REF!</definedName>
    <definedName name="_DAT12" localSheetId="5">#REF!</definedName>
    <definedName name="_DAT12">#REF!</definedName>
    <definedName name="_DAT13" localSheetId="6">#REF!</definedName>
    <definedName name="_DAT13" localSheetId="5">#REF!</definedName>
    <definedName name="_DAT13">#REF!</definedName>
    <definedName name="_DAT14" localSheetId="6">#REF!</definedName>
    <definedName name="_DAT14" localSheetId="5">#REF!</definedName>
    <definedName name="_DAT14">#REF!</definedName>
    <definedName name="_DAT15" localSheetId="6">#REF!</definedName>
    <definedName name="_DAT15" localSheetId="5">#REF!</definedName>
    <definedName name="_DAT15">#REF!</definedName>
    <definedName name="_DAT2" localSheetId="6">#REF!</definedName>
    <definedName name="_DAT2" localSheetId="5">#REF!</definedName>
    <definedName name="_DAT2">#REF!</definedName>
    <definedName name="_DAT3" localSheetId="6">#REF!</definedName>
    <definedName name="_DAT3" localSheetId="5">#REF!</definedName>
    <definedName name="_DAT3">#REF!</definedName>
    <definedName name="_DAT4" localSheetId="6">#REF!</definedName>
    <definedName name="_DAT4" localSheetId="5">#REF!</definedName>
    <definedName name="_DAT4">#REF!</definedName>
    <definedName name="_DAT5" localSheetId="6">#REF!</definedName>
    <definedName name="_DAT5" localSheetId="5">#REF!</definedName>
    <definedName name="_DAT5">#REF!</definedName>
    <definedName name="_DAT6" localSheetId="6">#REF!</definedName>
    <definedName name="_DAT6" localSheetId="5">#REF!</definedName>
    <definedName name="_DAT6">#REF!</definedName>
    <definedName name="_DAT7" localSheetId="6">#REF!</definedName>
    <definedName name="_DAT7" localSheetId="5">#REF!</definedName>
    <definedName name="_DAT7">#REF!</definedName>
    <definedName name="_DAT8" localSheetId="6">#REF!</definedName>
    <definedName name="_DAT8" localSheetId="5">#REF!</definedName>
    <definedName name="_DAT8">#REF!</definedName>
    <definedName name="_DAT9" localSheetId="6">#REF!</definedName>
    <definedName name="_DAT9" localSheetId="5">#REF!</definedName>
    <definedName name="_DAT9">#REF!</definedName>
    <definedName name="_DCF1" localSheetId="6" hidden="1">{"Back Page",#N/A,FALSE,"Front and Back"}</definedName>
    <definedName name="_DCF1" localSheetId="5" hidden="1">{"Back Page",#N/A,FALSE,"Front and Back"}</definedName>
    <definedName name="_DCF1" hidden="1">{"Back Page",#N/A,FALSE,"Front and Back"}</definedName>
    <definedName name="_DEC90">#REF!</definedName>
    <definedName name="_DEC91" localSheetId="5">#REF!</definedName>
    <definedName name="_DEC91">#REF!</definedName>
    <definedName name="_DEC92" localSheetId="5">#REF!</definedName>
    <definedName name="_DEC92">#REF!</definedName>
    <definedName name="_DEC93">#REF!</definedName>
    <definedName name="_feb99" localSheetId="5">'[9]הקצאות מימושים ופקיעות'!#REF!</definedName>
    <definedName name="_feb99">'[9]הקצאות מימושים ופקיעות'!#REF!</definedName>
    <definedName name="_Fill" localSheetId="6" hidden="1">#REF!</definedName>
    <definedName name="_Fill" localSheetId="5" hidden="1">#REF!</definedName>
    <definedName name="_Fill" hidden="1">#REF!</definedName>
    <definedName name="_xlnm._FilterDatabase" localSheetId="3" hidden="1">'TB INC'!$A$2:$F$79</definedName>
    <definedName name="_xlnm._FilterDatabase" localSheetId="1" hidden="1">'TB LTD 2021'!$A$2:$I$280</definedName>
    <definedName name="_GSRATES_1" hidden="1">"CT300001Latest          "</definedName>
    <definedName name="_GSRATES_2" hidden="1">"H20070129Latest  USDEUR1000001"</definedName>
    <definedName name="_GSRATES_3" hidden="1">"H20060711Latest  EURUSD1000001"</definedName>
    <definedName name="_GSRATES_4" hidden="1">"H20051206Latest  USDEUR1000001"</definedName>
    <definedName name="_GSRATES_5" hidden="1">"H20060307Latest  GBPEUR1000001"</definedName>
    <definedName name="_GSRATES_6" hidden="1">"H20060714Latest  GBPUSD1000001"</definedName>
    <definedName name="_GSRATES_7" hidden="1">"CT30000119980930        "</definedName>
    <definedName name="_GSRATES_8" hidden="1">"CT30000119980630        "</definedName>
    <definedName name="_GSRATES_9" hidden="1">"CT30000119980331        "</definedName>
    <definedName name="_GSRATES_COUNT" hidden="1">1</definedName>
    <definedName name="_ICP1" localSheetId="6">#REF!</definedName>
    <definedName name="_ICP1" localSheetId="5">#REF!</definedName>
    <definedName name="_ICP1">#REF!</definedName>
    <definedName name="_JUN94">#REF!</definedName>
    <definedName name="_Key1" localSheetId="6">#REF!</definedName>
    <definedName name="_Key1">#REF!</definedName>
    <definedName name="_Key2" localSheetId="6">#REF!</definedName>
    <definedName name="_Key2">#REF!</definedName>
    <definedName name="_MAR94">#REF!</definedName>
    <definedName name="_May98" localSheetId="5">'[9]הקצאות מימושים ופקיעות'!#REF!</definedName>
    <definedName name="_May98">'[9]הקצאות מימושים ופקיעות'!#REF!</definedName>
    <definedName name="_MxpDBData_">[10]גיליון1!$A$1:$J$1068</definedName>
    <definedName name="_ND1" localSheetId="6">#REF!</definedName>
    <definedName name="_ND1" localSheetId="5">#REF!</definedName>
    <definedName name="_ND1">#REF!</definedName>
    <definedName name="_OM9" localSheetId="6">#REF!</definedName>
    <definedName name="_OM9" localSheetId="5">#REF!</definedName>
    <definedName name="_OM9">#REF!</definedName>
    <definedName name="_Order1" hidden="1">255</definedName>
    <definedName name="_Order2" hidden="1">255</definedName>
    <definedName name="_Regression_Int" hidden="1">1</definedName>
    <definedName name="_rk1">[3]מעגלים!$A$1:$F$18,[3]מעגלים!$G$1:$L$18,[3]מעגלים!$M$1:$R$18,[3]מעגלים!$Y$1:$AD$18,[3]מעגלים!$AE$1:$AJ$18,[3]מעגלים!$AK$1:$AP$18,[3]מעגלים!$AQ$1:$AV$18,[3]מעגלים!$AW$1:$BB$18,[3]מעגלים!$BC$1:$BJ$18</definedName>
    <definedName name="_RQ1" localSheetId="6">#REF!</definedName>
    <definedName name="_RQ1" localSheetId="5">#REF!</definedName>
    <definedName name="_RQ1">#REF!</definedName>
    <definedName name="_RQ2" localSheetId="6">#REF!</definedName>
    <definedName name="_RQ2" localSheetId="5">#REF!</definedName>
    <definedName name="_RQ2">#REF!</definedName>
    <definedName name="_RQS1" localSheetId="6">#REF!</definedName>
    <definedName name="_RQS1" localSheetId="5">#REF!</definedName>
    <definedName name="_RQS1">#REF!</definedName>
    <definedName name="_RQS2" localSheetId="6">#REF!</definedName>
    <definedName name="_RQS2" localSheetId="5">#REF!</definedName>
    <definedName name="_RQS2">#REF!</definedName>
    <definedName name="_SEP92">#REF!</definedName>
    <definedName name="_SEP93">#REF!</definedName>
    <definedName name="_SEP94">#REF!</definedName>
    <definedName name="_Sort" localSheetId="6">#REF!</definedName>
    <definedName name="_Sort">#REF!</definedName>
    <definedName name="_TAD4" localSheetId="6">#REF!</definedName>
    <definedName name="_TAD4" localSheetId="5">#REF!</definedName>
    <definedName name="_TAD4">#REF!</definedName>
    <definedName name="_TAD5" localSheetId="6">#REF!</definedName>
    <definedName name="_TAD5" localSheetId="5">#REF!</definedName>
    <definedName name="_TAD5">#REF!</definedName>
    <definedName name="_Toc26607186" localSheetId="8">FS!$A$199</definedName>
    <definedName name="_Toc26607187" localSheetId="8">FS!$A$209</definedName>
    <definedName name="_Toc26607193" localSheetId="8">FS!$A$292</definedName>
    <definedName name="_Toc26607196" localSheetId="8">FS!$A$317</definedName>
    <definedName name="_Toc26607197" localSheetId="8">FS!$A$318</definedName>
    <definedName name="_Toc26607205" localSheetId="8">FS!$A$388</definedName>
    <definedName name="_Toc26607206" localSheetId="8">FS!$A$400</definedName>
    <definedName name="_Toc26607242" localSheetId="8">FS!$A$463</definedName>
    <definedName name="_Toc26607715" localSheetId="8">FS!$A$199</definedName>
    <definedName name="_Toc26607716" localSheetId="8">FS!$A$209</definedName>
    <definedName name="_Toc26607722" localSheetId="8">FS!$A$292</definedName>
    <definedName name="_Toc26607725" localSheetId="8">FS!$A$317</definedName>
    <definedName name="_Toc26607734" localSheetId="8">FS!$A$388</definedName>
    <definedName name="_Toc26607735" localSheetId="8">FS!$A$400</definedName>
    <definedName name="_Toc26607771" localSheetId="8">FS!$A$463</definedName>
    <definedName name="_Toc29796629" localSheetId="8">FS!$A$37</definedName>
    <definedName name="_Toc532800353" localSheetId="8">FS!$A$5</definedName>
    <definedName name="_Toc532800357" localSheetId="8">FS!$A$141</definedName>
    <definedName name="_Toc532800360" localSheetId="8">FS!$A$195</definedName>
    <definedName name="_Toc535127680" localSheetId="8">FS!$A$222</definedName>
    <definedName name="_Toc60984435" localSheetId="8">FS!$A$382</definedName>
    <definedName name="_us0301">'[4]מדדים ושע"ח'!$C$22</definedName>
    <definedName name="A" localSheetId="5">'[1]טורים 98'!$DU$14</definedName>
    <definedName name="A">'[2]טורים 98'!$DU$14</definedName>
    <definedName name="aa" localSheetId="6">#REF!</definedName>
    <definedName name="aa" localSheetId="5">#REF!</definedName>
    <definedName name="aa">#REF!</definedName>
    <definedName name="aaa" localSheetId="6" hidden="1">{#N/A,#N/A,FALSE,"מאזן";#N/A,#N/A,FALSE,"רווהפ";#N/A,#N/A,FALSE,"שינויים בהון";#N/A,#N/A,FALSE,"תזרים";#N/A,#N/A,FALSE,"נספח - התאמות";#N/A,#N/A,FALSE,"ני""ע לתזרים";#N/A,#N/A,FALSE,"פירוטים לדוחות"}</definedName>
    <definedName name="aaa" localSheetId="5" hidden="1">{#N/A,#N/A,FALSE,"מאזן";#N/A,#N/A,FALSE,"רווהפ";#N/A,#N/A,FALSE,"שינויים בהון";#N/A,#N/A,FALSE,"תזרים";#N/A,#N/A,FALSE,"נספח - התאמות";#N/A,#N/A,FALSE,"ני""ע לתזרים";#N/A,#N/A,FALSE,"פירוטים לדוחות"}</definedName>
    <definedName name="aaa" hidden="1">{#N/A,#N/A,FALSE,"מאזן";#N/A,#N/A,FALSE,"רווהפ";#N/A,#N/A,FALSE,"שינויים בהון";#N/A,#N/A,FALSE,"תזרים";#N/A,#N/A,FALSE,"נספח - התאמות";#N/A,#N/A,FALSE,"ני""ע לתזרים";#N/A,#N/A,FALSE,"פירוטים לדוחות"}</definedName>
    <definedName name="AAA_DOCTOPS" hidden="1">"AAA_SET"</definedName>
    <definedName name="AAA_duser" hidden="1">"OFF"</definedName>
    <definedName name="aaaaaaaaaaaaa" localSheetId="6" hidden="1">{#N/A,#N/A,FALSE,"מאזן";#N/A,#N/A,FALSE,"רווהפ";#N/A,#N/A,FALSE,"שינויים בהון";#N/A,#N/A,FALSE,"תזרים";#N/A,#N/A,FALSE,"נספח - התאמות";#N/A,#N/A,FALSE,"ני""ע לתזרים";#N/A,#N/A,FALSE,"פירוטים לדוחות"}</definedName>
    <definedName name="aaaaaaaaaaaaa" localSheetId="5" hidden="1">{#N/A,#N/A,FALSE,"מאזן";#N/A,#N/A,FALSE,"רווהפ";#N/A,#N/A,FALSE,"שינויים בהון";#N/A,#N/A,FALSE,"תזרים";#N/A,#N/A,FALSE,"נספח - התאמות";#N/A,#N/A,FALSE,"ני""ע לתזרים";#N/A,#N/A,FALSE,"פירוטים לדוחות"}</definedName>
    <definedName name="aaaaaaaaaaaaa" hidden="1">{#N/A,#N/A,FALSE,"מאזן";#N/A,#N/A,FALSE,"רווהפ";#N/A,#N/A,FALSE,"שינויים בהון";#N/A,#N/A,FALSE,"תזרים";#N/A,#N/A,FALSE,"נספח - התאמות";#N/A,#N/A,FALSE,"ני""ע לתזרים";#N/A,#N/A,FALSE,"פירוטים לדוחות"}</definedName>
    <definedName name="aaaaaaaaaaaaaaaaaaaaaaaaa" localSheetId="6" hidden="1">{"Front Page",#N/A,FALSE,"Front and Back"}</definedName>
    <definedName name="aaaaaaaaaaaaaaaaaaaaaaaaa" localSheetId="5" hidden="1">{"Front Page",#N/A,FALSE,"Front and Back"}</definedName>
    <definedName name="aaaaaaaaaaaaaaaaaaaaaaaaa" hidden="1">{"Front Page",#N/A,FALSE,"Front and Back"}</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ppppppppppppppp" localSheetId="6" hidden="1">{"EUUTIGRP","COMPANIES",TRUE}</definedName>
    <definedName name="aappppppppppppppp" localSheetId="5" hidden="1">{"EUUTIGRP","COMPANIES",TRUE}</definedName>
    <definedName name="aappppppppppppppp" hidden="1">{"EUUTIGRP","COMPANIES",TRUE}</definedName>
    <definedName name="abc" localSheetId="6" hidden="1">{#N/A,#N/A,TRUE,"Cover sheet";#N/A,#N/A,TRUE,"Summary";#N/A,#N/A,TRUE,"Key Assumptions";#N/A,#N/A,TRUE,"Profit &amp; Loss";#N/A,#N/A,TRUE,"Balance Sheet";#N/A,#N/A,TRUE,"Cashflow";#N/A,#N/A,TRUE,"IRR";#N/A,#N/A,TRUE,"Ratios";#N/A,#N/A,TRUE,"Debt analysis"}</definedName>
    <definedName name="abc" localSheetId="5" hidden="1">{#N/A,#N/A,TRUE,"Cover sheet";#N/A,#N/A,TRUE,"Summary";#N/A,#N/A,TRUE,"Key Assumptions";#N/A,#N/A,TRUE,"Profit &amp; Loss";#N/A,#N/A,TRUE,"Balance Sheet";#N/A,#N/A,TRUE,"Cashflow";#N/A,#N/A,TRUE,"IRR";#N/A,#N/A,TRUE,"Ratios";#N/A,#N/A,TRUE,"Debt analysis"}</definedName>
    <definedName name="abc" hidden="1">{#N/A,#N/A,TRUE,"Cover sheet";#N/A,#N/A,TRUE,"Summary";#N/A,#N/A,TRUE,"Key Assumptions";#N/A,#N/A,TRUE,"Profit &amp; Loss";#N/A,#N/A,TRUE,"Balance Sheet";#N/A,#N/A,TRUE,"Cashflow";#N/A,#N/A,TRUE,"IRR";#N/A,#N/A,TRUE,"Ratios";#N/A,#N/A,TRUE,"Debt analysis"}</definedName>
    <definedName name="Account_num" localSheetId="5">'[11]general ledger'!$B$16:$B$760</definedName>
    <definedName name="Account_num">'[12]general ledger'!$B$16:$B$760</definedName>
    <definedName name="accounts">'[13]Account Value'!$B$4:$C$349</definedName>
    <definedName name="ACMAD" localSheetId="5">'[1]טורים 98'!$FC$1:$GH$150</definedName>
    <definedName name="ACMAD">'[2]טורים 98'!$FC$1:$GH$150</definedName>
    <definedName name="ACwvu.FULL." localSheetId="6" hidden="1">#REF!</definedName>
    <definedName name="ACwvu.FULL." localSheetId="5" hidden="1">#REF!</definedName>
    <definedName name="ACwvu.FULL." hidden="1">#REF!</definedName>
    <definedName name="ACwvu.MLAIM._.PER._.THUM." localSheetId="6" hidden="1">#REF!</definedName>
    <definedName name="ACwvu.MLAIM._.PER._.THUM." localSheetId="5" hidden="1">#REF!</definedName>
    <definedName name="ACwvu.MLAIM._.PER._.THUM." hidden="1">#REF!</definedName>
    <definedName name="ACwvu.PROJECTS._.INV_ADV." localSheetId="6" hidden="1">#REF!</definedName>
    <definedName name="ACwvu.PROJECTS._.INV_ADV." localSheetId="5" hidden="1">#REF!</definedName>
    <definedName name="ACwvu.PROJECTS._.INV_ADV." hidden="1">#REF!</definedName>
    <definedName name="ACwvu.QUARTERLY._.PROFITS." localSheetId="6" hidden="1">#REF!</definedName>
    <definedName name="ACwvu.QUARTERLY._.PROFITS." localSheetId="5" hidden="1">#REF!</definedName>
    <definedName name="ACwvu.QUARTERLY._.PROFITS." hidden="1">#REF!</definedName>
    <definedName name="ACwvu.REGULAR." localSheetId="6" hidden="1">#REF!</definedName>
    <definedName name="ACwvu.REGULAR." localSheetId="5" hidden="1">#REF!</definedName>
    <definedName name="ACwvu.REGULAR." hidden="1">#REF!</definedName>
    <definedName name="ACwvu.טוביה." localSheetId="6" hidden="1">#REF!</definedName>
    <definedName name="ACwvu.טוביה." localSheetId="5" hidden="1">#REF!</definedName>
    <definedName name="ACwvu.טוביה." hidden="1">#REF!</definedName>
    <definedName name="AGI" localSheetId="5">'[1]טורים 98'!$GT$191</definedName>
    <definedName name="AGI">'[2]טורים 98'!$GT$191</definedName>
    <definedName name="AGINIS" localSheetId="6">#REF!</definedName>
    <definedName name="AGINIS" localSheetId="5">#REF!</definedName>
    <definedName name="AGINIS">#REF!</definedName>
    <definedName name="All_the_budget" localSheetId="5">#REF!</definedName>
    <definedName name="All_the_budget">#REF!</definedName>
    <definedName name="anscount" hidden="1">1</definedName>
    <definedName name="appendix4" localSheetId="6" hidden="1">{#N/A,#N/A,TRUE,"Cover sheet";#N/A,#N/A,TRUE,"Summary";#N/A,#N/A,TRUE,"Key Assumptions";#N/A,#N/A,TRUE,"Profit &amp; Loss";#N/A,#N/A,TRUE,"Balance Sheet";#N/A,#N/A,TRUE,"Cashflow";#N/A,#N/A,TRUE,"IRR";#N/A,#N/A,TRUE,"Ratios";#N/A,#N/A,TRUE,"Debt analysis"}</definedName>
    <definedName name="appendix4" localSheetId="5"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S2DocOpenMode" hidden="1">"AS2DocumentEdit"</definedName>
    <definedName name="AS2ReportLS" hidden="1">1</definedName>
    <definedName name="AS2SyncStepLS" hidden="1">0</definedName>
    <definedName name="AS2VersionLS" hidden="1">300</definedName>
    <definedName name="asd" localSheetId="6" hidden="1">{"10yp profit and loss",#N/A,FALSE,"Celtel alternative 6"}</definedName>
    <definedName name="asd" localSheetId="5" hidden="1">{"10yp profit and loss",#N/A,FALSE,"Celtel alternative 6"}</definedName>
    <definedName name="asd" hidden="1">{"10yp profit and loss",#N/A,FALSE,"Celtel alternative 6"}</definedName>
    <definedName name="asdf" localSheetId="6" hidden="1">{#N/A,#N/A,FALSE,"מאזן";#N/A,#N/A,FALSE,"רווהפ";#N/A,#N/A,FALSE,"שינויים בהון";#N/A,#N/A,FALSE,"תזרים";#N/A,#N/A,FALSE,"נספח - התאמות";#N/A,#N/A,FALSE,"ני""ע לתזרים";#N/A,#N/A,FALSE,"פירוטים לדוחות"}</definedName>
    <definedName name="asdf" localSheetId="5" hidden="1">{#N/A,#N/A,FALSE,"מאזן";#N/A,#N/A,FALSE,"רווהפ";#N/A,#N/A,FALSE,"שינויים בהון";#N/A,#N/A,FALSE,"תזרים";#N/A,#N/A,FALSE,"נספח - התאמות";#N/A,#N/A,FALSE,"ני""ע לתזרים";#N/A,#N/A,FALSE,"פירוטים לדוחות"}</definedName>
    <definedName name="asdf" hidden="1">{#N/A,#N/A,FALSE,"מאזן";#N/A,#N/A,FALSE,"רווהפ";#N/A,#N/A,FALSE,"שינויים בהון";#N/A,#N/A,FALSE,"תזרים";#N/A,#N/A,FALSE,"נספח - התאמות";#N/A,#N/A,FALSE,"ני""ע לתזרים";#N/A,#N/A,FALSE,"פירוטים לדוחות"}</definedName>
    <definedName name="asdfasdf">[14]Parameters!#REF!</definedName>
    <definedName name="asdfghjkl" localSheetId="6" hidden="1">{#N/A,#N/A,FALSE,"מאזן";#N/A,#N/A,FALSE,"רווהפ";#N/A,#N/A,FALSE,"שינויים בהון";#N/A,#N/A,FALSE,"תזרים";#N/A,#N/A,FALSE,"נספח - התאמות";#N/A,#N/A,FALSE,"ני""ע לתזרים";#N/A,#N/A,FALSE,"פירוטים לדוחות"}</definedName>
    <definedName name="asdfghjkl" localSheetId="5" hidden="1">{#N/A,#N/A,FALSE,"מאזן";#N/A,#N/A,FALSE,"רווהפ";#N/A,#N/A,FALSE,"שינויים בהון";#N/A,#N/A,FALSE,"תזרים";#N/A,#N/A,FALSE,"נספח - התאמות";#N/A,#N/A,FALSE,"ני""ע לתזרים";#N/A,#N/A,FALSE,"פירוטים לדוחות"}</definedName>
    <definedName name="asdfghjkl" hidden="1">{#N/A,#N/A,FALSE,"מאזן";#N/A,#N/A,FALSE,"רווהפ";#N/A,#N/A,FALSE,"שינויים בהון";#N/A,#N/A,FALSE,"תזרים";#N/A,#N/A,FALSE,"נספח - התאמות";#N/A,#N/A,FALSE,"ני""ע לתזרים";#N/A,#N/A,FALSE,"פירוטים לדוחות"}</definedName>
    <definedName name="avegus1200">'[15]מדדים ושע"ח'!$D$21</definedName>
    <definedName name="B" localSheetId="6">'[6]שמ"מ מ"ה'!#REF!</definedName>
    <definedName name="B" localSheetId="5">'[7]שמ"מ מ"ה'!#REF!</definedName>
    <definedName name="B">'[6]שמ"מ מ"ה'!#REF!</definedName>
    <definedName name="B_NIS">'[16]Trial balance 311202'!$J$2:$J$603</definedName>
    <definedName name="B_USD">'[16]Trial balance 311202'!$D$2:$D$604</definedName>
    <definedName name="B1222222">[17]RSources!$B$18</definedName>
    <definedName name="balance_bbs_01" localSheetId="6">#REF!</definedName>
    <definedName name="balance_bbs_01" localSheetId="5">#REF!</definedName>
    <definedName name="balance_bbs_01">#REF!</definedName>
    <definedName name="balance_bbs_02" localSheetId="6">#REF!</definedName>
    <definedName name="balance_bbs_02" localSheetId="5">#REF!</definedName>
    <definedName name="balance_bbs_02">#REF!</definedName>
    <definedName name="balance_bbs_03" localSheetId="6">#REF!</definedName>
    <definedName name="balance_bbs_03" localSheetId="5">#REF!</definedName>
    <definedName name="balance_bbs_03">#REF!</definedName>
    <definedName name="balance_bbs_04" localSheetId="6">#REF!</definedName>
    <definedName name="balance_bbs_04">#REF!</definedName>
    <definedName name="balance_bbs_05" localSheetId="6">#REF!</definedName>
    <definedName name="balance_bbs_05">#REF!</definedName>
    <definedName name="balance_bbs_06" localSheetId="6">#REF!</definedName>
    <definedName name="balance_bbs_06">#REF!</definedName>
    <definedName name="balance_bbs_07" localSheetId="6">#REF!</definedName>
    <definedName name="balance_bbs_07">#REF!</definedName>
    <definedName name="balance_bbs_08" localSheetId="6">#REF!</definedName>
    <definedName name="balance_bbs_08">#REF!</definedName>
    <definedName name="balance_bbs_09" localSheetId="6">#REF!</definedName>
    <definedName name="balance_bbs_09">#REF!</definedName>
    <definedName name="balance_bbs_10" localSheetId="6">#REF!</definedName>
    <definedName name="balance_bbs_10">#REF!</definedName>
    <definedName name="balance_bbs_11" localSheetId="6">#REF!</definedName>
    <definedName name="balance_bbs_11">#REF!</definedName>
    <definedName name="balance_bbs_12" localSheetId="6">#REF!</definedName>
    <definedName name="balance_bbs_12">#REF!</definedName>
    <definedName name="Balance_bpl_01" localSheetId="6">#REF!</definedName>
    <definedName name="Balance_bpl_01">#REF!</definedName>
    <definedName name="Balance_bpl_02" localSheetId="6">#REF!</definedName>
    <definedName name="Balance_bpl_02">#REF!</definedName>
    <definedName name="Balance_bpl_03" localSheetId="6">#REF!</definedName>
    <definedName name="Balance_bpl_03">#REF!</definedName>
    <definedName name="Balance_bpl_04" localSheetId="6">#REF!</definedName>
    <definedName name="Balance_bpl_04">#REF!</definedName>
    <definedName name="Balance_bpl_05" localSheetId="6">#REF!</definedName>
    <definedName name="Balance_bpl_05">#REF!</definedName>
    <definedName name="Balance_bpl_06" localSheetId="6">#REF!</definedName>
    <definedName name="Balance_bpl_06">#REF!</definedName>
    <definedName name="Balance_bpl_07" localSheetId="6">#REF!</definedName>
    <definedName name="Balance_bpl_07">#REF!</definedName>
    <definedName name="Balance_bpl_08" localSheetId="6">#REF!</definedName>
    <definedName name="Balance_bpl_08">#REF!</definedName>
    <definedName name="Balance_bpl_09" localSheetId="6">#REF!</definedName>
    <definedName name="Balance_bpl_09">#REF!</definedName>
    <definedName name="Balance_bpl_10" localSheetId="6">#REF!</definedName>
    <definedName name="Balance_bpl_10">#REF!</definedName>
    <definedName name="Balance_bpl_11" localSheetId="6">#REF!</definedName>
    <definedName name="Balance_bpl_11">#REF!</definedName>
    <definedName name="Balance_bpl_12" localSheetId="6">#REF!</definedName>
    <definedName name="Balance_bpl_12">#REF!</definedName>
    <definedName name="Balance_bplm_01" localSheetId="6">#REF!</definedName>
    <definedName name="Balance_bplm_01">#REF!</definedName>
    <definedName name="Balance_bplm_03" localSheetId="6">#REF!</definedName>
    <definedName name="Balance_bplm_03">#REF!</definedName>
    <definedName name="Balance_bplm_04" localSheetId="6">#REF!</definedName>
    <definedName name="Balance_bplm_04">#REF!</definedName>
    <definedName name="Balance_bplm_06" localSheetId="6">#REF!</definedName>
    <definedName name="Balance_bplm_06">#REF!</definedName>
    <definedName name="Balance_bplm_07" localSheetId="6">#REF!</definedName>
    <definedName name="Balance_bplm_07">#REF!</definedName>
    <definedName name="Balance_bplm_09" localSheetId="6">#REF!</definedName>
    <definedName name="Balance_bplm_09">#REF!</definedName>
    <definedName name="Balance_bplm_10" localSheetId="6">#REF!</definedName>
    <definedName name="Balance_bplm_10">#REF!</definedName>
    <definedName name="balances_01">#REF!</definedName>
    <definedName name="balances_02">#REF!</definedName>
    <definedName name="balances_03">#REF!</definedName>
    <definedName name="balances_04">#REF!</definedName>
    <definedName name="balances_05">#REF!</definedName>
    <definedName name="balances_06">#REF!</definedName>
    <definedName name="balances_07">#REF!</definedName>
    <definedName name="balances_08">#REF!</definedName>
    <definedName name="balances_09">#REF!</definedName>
    <definedName name="balances_10">#REF!</definedName>
    <definedName name="balances_11">#REF!</definedName>
    <definedName name="balances_12">#REF!</definedName>
    <definedName name="BG_Del" hidden="1">15</definedName>
    <definedName name="BG_Ins" hidden="1">4</definedName>
    <definedName name="BG_Mod" hidden="1">6</definedName>
    <definedName name="BIKMAS" localSheetId="6">'[6]שמ"מ מ"ה'!#REF!</definedName>
    <definedName name="BIKMAS" localSheetId="5">'[7]שמ"מ מ"ה'!#REF!</definedName>
    <definedName name="BIKMAS">'[6]שמ"מ מ"ה'!#REF!</definedName>
    <definedName name="BIKPCHAT" localSheetId="6">'[6]שמ"מ מ"ה'!#REF!</definedName>
    <definedName name="BIKPCHAT" localSheetId="5">'[7]שמ"מ מ"ה'!#REF!</definedName>
    <definedName name="BIKPCHAT">'[6]שמ"מ מ"ה'!#REF!</definedName>
    <definedName name="bischoff" localSheetId="6" hidden="1">{#N/A,#N/A,FALSE,"Full";#N/A,#N/A,FALSE,"Half";#N/A,#N/A,FALSE,"Op Expenses";#N/A,#N/A,FALSE,"Cap Charge";#N/A,#N/A,FALSE,"Cost C";#N/A,#N/A,FALSE,"PP&amp;E";#N/A,#N/A,FALSE,"R&amp;D"}</definedName>
    <definedName name="bischoff" localSheetId="5" hidden="1">{#N/A,#N/A,FALSE,"Full";#N/A,#N/A,FALSE,"Half";#N/A,#N/A,FALSE,"Op Expenses";#N/A,#N/A,FALSE,"Cap Charge";#N/A,#N/A,FALSE,"Cost C";#N/A,#N/A,FALSE,"PP&amp;E";#N/A,#N/A,FALSE,"R&amp;D"}</definedName>
    <definedName name="bischoff" hidden="1">{#N/A,#N/A,FALSE,"Full";#N/A,#N/A,FALSE,"Half";#N/A,#N/A,FALSE,"Op Expenses";#N/A,#N/A,FALSE,"Cap Charge";#N/A,#N/A,FALSE,"Cost C";#N/A,#N/A,FALSE,"PP&amp;E";#N/A,#N/A,FALSE,"R&amp;D"}</definedName>
    <definedName name="bn" localSheetId="6" hidden="1">{"EUUTIGRP","COMPANIES",TRUE}</definedName>
    <definedName name="bn" localSheetId="5" hidden="1">{"EUUTIGRP","COMPANIES",TRUE}</definedName>
    <definedName name="bn" hidden="1">{"EUUTIGRP","COMPANIES",TRUE}</definedName>
    <definedName name="Budget_names" localSheetId="5">[18]Index!$A$3:$A$123</definedName>
    <definedName name="Budget_names">[19]Index!$A$3:$A$123</definedName>
    <definedName name="BUS">[20]Parameters!$E$10</definedName>
    <definedName name="BUSNAME">[14]Parameters!$F$10</definedName>
    <definedName name="Cards_Selection" localSheetId="6">#REF!</definedName>
    <definedName name="Cards_Selection" localSheetId="5">#REF!</definedName>
    <definedName name="Cards_Selection">#REF!</definedName>
    <definedName name="Cards_selection_BBS" localSheetId="6">#REF!</definedName>
    <definedName name="Cards_selection_BBS" localSheetId="5">#REF!</definedName>
    <definedName name="Cards_selection_BBS">#REF!</definedName>
    <definedName name="Cards_selection_BPL" localSheetId="6">#REF!</definedName>
    <definedName name="Cards_selection_BPL" localSheetId="5">#REF!</definedName>
    <definedName name="Cards_selection_BPL">#REF!</definedName>
    <definedName name="cards_selections">#REF!</definedName>
    <definedName name="cards_selections_bbs">[21]BBS!$A$12:$A$57</definedName>
    <definedName name="cc" localSheetId="6" hidden="1">{#N/A,#N/A,TRUE,"Cover sheet";#N/A,#N/A,TRUE,"Summary";#N/A,#N/A,TRUE,"Key Assumptions";#N/A,#N/A,TRUE,"Profit &amp; Loss";#N/A,#N/A,TRUE,"Balance Sheet";#N/A,#N/A,TRUE,"Cashflow";#N/A,#N/A,TRUE,"IRR";#N/A,#N/A,TRUE,"Ratios";#N/A,#N/A,TRUE,"Debt analysis"}</definedName>
    <definedName name="cc" localSheetId="5" hidden="1">{#N/A,#N/A,TRUE,"Cover sheet";#N/A,#N/A,TRUE,"Summary";#N/A,#N/A,TRUE,"Key Assumptions";#N/A,#N/A,TRUE,"Profit &amp; Loss";#N/A,#N/A,TRUE,"Balance Sheet";#N/A,#N/A,TRUE,"Cashflow";#N/A,#N/A,TRUE,"IRR";#N/A,#N/A,TRUE,"Ratios";#N/A,#N/A,TRUE,"Debt analysis"}</definedName>
    <definedName name="cc" hidden="1">{#N/A,#N/A,TRUE,"Cover sheet";#N/A,#N/A,TRUE,"Summary";#N/A,#N/A,TRUE,"Key Assumptions";#N/A,#N/A,TRUE,"Profit &amp; Loss";#N/A,#N/A,TRUE,"Balance Sheet";#N/A,#N/A,TRUE,"Cashflow";#N/A,#N/A,TRUE,"IRR";#N/A,#N/A,TRUE,"Ratios";#N/A,#N/A,TRUE,"Debt analysis"}</definedName>
    <definedName name="ccccc" localSheetId="6" hidden="1">{"10yp key data",#N/A,FALSE,"Market Data"}</definedName>
    <definedName name="ccccc" localSheetId="5" hidden="1">{"10yp key data",#N/A,FALSE,"Market Data"}</definedName>
    <definedName name="ccccc" hidden="1">{"10yp key data",#N/A,FALSE,"Market Data"}</definedName>
    <definedName name="Charts_AvgMonthlyCostPerHC" localSheetId="6">OFFSET(#REF!,,,1,COUNTIF(#REF!,1))</definedName>
    <definedName name="Charts_AvgMonthlyCostPerHC">OFFSET(#REF!,,,1,COUNTIF(#REF!,1))</definedName>
    <definedName name="Charts_cash_Diff" localSheetId="6">OFFSET(#REF!,,,1,COUNTIF(#REF!,1))</definedName>
    <definedName name="Charts_cash_Diff">OFFSET(#REF!,,,1,COUNTIF(#REF!,1))</definedName>
    <definedName name="Charts_CashEndOfPeriod" localSheetId="6">OFFSET(#REF!,,,1,COUNTIF(#REF!,1))</definedName>
    <definedName name="Charts_CashEndOfPeriod">OFFSET(#REF!,,,1,COUNTIF(#REF!,1))</definedName>
    <definedName name="Charts_changeInCash" localSheetId="6">OFFSET(#REF!,,,1,COUNTIF(#REF!,1))</definedName>
    <definedName name="Charts_changeInCash">OFFSET(#REF!,,,1,COUNTIF(#REF!,1))</definedName>
    <definedName name="Charts_COS" localSheetId="6">OFFSET(#REF!,,,1,COUNTIF(#REF!,1))</definedName>
    <definedName name="Charts_COS">OFFSET(#REF!,,,1,COUNTIF(#REF!,1))</definedName>
    <definedName name="Charts_EBITDA" localSheetId="6">OFFSET(#REF!,,,1,COUNTIF(#REF!,1))</definedName>
    <definedName name="Charts_EBITDA">OFFSET(#REF!,,,1,COUNTIF(#REF!,1))</definedName>
    <definedName name="Charts_month" localSheetId="6">OFFSET(#REF!,,,1,COUNTIF(#REF!,1))</definedName>
    <definedName name="Charts_month">OFFSET(#REF!,,,1,COUNTIF(#REF!,1))</definedName>
    <definedName name="Charts_Opex" localSheetId="6">OFFSET(#REF!,,,1,COUNTIF(#REF!,1))</definedName>
    <definedName name="Charts_Opex">OFFSET(#REF!,,,1,COUNTIF(#REF!,1))</definedName>
    <definedName name="Charts_OpexDivTotalHC" localSheetId="6">OFFSET(#REF!,,,1,COUNTIF(#REF!,1))</definedName>
    <definedName name="Charts_OpexDivTotalHC">OFFSET(#REF!,,,1,COUNTIF(#REF!,1))</definedName>
    <definedName name="Charts_OpexRow112" localSheetId="6">OFFSET(#REF!,,,1,COUNTIF(#REF!,1))</definedName>
    <definedName name="Charts_OpexRow112">OFFSET(#REF!,,,1,COUNTIF(#REF!,1))</definedName>
    <definedName name="Charts_OpexRow113" localSheetId="6">OFFSET(#REF!,,,1,COUNTIF(#REF!,1))</definedName>
    <definedName name="Charts_OpexRow113">OFFSET(#REF!,,,1,COUNTIF(#REF!,1))</definedName>
    <definedName name="Charts_OpexRow114" localSheetId="6">OFFSET(#REF!,,,1,COUNTIF(#REF!,1))</definedName>
    <definedName name="Charts_OpexRow114">OFFSET(#REF!,,,1,COUNTIF(#REF!,1))</definedName>
    <definedName name="Charts_OpexRow115" localSheetId="6">OFFSET(#REF!,,,1,COUNTIF(#REF!,1))</definedName>
    <definedName name="Charts_OpexRow115">OFFSET(#REF!,,,1,COUNTIF(#REF!,1))</definedName>
    <definedName name="Charts_OpexRow116" localSheetId="6">OFFSET(#REF!,,,1,COUNTIF(#REF!,1))</definedName>
    <definedName name="Charts_OpexRow116">OFFSET(#REF!,,,1,COUNTIF(#REF!,1))</definedName>
    <definedName name="Charts_OpexRow117" localSheetId="6">OFFSET(#REF!,,,1,COUNTIF(#REF!,1))</definedName>
    <definedName name="Charts_OpexRow117">OFFSET(#REF!,,,1,COUNTIF(#REF!,1))</definedName>
    <definedName name="Charts_OpexRow118" localSheetId="6">OFFSET(#REF!,,,1,COUNTIF(#REF!,1))</definedName>
    <definedName name="Charts_OpexRow118">OFFSET(#REF!,,,1,COUNTIF(#REF!,1))</definedName>
    <definedName name="Charts_revenue" localSheetId="6">OFFSET(#REF!,,,1,COUNTIF(#REF!,1))</definedName>
    <definedName name="Charts_revenue">OFFSET(#REF!,,,1,COUNTIF(#REF!,1))</definedName>
    <definedName name="Charts_TotalHC" localSheetId="6">OFFSET(#REF!,,,1,COUNTIF(#REF!,1))</definedName>
    <definedName name="Charts_TotalHC">OFFSET(#REF!,,,1,COUNTIF(#REF!,1))</definedName>
    <definedName name="CHECK" localSheetId="6">#REF!</definedName>
    <definedName name="CHECK" localSheetId="5">#REF!</definedName>
    <definedName name="CHECK">#REF!</definedName>
    <definedName name="COMPANY_NAME">[22]Criteria!$A$1</definedName>
    <definedName name="convin" localSheetId="6">#REF!,#REF!</definedName>
    <definedName name="convin" localSheetId="5">#REF!,#REF!</definedName>
    <definedName name="convin">#REF!,#REF!</definedName>
    <definedName name="_xlnm.Criteria" localSheetId="6">'[23]Nov 2000 Current account  '!#REF!</definedName>
    <definedName name="_xlnm.Criteria">'[23]Nov 2000 Current account  '!#REF!</definedName>
    <definedName name="CURR" localSheetId="6">[24]shar!#REF!</definedName>
    <definedName name="CURR" localSheetId="5">[25]shar!#REF!</definedName>
    <definedName name="CURR">[24]shar!#REF!</definedName>
    <definedName name="Currency" localSheetId="6">#REF!</definedName>
    <definedName name="Currency" localSheetId="5">#REF!</definedName>
    <definedName name="Currency">#REF!</definedName>
    <definedName name="d" localSheetId="6" hidden="1">{#N/A,#N/A,FALSE,"מאזן";#N/A,#N/A,FALSE,"רווהפ";#N/A,#N/A,FALSE,"שינויים בהון";#N/A,#N/A,FALSE,"תזרים";#N/A,#N/A,FALSE,"נספח - התאמות";#N/A,#N/A,FALSE,"ני""ע לתזרים";#N/A,#N/A,FALSE,"פירוטים לדוחות"}</definedName>
    <definedName name="d" localSheetId="5" hidden="1">{#N/A,#N/A,FALSE,"מאזן";#N/A,#N/A,FALSE,"רווהפ";#N/A,#N/A,FALSE,"שינויים בהון";#N/A,#N/A,FALSE,"תזרים";#N/A,#N/A,FALSE,"נספח - התאמות";#N/A,#N/A,FALSE,"ני""ע לתזרים";#N/A,#N/A,FALSE,"פירוטים לדוחות"}</definedName>
    <definedName name="d" hidden="1">{#N/A,#N/A,FALSE,"מאזן";#N/A,#N/A,FALSE,"רווהפ";#N/A,#N/A,FALSE,"שינויים בהון";#N/A,#N/A,FALSE,"תזרים";#N/A,#N/A,FALSE,"נספח - התאמות";#N/A,#N/A,FALSE,"ני""ע לתזרים";#N/A,#N/A,FALSE,"פירוטים לדוחות"}</definedName>
    <definedName name="DAC" localSheetId="5">'[1]טורים 98'!$A$1:$AY$145</definedName>
    <definedName name="DAC">'[2]טורים 98'!$A$1:$AY$145</definedName>
    <definedName name="_xlnm.Database" localSheetId="5">[26]TRAVEL96!#REF!</definedName>
    <definedName name="_xlnm.Database">[27]TRAVEL96!#REF!</definedName>
    <definedName name="Database_MI" localSheetId="6">[27]TRAVEL96!#REF!</definedName>
    <definedName name="Database_MI" localSheetId="5">[26]TRAVEL96!#REF!</definedName>
    <definedName name="Database_MI">[27]TRAVEL96!#REF!</definedName>
    <definedName name="DATE" localSheetId="6">#REF!</definedName>
    <definedName name="DATE" localSheetId="5">#REF!</definedName>
    <definedName name="DATE">#REF!</definedName>
    <definedName name="DCF" localSheetId="6" hidden="1">{#N/A,#N/A,TRUE,"Cover sheet";#N/A,#N/A,TRUE,"INPUTS";#N/A,#N/A,TRUE,"OUTPUTS";#N/A,#N/A,TRUE,"VALUATION"}</definedName>
    <definedName name="DCF" localSheetId="5" hidden="1">{#N/A,#N/A,TRUE,"Cover sheet";#N/A,#N/A,TRUE,"INPUTS";#N/A,#N/A,TRUE,"OUTPUTS";#N/A,#N/A,TRUE,"VALUATION"}</definedName>
    <definedName name="DCF" hidden="1">{#N/A,#N/A,TRUE,"Cover sheet";#N/A,#N/A,TRUE,"INPUTS";#N/A,#N/A,TRUE,"OUTPUTS";#N/A,#N/A,TRUE,"VALUATION"}</definedName>
    <definedName name="DCF_" localSheetId="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6" hidden="1">Main.SAPF4Help()</definedName>
    <definedName name="dd" localSheetId="5" hidden="1">Main.SAPF4Help()</definedName>
    <definedName name="dd" hidden="1">Main.SAPF4Help()</definedName>
    <definedName name="ddd" localSheetId="6" hidden="1">{#N/A,#N/A,FALSE,"מאזן בוחן";"כל_מאזן_בוחן",#N/A,FALSE,"מאזן בוחן"}</definedName>
    <definedName name="ddd" localSheetId="5" hidden="1">{#N/A,#N/A,FALSE,"מאזן בוחן";"כל_מאזן_בוחן",#N/A,FALSE,"מאזן בוחן"}</definedName>
    <definedName name="ddd" hidden="1">{#N/A,#N/A,FALSE,"מאזן בוחן";"כל_מאזן_בוחן",#N/A,FALSE,"מאזן בוחן"}</definedName>
    <definedName name="dddd" localSheetId="6" hidden="1">{#N/A,#N/A,FALSE,"מאזן";#N/A,#N/A,FALSE,"רווהפ";#N/A,#N/A,FALSE,"שינויים בהון";#N/A,#N/A,FALSE,"תזרים";#N/A,#N/A,FALSE,"נספח - התאמות";#N/A,#N/A,FALSE,"ני""ע לתזרים";#N/A,#N/A,FALSE,"פירוטים לדוחות"}</definedName>
    <definedName name="dddd" localSheetId="5" hidden="1">{#N/A,#N/A,FALSE,"מאזן";#N/A,#N/A,FALSE,"רווהפ";#N/A,#N/A,FALSE,"שינויים בהון";#N/A,#N/A,FALSE,"תזרים";#N/A,#N/A,FALSE,"נספח - התאמות";#N/A,#N/A,FALSE,"ני""ע לתזרים";#N/A,#N/A,FALSE,"פירוטים לדוחות"}</definedName>
    <definedName name="dddd" hidden="1">{#N/A,#N/A,FALSE,"מאזן";#N/A,#N/A,FALSE,"רווהפ";#N/A,#N/A,FALSE,"שינויים בהון";#N/A,#N/A,FALSE,"תזרים";#N/A,#N/A,FALSE,"נספח - התאמות";#N/A,#N/A,FALSE,"ני""ע לתזרים";#N/A,#N/A,FALSE,"פירוטים לדוחות"}</definedName>
    <definedName name="ddddd" localSheetId="6" hidden="1">{"10yp tariffs",#N/A,FALSE,"Celtel alternative 6"}</definedName>
    <definedName name="ddddd" localSheetId="5" hidden="1">{"10yp tariffs",#N/A,FALSE,"Celtel alternative 6"}</definedName>
    <definedName name="ddddd" hidden="1">{"10yp tariffs",#N/A,FALSE,"Celtel alternative 6"}</definedName>
    <definedName name="dddddd" localSheetId="6" hidden="1">{"10yp profit and loss",#N/A,FALSE,"Celtel alternative 6"}</definedName>
    <definedName name="dddddd" localSheetId="5" hidden="1">{"10yp profit and loss",#N/A,FALSE,"Celtel alternative 6"}</definedName>
    <definedName name="dddddd" hidden="1">{"10yp profit and loss",#N/A,FALSE,"Celtel alternative 6"}</definedName>
    <definedName name="ddddddddddddddddddd" localSheetId="6" hidden="1">{"P and L Detail Page 1",#N/A,FALSE,"Data";"P and L Detail Page 2",#N/A,FALSE,"Data"}</definedName>
    <definedName name="ddddddddddddddddddd" localSheetId="5" hidden="1">{"P and L Detail Page 1",#N/A,FALSE,"Data";"P and L Detail Page 2",#N/A,FALSE,"Data"}</definedName>
    <definedName name="ddddddddddddddddddd" hidden="1">{"P and L Detail Page 1",#N/A,FALSE,"Data";"P and L Detail Page 2",#N/A,FALSE,"Data"}</definedName>
    <definedName name="df" localSheetId="6" hidden="1">{#N/A,#N/A,TRUE,"Cover sheet";#N/A,#N/A,TRUE,"INPUTS";#N/A,#N/A,TRUE,"OUTPUTS";#N/A,#N/A,TRUE,"VALUATION"}</definedName>
    <definedName name="df" localSheetId="5" hidden="1">{#N/A,#N/A,TRUE,"Cover sheet";#N/A,#N/A,TRUE,"INPUTS";#N/A,#N/A,TRUE,"OUTPUTS";#N/A,#N/A,TRUE,"VALUATION"}</definedName>
    <definedName name="df" hidden="1">{#N/A,#N/A,TRUE,"Cover sheet";#N/A,#N/A,TRUE,"INPUTS";#N/A,#N/A,TRUE,"OUTPUTS";#N/A,#N/A,TRUE,"VALUATION"}</definedName>
    <definedName name="dfa" localSheetId="6" hidden="1">{#N/A,#N/A,FALSE,"Spain MKT";#N/A,#N/A,FALSE,"Assumptions";#N/A,#N/A,FALSE,"Adve";#N/A,#N/A,FALSE,"E-Commerce";#N/A,#N/A,FALSE,"Opex";#N/A,#N/A,FALSE,"P&amp;L";#N/A,#N/A,FALSE,"FCF &amp; DCF"}</definedName>
    <definedName name="dfa" localSheetId="5" hidden="1">{#N/A,#N/A,FALSE,"Spain MKT";#N/A,#N/A,FALSE,"Assumptions";#N/A,#N/A,FALSE,"Adve";#N/A,#N/A,FALSE,"E-Commerce";#N/A,#N/A,FALSE,"Opex";#N/A,#N/A,FALSE,"P&amp;L";#N/A,#N/A,FALSE,"FCF &amp; DCF"}</definedName>
    <definedName name="dfa" hidden="1">{#N/A,#N/A,FALSE,"Spain MKT";#N/A,#N/A,FALSE,"Assumptions";#N/A,#N/A,FALSE,"Adve";#N/A,#N/A,FALSE,"E-Commerce";#N/A,#N/A,FALSE,"Opex";#N/A,#N/A,FALSE,"P&amp;L";#N/A,#N/A,FALSE,"FCF &amp; DCF"}</definedName>
    <definedName name="dfafa" hidden="1">#N/A</definedName>
    <definedName name="dffere" localSheetId="6" hidden="1">{#N/A,#N/A,FALSE,"מאזן";#N/A,#N/A,FALSE,"רווהפ";#N/A,#N/A,FALSE,"שינויים בהון";#N/A,#N/A,FALSE,"תזרים";#N/A,#N/A,FALSE,"נספח - התאמות";#N/A,#N/A,FALSE,"ני""ע לתזרים";#N/A,#N/A,FALSE,"פירוטים לדוחות"}</definedName>
    <definedName name="dffere" localSheetId="5" hidden="1">{#N/A,#N/A,FALSE,"מאזן";#N/A,#N/A,FALSE,"רווהפ";#N/A,#N/A,FALSE,"שינויים בהון";#N/A,#N/A,FALSE,"תזרים";#N/A,#N/A,FALSE,"נספח - התאמות";#N/A,#N/A,FALSE,"ני""ע לתזרים";#N/A,#N/A,FALSE,"פירוטים לדוחות"}</definedName>
    <definedName name="dffere" hidden="1">{#N/A,#N/A,FALSE,"מאזן";#N/A,#N/A,FALSE,"רווהפ";#N/A,#N/A,FALSE,"שינויים בהון";#N/A,#N/A,FALSE,"תזרים";#N/A,#N/A,FALSE,"נספח - התאמות";#N/A,#N/A,FALSE,"ני""ע לתזרים";#N/A,#N/A,FALSE,"פירוטים לדוחות"}</definedName>
    <definedName name="dfg" localSheetId="6" hidden="1">{#N/A,#N/A,TRUE,"Cover sheet";#N/A,#N/A,TRUE,"INPUTS";#N/A,#N/A,TRUE,"OUTPUTS";#N/A,#N/A,TRUE,"VALUATION"}</definedName>
    <definedName name="dfg" localSheetId="5" hidden="1">{#N/A,#N/A,TRUE,"Cover sheet";#N/A,#N/A,TRUE,"INPUTS";#N/A,#N/A,TRUE,"OUTPUTS";#N/A,#N/A,TRUE,"VALUATION"}</definedName>
    <definedName name="dfg" hidden="1">{#N/A,#N/A,TRUE,"Cover sheet";#N/A,#N/A,TRUE,"INPUTS";#N/A,#N/A,TRUE,"OUTPUTS";#N/A,#N/A,TRUE,"VALUATION"}</definedName>
    <definedName name="dfs" localSheetId="6" hidden="1">{#N/A,#N/A,FALSE,"inc state";#N/A,#N/A,FALSE,"Products";#N/A,#N/A,FALSE,"bal sht"}</definedName>
    <definedName name="dfs" localSheetId="5" hidden="1">{#N/A,#N/A,FALSE,"inc state";#N/A,#N/A,FALSE,"Products";#N/A,#N/A,FALSE,"bal sht"}</definedName>
    <definedName name="dfs" hidden="1">{#N/A,#N/A,FALSE,"inc state";#N/A,#N/A,FALSE,"Products";#N/A,#N/A,FALSE,"bal sht"}</definedName>
    <definedName name="Diag_DCF" localSheetId="6" hidden="1">{#N/A,#N/A,TRUE,"Cover sheet";#N/A,#N/A,TRUE,"INPUTS";#N/A,#N/A,TRUE,"OUTPUTS";#N/A,#N/A,TRUE,"VALUATION"}</definedName>
    <definedName name="Diag_DCF" localSheetId="5" hidden="1">{#N/A,#N/A,TRUE,"Cover sheet";#N/A,#N/A,TRUE,"INPUTS";#N/A,#N/A,TRUE,"OUTPUTS";#N/A,#N/A,TRUE,"VALUATION"}</definedName>
    <definedName name="Diag_DCF" hidden="1">{#N/A,#N/A,TRUE,"Cover sheet";#N/A,#N/A,TRUE,"INPUTS";#N/A,#N/A,TRUE,"OUTPUTS";#N/A,#N/A,TRUE,"VALUATION"}</definedName>
    <definedName name="Diag_min_max2" localSheetId="6" hidden="1">{#N/A,#N/A,TRUE,"Cover sheet";#N/A,#N/A,TRUE,"INPUTS";#N/A,#N/A,TRUE,"OUTPUTS";#N/A,#N/A,TRUE,"VALUATION"}</definedName>
    <definedName name="Diag_min_max2" localSheetId="5" hidden="1">{#N/A,#N/A,TRUE,"Cover sheet";#N/A,#N/A,TRUE,"INPUTS";#N/A,#N/A,TRUE,"OUTPUTS";#N/A,#N/A,TRUE,"VALUATION"}</definedName>
    <definedName name="Diag_min_max2" hidden="1">{#N/A,#N/A,TRUE,"Cover sheet";#N/A,#N/A,TRUE,"INPUTS";#N/A,#N/A,TRUE,"OUTPUTS";#N/A,#N/A,TRUE,"VALUATION"}</definedName>
    <definedName name="DO" localSheetId="5">'[1]טורים 98'!$CL$50</definedName>
    <definedName name="DO">'[2]טורים 98'!$CL$50</definedName>
    <definedName name="dolaravg" localSheetId="6">#REF!</definedName>
    <definedName name="dolaravg" localSheetId="5">#REF!</definedName>
    <definedName name="dolaravg">#REF!</definedName>
    <definedName name="Dollar">[28]master!$P$1</definedName>
    <definedName name="DPR" localSheetId="5">'[1]טורים 98'!$A$250:$AX$336</definedName>
    <definedName name="DPR">'[2]טורים 98'!$A$250:$AX$336</definedName>
    <definedName name="DPS" localSheetId="5">'[1]טורים 98'!$A$154:$AX$249</definedName>
    <definedName name="DPS">'[2]טורים 98'!$A$154:$AX$249</definedName>
    <definedName name="draka" localSheetId="6"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aka" localSheetId="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ak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fhr" localSheetId="6" hidden="1">{#N/A,#N/A,FALSE,"מאזן";#N/A,#N/A,FALSE,"רווהפ";#N/A,#N/A,FALSE,"שינויים בהון";#N/A,#N/A,FALSE,"תזרים";#N/A,#N/A,FALSE,"נספח - התאמות";#N/A,#N/A,FALSE,"ני""ע לתזרים";#N/A,#N/A,FALSE,"פירוטים לדוחות"}</definedName>
    <definedName name="drfhr" localSheetId="5" hidden="1">{#N/A,#N/A,FALSE,"מאזן";#N/A,#N/A,FALSE,"רווהפ";#N/A,#N/A,FALSE,"שינויים בהון";#N/A,#N/A,FALSE,"תזרים";#N/A,#N/A,FALSE,"נספח - התאמות";#N/A,#N/A,FALSE,"ני""ע לתזרים";#N/A,#N/A,FALSE,"פירוטים לדוחות"}</definedName>
    <definedName name="drfhr" hidden="1">{#N/A,#N/A,FALSE,"מאזן";#N/A,#N/A,FALSE,"רווהפ";#N/A,#N/A,FALSE,"שינויים בהון";#N/A,#N/A,FALSE,"תזרים";#N/A,#N/A,FALSE,"נספח - התאמות";#N/A,#N/A,FALSE,"ני""ע לתזרים";#N/A,#N/A,FALSE,"פירוטים לדוחות"}</definedName>
    <definedName name="DRM" localSheetId="5">'[1]טורים 98'!$GT$89</definedName>
    <definedName name="DRM">'[2]טורים 98'!$GT$89</definedName>
    <definedName name="ds" localSheetId="6" hidden="1">{#N/A,#N/A,FALSE,"מאזן";#N/A,#N/A,FALSE,"רווהפ";#N/A,#N/A,FALSE,"שינויים בהון";#N/A,#N/A,FALSE,"תזרים";#N/A,#N/A,FALSE,"נספח - התאמות";#N/A,#N/A,FALSE,"ני""ע לתזרים";#N/A,#N/A,FALSE,"פירוטים לדוחות"}</definedName>
    <definedName name="ds" localSheetId="5" hidden="1">{#N/A,#N/A,FALSE,"מאזן";#N/A,#N/A,FALSE,"רווהפ";#N/A,#N/A,FALSE,"שינויים בהון";#N/A,#N/A,FALSE,"תזרים";#N/A,#N/A,FALSE,"נספח - התאמות";#N/A,#N/A,FALSE,"ני""ע לתזרים";#N/A,#N/A,FALSE,"פירוטים לדוחות"}</definedName>
    <definedName name="ds" hidden="1">{#N/A,#N/A,FALSE,"מאזן";#N/A,#N/A,FALSE,"רווהפ";#N/A,#N/A,FALSE,"שינויים בהון";#N/A,#N/A,FALSE,"תזרים";#N/A,#N/A,FALSE,"נספח - התאמות";#N/A,#N/A,FALSE,"ני""ע לתזרים";#N/A,#N/A,FALSE,"פירוטים לדוחות"}</definedName>
    <definedName name="dsdda" localSheetId="6" hidden="1">{"mgmt forecast",#N/A,FALSE,"Mgmt Forecast";"dcf table",#N/A,FALSE,"Mgmt Forecast";"sensitivity",#N/A,FALSE,"Mgmt Forecast";"table inputs",#N/A,FALSE,"Mgmt Forecast";"calculations",#N/A,FALSE,"Mgmt Forecast"}</definedName>
    <definedName name="dsdda" localSheetId="5" hidden="1">{"mgmt forecast",#N/A,FALSE,"Mgmt Forecast";"dcf table",#N/A,FALSE,"Mgmt Forecast";"sensitivity",#N/A,FALSE,"Mgmt Forecast";"table inputs",#N/A,FALSE,"Mgmt Forecast";"calculations",#N/A,FALSE,"Mgmt Forecast"}</definedName>
    <definedName name="dsdda" hidden="1">{"mgmt forecast",#N/A,FALSE,"Mgmt Forecast";"dcf table",#N/A,FALSE,"Mgmt Forecast";"sensitivity",#N/A,FALSE,"Mgmt Forecast";"table inputs",#N/A,FALSE,"Mgmt Forecast";"calculations",#N/A,FALSE,"Mgmt Forecast"}</definedName>
    <definedName name="DT" localSheetId="6">#REF!</definedName>
    <definedName name="DT" localSheetId="5">#REF!</definedName>
    <definedName name="DT">#REF!</definedName>
    <definedName name="DTMDA" localSheetId="6">#REF!</definedName>
    <definedName name="DTMDA" localSheetId="5">#REF!</definedName>
    <definedName name="DTMDA">#REF!</definedName>
    <definedName name="e" localSheetId="6" hidden="1">{#N/A,#N/A,FALSE,"מאזן";#N/A,#N/A,FALSE,"רווהפ";#N/A,#N/A,FALSE,"שינויים בהון";#N/A,#N/A,FALSE,"תזרים";#N/A,#N/A,FALSE,"נספח - התאמות";#N/A,#N/A,FALSE,"ני""ע לתזרים";#N/A,#N/A,FALSE,"פירוטים לדוחות"}</definedName>
    <definedName name="e" localSheetId="5" hidden="1">{#N/A,#N/A,FALSE,"מאזן";#N/A,#N/A,FALSE,"רווהפ";#N/A,#N/A,FALSE,"שינויים בהון";#N/A,#N/A,FALSE,"תזרים";#N/A,#N/A,FALSE,"נספח - התאמות";#N/A,#N/A,FALSE,"ני""ע לתזרים";#N/A,#N/A,FALSE,"פירוטים לדוחות"}</definedName>
    <definedName name="e" hidden="1">{#N/A,#N/A,FALSE,"מאזן";#N/A,#N/A,FALSE,"רווהפ";#N/A,#N/A,FALSE,"שינויים בהון";#N/A,#N/A,FALSE,"תזרים";#N/A,#N/A,FALSE,"נספח - התאמות";#N/A,#N/A,FALSE,"ני""ע לתזרים";#N/A,#N/A,FALSE,"פירוטים לדוחות"}</definedName>
    <definedName name="EDOM" localSheetId="5">'[1]טורים 98'!$GT$166</definedName>
    <definedName name="EDOM">'[2]טורים 98'!$GT$166</definedName>
    <definedName name="edp" localSheetId="6" hidden="1">{"assumption 50 50",#N/A,TRUE,"Merger";"has gets cash",#N/A,TRUE,"Merger";"accretion dilution",#N/A,TRUE,"Merger";"comparison credit stats",#N/A,TRUE,"Merger";"pf credit stats",#N/A,TRUE,"Merger";"pf sheets",#N/A,TRUE,"Merger"}</definedName>
    <definedName name="edp" localSheetId="5" hidden="1">{"assumption 50 50",#N/A,TRUE,"Merger";"has gets cash",#N/A,TRUE,"Merger";"accretion dilution",#N/A,TRUE,"Merger";"comparison credit stats",#N/A,TRUE,"Merger";"pf credit stats",#N/A,TRUE,"Merger";"pf sheets",#N/A,TRUE,"Merger"}</definedName>
    <definedName name="edp" hidden="1">{"assumption 50 50",#N/A,TRUE,"Merger";"has gets cash",#N/A,TRUE,"Merger";"accretion dilution",#N/A,TRUE,"Merger";"comparison credit stats",#N/A,TRUE,"Merger";"pf credit stats",#N/A,TRUE,"Merger";"pf sheets",#N/A,TRUE,"Merger"}</definedName>
    <definedName name="ee" localSheetId="6" hidden="1">{#N/A,#N/A,TRUE,"Cover sheet";#N/A,#N/A,TRUE,"Summary";#N/A,#N/A,TRUE,"Key Assumptions";#N/A,#N/A,TRUE,"Profit &amp; Loss";#N/A,#N/A,TRUE,"Balance Sheet";#N/A,#N/A,TRUE,"Cashflow";#N/A,#N/A,TRUE,"IRR";#N/A,#N/A,TRUE,"Ratios";#N/A,#N/A,TRUE,"Debt analysis"}</definedName>
    <definedName name="ee" localSheetId="5" hidden="1">{#N/A,#N/A,TRUE,"Cover sheet";#N/A,#N/A,TRUE,"Summary";#N/A,#N/A,TRUE,"Key Assumptions";#N/A,#N/A,TRUE,"Profit &amp; Loss";#N/A,#N/A,TRUE,"Balance Sheet";#N/A,#N/A,TRUE,"Cashflow";#N/A,#N/A,TRUE,"IRR";#N/A,#N/A,TRUE,"Ratios";#N/A,#N/A,TRUE,"Debt analysis"}</definedName>
    <definedName name="ee" hidden="1">{#N/A,#N/A,TRUE,"Cover sheet";#N/A,#N/A,TRUE,"Summary";#N/A,#N/A,TRUE,"Key Assumptions";#N/A,#N/A,TRUE,"Profit &amp; Loss";#N/A,#N/A,TRUE,"Balance Sheet";#N/A,#N/A,TRUE,"Cashflow";#N/A,#N/A,TRUE,"IRR";#N/A,#N/A,TRUE,"Ratios";#N/A,#N/A,TRUE,"Debt analysis"}</definedName>
    <definedName name="eee" localSheetId="6" hidden="1">{#N/A,#N/A,FALSE,"מאזן";#N/A,#N/A,FALSE,"רווהפ";#N/A,#N/A,FALSE,"שינויים בהון";#N/A,#N/A,FALSE,"תזרים";#N/A,#N/A,FALSE,"נספח - התאמות";#N/A,#N/A,FALSE,"ני""ע לתזרים";#N/A,#N/A,FALSE,"פירוטים לדוחות"}</definedName>
    <definedName name="eee" localSheetId="5" hidden="1">{#N/A,#N/A,FALSE,"מאזן";#N/A,#N/A,FALSE,"רווהפ";#N/A,#N/A,FALSE,"שינויים בהון";#N/A,#N/A,FALSE,"תזרים";#N/A,#N/A,FALSE,"נספח - התאמות";#N/A,#N/A,FALSE,"ני""ע לתזרים";#N/A,#N/A,FALSE,"פירוטים לדוחות"}</definedName>
    <definedName name="eee" hidden="1">{#N/A,#N/A,FALSE,"מאזן";#N/A,#N/A,FALSE,"רווהפ";#N/A,#N/A,FALSE,"שינויים בהון";#N/A,#N/A,FALSE,"תזרים";#N/A,#N/A,FALSE,"נספח - התאמות";#N/A,#N/A,FALSE,"ני""ע לתזרים";#N/A,#N/A,FALSE,"פירוטים לדוחות"}</definedName>
    <definedName name="eeeee" localSheetId="6" hidden="1">{"budget992000 tariff and usage",#N/A,FALSE,"Celtel alternative 6"}</definedName>
    <definedName name="eeeee" localSheetId="5" hidden="1">{"budget992000 tariff and usage",#N/A,FALSE,"Celtel alternative 6"}</definedName>
    <definedName name="eeeee" hidden="1">{"budget992000 tariff and usage",#N/A,FALSE,"Celtel alternative 6"}</definedName>
    <definedName name="eeeeee" localSheetId="6" hidden="1">{#N/A,#N/A,FALSE,"מאזן";#N/A,#N/A,FALSE,"רווהפ";#N/A,#N/A,FALSE,"שינויים בהון";#N/A,#N/A,FALSE,"תזרים";#N/A,#N/A,FALSE,"נספח - התאמות";#N/A,#N/A,FALSE,"ני""ע לתזרים";#N/A,#N/A,FALSE,"פירוטים לדוחות"}</definedName>
    <definedName name="eeeeee" localSheetId="5" hidden="1">{#N/A,#N/A,FALSE,"מאזן";#N/A,#N/A,FALSE,"רווהפ";#N/A,#N/A,FALSE,"שינויים בהון";#N/A,#N/A,FALSE,"תזרים";#N/A,#N/A,FALSE,"נספח - התאמות";#N/A,#N/A,FALSE,"ני""ע לתזרים";#N/A,#N/A,FALSE,"פירוטים לדוחות"}</definedName>
    <definedName name="eeeeee" hidden="1">{#N/A,#N/A,FALSE,"מאזן";#N/A,#N/A,FALSE,"רווהפ";#N/A,#N/A,FALSE,"שינויים בהון";#N/A,#N/A,FALSE,"תזרים";#N/A,#N/A,FALSE,"נספח - התאמות";#N/A,#N/A,FALSE,"ני""ע לתזרים";#N/A,#N/A,FALSE,"פירוטים לדוחות"}</definedName>
    <definedName name="eeeelll" localSheetId="6" hidden="1">{#N/A,#N/A,FALSE,"מאזן";#N/A,#N/A,FALSE,"רווהפ";#N/A,#N/A,FALSE,"שינויים בהון";#N/A,#N/A,FALSE,"תזרים";#N/A,#N/A,FALSE,"נספח - התאמות";#N/A,#N/A,FALSE,"ני""ע לתזרים";#N/A,#N/A,FALSE,"פירוטים לדוחות"}</definedName>
    <definedName name="eeeelll" localSheetId="5" hidden="1">{#N/A,#N/A,FALSE,"מאזן";#N/A,#N/A,FALSE,"רווהפ";#N/A,#N/A,FALSE,"שינויים בהון";#N/A,#N/A,FALSE,"תזרים";#N/A,#N/A,FALSE,"נספח - התאמות";#N/A,#N/A,FALSE,"ני""ע לתזרים";#N/A,#N/A,FALSE,"פירוטים לדוחות"}</definedName>
    <definedName name="eeeelll" hidden="1">{#N/A,#N/A,FALSE,"מאזן";#N/A,#N/A,FALSE,"רווהפ";#N/A,#N/A,FALSE,"שינויים בהון";#N/A,#N/A,FALSE,"תזרים";#N/A,#N/A,FALSE,"נספח - התאמות";#N/A,#N/A,FALSE,"ני""ע לתזרים";#N/A,#N/A,FALSE,"פירוטים לדוחות"}</definedName>
    <definedName name="eer" localSheetId="6" hidden="1">{#N/A,#N/A,TRUE,"Cover sheet";#N/A,#N/A,TRUE,"Summary";#N/A,#N/A,TRUE,"Key Assumptions";#N/A,#N/A,TRUE,"Profit &amp; Loss";#N/A,#N/A,TRUE,"Balance Sheet";#N/A,#N/A,TRUE,"Cashflow";#N/A,#N/A,TRUE,"IRR";#N/A,#N/A,TRUE,"Ratios";#N/A,#N/A,TRUE,"Debt analysis"}</definedName>
    <definedName name="eer" localSheetId="5" hidden="1">{#N/A,#N/A,TRUE,"Cover sheet";#N/A,#N/A,TRUE,"Summary";#N/A,#N/A,TRUE,"Key Assumptions";#N/A,#N/A,TRUE,"Profit &amp; Loss";#N/A,#N/A,TRUE,"Balance Sheet";#N/A,#N/A,TRUE,"Cashflow";#N/A,#N/A,TRUE,"IRR";#N/A,#N/A,TRUE,"Ratios";#N/A,#N/A,TRUE,"Debt analysis"}</definedName>
    <definedName name="eer" hidden="1">{#N/A,#N/A,TRUE,"Cover sheet";#N/A,#N/A,TRUE,"Summary";#N/A,#N/A,TRUE,"Key Assumptions";#N/A,#N/A,TRUE,"Profit &amp; Loss";#N/A,#N/A,TRUE,"Balance Sheet";#N/A,#N/A,TRUE,"Cashflow";#N/A,#N/A,TRUE,"IRR";#N/A,#N/A,TRUE,"Ratios";#N/A,#N/A,TRUE,"Debt analysis"}</definedName>
    <definedName name="EF" localSheetId="6" hidden="1">{#N/A,#N/A,TRUE,"Cover sheet";#N/A,#N/A,TRUE,"DCF analysis";#N/A,#N/A,TRUE,"WACC calculation"}</definedName>
    <definedName name="EF" localSheetId="5" hidden="1">{#N/A,#N/A,TRUE,"Cover sheet";#N/A,#N/A,TRUE,"DCF analysis";#N/A,#N/A,TRUE,"WACC calculation"}</definedName>
    <definedName name="EF" hidden="1">{#N/A,#N/A,TRUE,"Cover sheet";#N/A,#N/A,TRUE,"DCF analysis";#N/A,#N/A,TRUE,"WACC calculation"}</definedName>
    <definedName name="empnumber">[29]M5200_06!$EH$3:$EI$189</definedName>
    <definedName name="enr" localSheetId="6" hidden="1">{"FTSE100","COMPANIES",TRUE}</definedName>
    <definedName name="enr" localSheetId="5" hidden="1">{"FTSE100","COMPANIES",TRUE}</definedName>
    <definedName name="enr" hidden="1">{"FTSE100","COMPANIES",TRUE}</definedName>
    <definedName name="er" localSheetId="6" hidden="1">{#N/A,#N/A,FALSE,"מאזן";#N/A,#N/A,FALSE,"רווהפ";#N/A,#N/A,FALSE,"שינויים בהון";#N/A,#N/A,FALSE,"תזרים";#N/A,#N/A,FALSE,"נספח - התאמות";#N/A,#N/A,FALSE,"ני""ע לתזרים";#N/A,#N/A,FALSE,"פירוטים לדוחות"}</definedName>
    <definedName name="er" localSheetId="5" hidden="1">{#N/A,#N/A,FALSE,"מאזן";#N/A,#N/A,FALSE,"רווהפ";#N/A,#N/A,FALSE,"שינויים בהון";#N/A,#N/A,FALSE,"תזרים";#N/A,#N/A,FALSE,"נספח - התאמות";#N/A,#N/A,FALSE,"ני""ע לתזרים";#N/A,#N/A,FALSE,"פירוטים לדוחות"}</definedName>
    <definedName name="er" hidden="1">{#N/A,#N/A,FALSE,"מאזן";#N/A,#N/A,FALSE,"רווהפ";#N/A,#N/A,FALSE,"שינויים בהון";#N/A,#N/A,FALSE,"תזרים";#N/A,#N/A,FALSE,"נספח - התאמות";#N/A,#N/A,FALSE,"ני""ע לתזרים";#N/A,#N/A,FALSE,"פירוטים לדוחות"}</definedName>
    <definedName name="EV__LASTREFTIME__" hidden="1">40163.5174884259</definedName>
    <definedName name="ExactAddinConnection" hidden="1">"001"</definedName>
    <definedName name="ExactAddinConnection.001" hidden="1">"SO-W2K-PRO;005;jank;1"</definedName>
    <definedName name="Extra_Months" localSheetId="6">#REF!</definedName>
    <definedName name="Extra_Months">#REF!</definedName>
    <definedName name="_xlnm.Extract" localSheetId="6">[27]TRAVEL96!#REF!</definedName>
    <definedName name="_xlnm.Extract" localSheetId="5">[26]TRAVEL96!#REF!</definedName>
    <definedName name="_xlnm.Extract">[27]TRAVEL96!#REF!</definedName>
    <definedName name="Extract_MI" localSheetId="6">[27]TRAVEL96!#REF!</definedName>
    <definedName name="Extract_MI" localSheetId="5">[26]TRAVEL96!#REF!</definedName>
    <definedName name="Extract_MI">[27]TRAVEL96!#REF!</definedName>
    <definedName name="extractby" localSheetId="6">[14]Parameters!#REF!</definedName>
    <definedName name="extractby">[14]Parameters!#REF!</definedName>
    <definedName name="f" localSheetId="6" hidden="1">{#N/A,#N/A,FALSE,"מאזן בוחן";"כל_מאזן_בוחן",#N/A,FALSE,"מאזן בוחן"}</definedName>
    <definedName name="f" localSheetId="5" hidden="1">{#N/A,#N/A,FALSE,"מאזן בוחן";"כל_מאזן_בוחן",#N/A,FALSE,"מאזן בוחן"}</definedName>
    <definedName name="f" hidden="1">{#N/A,#N/A,FALSE,"מאזן בוחן";"כל_מאזן_בוחן",#N/A,FALSE,"מאזן בוחן"}</definedName>
    <definedName name="fdasfds" localSheetId="6" hidden="1">{#N/A,#N/A,TRUE,"Cover sheet";#N/A,#N/A,TRUE,"INPUTS";#N/A,#N/A,TRUE,"OUTPUTS";#N/A,#N/A,TRUE,"VALUATION"}</definedName>
    <definedName name="fdasfds" localSheetId="5" hidden="1">{#N/A,#N/A,TRUE,"Cover sheet";#N/A,#N/A,TRUE,"INPUTS";#N/A,#N/A,TRUE,"OUTPUTS";#N/A,#N/A,TRUE,"VALUATION"}</definedName>
    <definedName name="fdasfds" hidden="1">{#N/A,#N/A,TRUE,"Cover sheet";#N/A,#N/A,TRUE,"INPUTS";#N/A,#N/A,TRUE,"OUTPUTS";#N/A,#N/A,TRUE,"VALUATION"}</definedName>
    <definedName name="fds" localSheetId="6" hidden="1">{#N/A,#N/A,FALSE,"מאזן";#N/A,#N/A,FALSE,"רווהפ";#N/A,#N/A,FALSE,"שינויים בהון";#N/A,#N/A,FALSE,"תזרים";#N/A,#N/A,FALSE,"נספח - התאמות";#N/A,#N/A,FALSE,"ני""ע לתזרים";#N/A,#N/A,FALSE,"פירוטים לדוחות"}</definedName>
    <definedName name="fds" localSheetId="5" hidden="1">{#N/A,#N/A,FALSE,"מאזן";#N/A,#N/A,FALSE,"רווהפ";#N/A,#N/A,FALSE,"שינויים בהון";#N/A,#N/A,FALSE,"תזרים";#N/A,#N/A,FALSE,"נספח - התאמות";#N/A,#N/A,FALSE,"ני""ע לתזרים";#N/A,#N/A,FALSE,"פירוטים לדוחות"}</definedName>
    <definedName name="fds" hidden="1">{#N/A,#N/A,FALSE,"מאזן";#N/A,#N/A,FALSE,"רווהפ";#N/A,#N/A,FALSE,"שינויים בהון";#N/A,#N/A,FALSE,"תזרים";#N/A,#N/A,FALSE,"נספח - התאמות";#N/A,#N/A,FALSE,"ני""ע לתזרים";#N/A,#N/A,FALSE,"פירוטים לדוחות"}</definedName>
    <definedName name="fdsaf" localSheetId="6" hidden="1">{#N/A,#N/A,TRUE,"Cover sheet";#N/A,#N/A,TRUE,"INPUTS";#N/A,#N/A,TRUE,"OUTPUTS";#N/A,#N/A,TRUE,"VALUATION"}</definedName>
    <definedName name="fdsaf" localSheetId="5" hidden="1">{#N/A,#N/A,TRUE,"Cover sheet";#N/A,#N/A,TRUE,"INPUTS";#N/A,#N/A,TRUE,"OUTPUTS";#N/A,#N/A,TRUE,"VALUATION"}</definedName>
    <definedName name="fdsaf" hidden="1">{#N/A,#N/A,TRUE,"Cover sheet";#N/A,#N/A,TRUE,"INPUTS";#N/A,#N/A,TRUE,"OUTPUTS";#N/A,#N/A,TRUE,"VALUATION"}</definedName>
    <definedName name="ff" localSheetId="6" hidden="1">{#N/A,#N/A,FALSE,"מאזן";#N/A,#N/A,FALSE,"רווהפ";#N/A,#N/A,FALSE,"שינויים בהון";#N/A,#N/A,FALSE,"תזרים";#N/A,#N/A,FALSE,"נספח - התאמות";#N/A,#N/A,FALSE,"ני""ע לתזרים";#N/A,#N/A,FALSE,"פירוטים לדוחות"}</definedName>
    <definedName name="ff" localSheetId="5" hidden="1">{#N/A,#N/A,FALSE,"מאזן";#N/A,#N/A,FALSE,"רווהפ";#N/A,#N/A,FALSE,"שינויים בהון";#N/A,#N/A,FALSE,"תזרים";#N/A,#N/A,FALSE,"נספח - התאמות";#N/A,#N/A,FALSE,"ני""ע לתזרים";#N/A,#N/A,FALSE,"פירוטים לדוחות"}</definedName>
    <definedName name="ff" hidden="1">{#N/A,#N/A,FALSE,"מאזן";#N/A,#N/A,FALSE,"רווהפ";#N/A,#N/A,FALSE,"שינויים בהון";#N/A,#N/A,FALSE,"תזרים";#N/A,#N/A,FALSE,"נספח - התאמות";#N/A,#N/A,FALSE,"ני""ע לתזרים";#N/A,#N/A,FALSE,"פירוטים לדוחות"}</definedName>
    <definedName name="ffff" localSheetId="6" hidden="1">Main.SAPF4Help()</definedName>
    <definedName name="ffff" localSheetId="5" hidden="1">Main.SAPF4Help()</definedName>
    <definedName name="ffff" hidden="1">Main.SAPF4Help()</definedName>
    <definedName name="fffff" localSheetId="6" hidden="1">{#N/A,#N/A,FALSE,"מאזן";#N/A,#N/A,FALSE,"רווהפ";#N/A,#N/A,FALSE,"שינויים בהון";#N/A,#N/A,FALSE,"תזרים";#N/A,#N/A,FALSE,"נספח - התאמות";#N/A,#N/A,FALSE,"ני""ע לתזרים";#N/A,#N/A,FALSE,"פירוטים לדוחות"}</definedName>
    <definedName name="fffff" localSheetId="5" hidden="1">{#N/A,#N/A,FALSE,"מאזן";#N/A,#N/A,FALSE,"רווהפ";#N/A,#N/A,FALSE,"שינויים בהון";#N/A,#N/A,FALSE,"תזרים";#N/A,#N/A,FALSE,"נספח - התאמות";#N/A,#N/A,FALSE,"ני""ע לתזרים";#N/A,#N/A,FALSE,"פירוטים לדוחות"}</definedName>
    <definedName name="fffff" hidden="1">{#N/A,#N/A,FALSE,"מאזן";#N/A,#N/A,FALSE,"רווהפ";#N/A,#N/A,FALSE,"שינויים בהון";#N/A,#N/A,FALSE,"תזרים";#N/A,#N/A,FALSE,"נספח - התאמות";#N/A,#N/A,FALSE,"ני""ע לתזרים";#N/A,#N/A,FALSE,"פירוטים לדוחות"}</definedName>
    <definedName name="ffffff" localSheetId="6" hidden="1">{"budget992000 capex",#N/A,FALSE,"Celtel alternative 6"}</definedName>
    <definedName name="ffffff" localSheetId="5" hidden="1">{"budget992000 capex",#N/A,FALSE,"Celtel alternative 6"}</definedName>
    <definedName name="ffffff" hidden="1">{"budget992000 capex",#N/A,FALSE,"Celtel alternative 6"}</definedName>
    <definedName name="fix" localSheetId="6">#REF!</definedName>
    <definedName name="fix" localSheetId="5">#REF!</definedName>
    <definedName name="fix">#REF!</definedName>
    <definedName name="fjdalöfjdsalköfdjsalö" localSheetId="6" hidden="1">{#N/A,#N/A,TRUE,"Cover sheet";#N/A,#N/A,TRUE,"INPUTS";#N/A,#N/A,TRUE,"OUTPUTS";#N/A,#N/A,TRUE,"VALUATION"}</definedName>
    <definedName name="fjdalöfjdsalköfdjsalö" localSheetId="5" hidden="1">{#N/A,#N/A,TRUE,"Cover sheet";#N/A,#N/A,TRUE,"INPUTS";#N/A,#N/A,TRUE,"OUTPUTS";#N/A,#N/A,TRUE,"VALUATION"}</definedName>
    <definedName name="fjdalöfjdsalköfdjsalö" hidden="1">{#N/A,#N/A,TRUE,"Cover sheet";#N/A,#N/A,TRUE,"INPUTS";#N/A,#N/A,TRUE,"OUTPUTS";#N/A,#N/A,TRUE,"VALUATION"}</definedName>
    <definedName name="FR_1">[14]Parameters!#REF!</definedName>
    <definedName name="FR_2">[14]Parameters!#REF!</definedName>
    <definedName name="FR_3">[14]Parameters!#REF!</definedName>
    <definedName name="FR_4">[14]Parameters!#REF!</definedName>
    <definedName name="FR_5">[14]Parameters!#REF!</definedName>
    <definedName name="FR_6">[14]Parameters!#REF!</definedName>
    <definedName name="FR_7">[14]Parameters!#REF!</definedName>
    <definedName name="Free_Rent_Half_First_End_Date">'[30]UK Inputs'!$E$34</definedName>
    <definedName name="Free_Rent_Half_First_Start_Date">'[30]UK Inputs'!$E$33</definedName>
    <definedName name="Free_Rent_Half_Ground_End_Date">'[30]UK Inputs'!$E$62</definedName>
    <definedName name="Free_Rent_Half_Ground_Start_Date">'[30]UK Inputs'!$E$61</definedName>
    <definedName name="FRJRNL" localSheetId="6">#REF!</definedName>
    <definedName name="FRJRNL">#REF!</definedName>
    <definedName name="FRPRD">[14]Parameters!$E$12</definedName>
    <definedName name="FRTRNDT" localSheetId="6">#REF!</definedName>
    <definedName name="FRTRNDT">#REF!</definedName>
    <definedName name="FRTRNREF" localSheetId="6">#REF!</definedName>
    <definedName name="FRTRNREF">#REF!</definedName>
    <definedName name="fsadga" localSheetId="6">[14]Parameters!#REF!</definedName>
    <definedName name="fsadga">[14]Parameters!#REF!</definedName>
    <definedName name="fsdgtrftrhgy" localSheetId="5">#REF!</definedName>
    <definedName name="fsdgtrftrhgy">#REF!</definedName>
    <definedName name="g" localSheetId="6" hidden="1">{#N/A,#N/A,FALSE,"מאזן";#N/A,#N/A,FALSE,"רווהפ";#N/A,#N/A,FALSE,"שינויים בהון";#N/A,#N/A,FALSE,"תזרים";#N/A,#N/A,FALSE,"נספח - התאמות";#N/A,#N/A,FALSE,"ני""ע לתזרים";#N/A,#N/A,FALSE,"פירוטים לדוחות"}</definedName>
    <definedName name="g" localSheetId="5" hidden="1">{#N/A,#N/A,FALSE,"מאזן";#N/A,#N/A,FALSE,"רווהפ";#N/A,#N/A,FALSE,"שינויים בהון";#N/A,#N/A,FALSE,"תזרים";#N/A,#N/A,FALSE,"נספח - התאמות";#N/A,#N/A,FALSE,"ני""ע לתזרים";#N/A,#N/A,FALSE,"פירוטים לדוחות"}</definedName>
    <definedName name="g" hidden="1">{#N/A,#N/A,FALSE,"מאזן";#N/A,#N/A,FALSE,"רווהפ";#N/A,#N/A,FALSE,"שינויים בהון";#N/A,#N/A,FALSE,"תזרים";#N/A,#N/A,FALSE,"נספח - התאמות";#N/A,#N/A,FALSE,"ני""ע לתזרים";#N/A,#N/A,FALSE,"פירוטים לדוחות"}</definedName>
    <definedName name="G_A_Department">#REF!</definedName>
    <definedName name="GC" localSheetId="5">'[1]טורים 98'!$GT$62</definedName>
    <definedName name="GC">'[2]טורים 98'!$GT$62</definedName>
    <definedName name="GCM" localSheetId="5">'[1]טורים 98'!$HD$64</definedName>
    <definedName name="GCM">'[2]טורים 98'!$HD$64</definedName>
    <definedName name="GCT" localSheetId="5">'[1]טורים 98'!$GW$69</definedName>
    <definedName name="GCT">'[2]טורים 98'!$GW$69</definedName>
    <definedName name="generic_month" localSheetId="6">#REF!</definedName>
    <definedName name="generic_month" localSheetId="5">#REF!</definedName>
    <definedName name="generic_month">#REF!</definedName>
    <definedName name="Generic_month_BBS" localSheetId="6">#REF!</definedName>
    <definedName name="Generic_month_BBS" localSheetId="5">#REF!</definedName>
    <definedName name="Generic_month_BBS">#REF!</definedName>
    <definedName name="gg" localSheetId="6" hidden="1">{#N/A,#N/A,FALSE,"מאזן";#N/A,#N/A,FALSE,"רווהפ";#N/A,#N/A,FALSE,"שינויים בהון";#N/A,#N/A,FALSE,"תזרים";#N/A,#N/A,FALSE,"נספח - התאמות";#N/A,#N/A,FALSE,"ני""ע לתזרים";#N/A,#N/A,FALSE,"פירוטים לדוחות"}</definedName>
    <definedName name="gg" localSheetId="5" hidden="1">{#N/A,#N/A,FALSE,"מאזן";#N/A,#N/A,FALSE,"רווהפ";#N/A,#N/A,FALSE,"שינויים בהון";#N/A,#N/A,FALSE,"תזרים";#N/A,#N/A,FALSE,"נספח - התאמות";#N/A,#N/A,FALSE,"ני""ע לתזרים";#N/A,#N/A,FALSE,"פירוטים לדוחות"}</definedName>
    <definedName name="gg" hidden="1">{#N/A,#N/A,FALSE,"מאזן";#N/A,#N/A,FALSE,"רווהפ";#N/A,#N/A,FALSE,"שינויים בהון";#N/A,#N/A,FALSE,"תזרים";#N/A,#N/A,FALSE,"נספח - התאמות";#N/A,#N/A,FALSE,"ני""ע לתזרים";#N/A,#N/A,FALSE,"פירוטים לדוחות"}</definedName>
    <definedName name="ggggg" localSheetId="6" hidden="1">{"budget992000_customers",#N/A,FALSE,"Celtel alternative 6"}</definedName>
    <definedName name="ggggg" localSheetId="5" hidden="1">{"budget992000_customers",#N/A,FALSE,"Celtel alternative 6"}</definedName>
    <definedName name="ggggg" hidden="1">{"budget992000_customers",#N/A,FALSE,"Celtel alternative 6"}</definedName>
    <definedName name="ggggggg" localSheetId="6" hidden="1">{"budget992000 profit and loss",#N/A,FALSE,"Celtel alternative 6"}</definedName>
    <definedName name="ggggggg" localSheetId="5" hidden="1">{"budget992000 profit and loss",#N/A,FALSE,"Celtel alternative 6"}</definedName>
    <definedName name="ggggggg" hidden="1">{"budget992000 profit and loss",#N/A,FALSE,"Celtel alternative 6"}</definedName>
    <definedName name="Girokreditering" localSheetId="6"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Girokreditering" localSheetId="5"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Girokreditering"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GPROTOKL">'[8]ער"ז דוח מס:מיעוט'!$L$141:$BS$528</definedName>
    <definedName name="GrandTotal">#N/A</definedName>
    <definedName name="H" localSheetId="5">'[1]טורים 98'!$HJ$247</definedName>
    <definedName name="H">'[2]טורים 98'!$HJ$247</definedName>
    <definedName name="HD_HATSARA" localSheetId="6">#REF!</definedName>
    <definedName name="HD_HATSARA" localSheetId="5">#REF!</definedName>
    <definedName name="HD_HATSARA">#REF!</definedName>
    <definedName name="HD_PROTOCOL" localSheetId="6">#REF!</definedName>
    <definedName name="HD_PROTOCOL" localSheetId="5">#REF!</definedName>
    <definedName name="HD_PROTOCOL">#REF!</definedName>
    <definedName name="hhhh" localSheetId="6" hidden="1">{#N/A,#N/A,FALSE,"מאזן";#N/A,#N/A,FALSE,"רווהפ";#N/A,#N/A,FALSE,"שינויים בהון";#N/A,#N/A,FALSE,"תזרים";#N/A,#N/A,FALSE,"נספח - התאמות";#N/A,#N/A,FALSE,"ני""ע לתזרים";#N/A,#N/A,FALSE,"פירוטים לדוחות"}</definedName>
    <definedName name="hhhh" localSheetId="5" hidden="1">{#N/A,#N/A,FALSE,"מאזן";#N/A,#N/A,FALSE,"רווהפ";#N/A,#N/A,FALSE,"שינויים בהון";#N/A,#N/A,FALSE,"תזרים";#N/A,#N/A,FALSE,"נספח - התאמות";#N/A,#N/A,FALSE,"ני""ע לתזרים";#N/A,#N/A,FALSE,"פירוטים לדוחות"}</definedName>
    <definedName name="hhhh" hidden="1">{#N/A,#N/A,FALSE,"מאזן";#N/A,#N/A,FALSE,"רווהפ";#N/A,#N/A,FALSE,"שינויים בהון";#N/A,#N/A,FALSE,"תזרים";#N/A,#N/A,FALSE,"נספח - התאמות";#N/A,#N/A,FALSE,"ני""ע לתזרים";#N/A,#N/A,FALSE,"פירוטים לדוחות"}</definedName>
    <definedName name="hhhsdf" localSheetId="6" hidden="1">{"up stand alones",#N/A,FALSE,"Acquiror"}</definedName>
    <definedName name="hhhsdf" localSheetId="5" hidden="1">{"up stand alones",#N/A,FALSE,"Acquiror"}</definedName>
    <definedName name="hhhsdf" hidden="1">{"up stand alones",#N/A,FALSE,"Acquiror"}</definedName>
    <definedName name="hjutyu" localSheetId="6">#REF!</definedName>
    <definedName name="hjutyu">#REF!</definedName>
    <definedName name="HM_HATSARA" localSheetId="6">#REF!</definedName>
    <definedName name="HM_HATSARA" localSheetId="5">#REF!</definedName>
    <definedName name="HM_HATSARA">#REF!</definedName>
    <definedName name="HM_PROTOCOL" localSheetId="6">#REF!</definedName>
    <definedName name="HM_PROTOCOL" localSheetId="5">#REF!</definedName>
    <definedName name="HM_PROTOCOL">#REF!</definedName>
    <definedName name="HTML_CodePage" hidden="1">1252</definedName>
    <definedName name="HTML_Control" localSheetId="6" hidden="1">{"'Sheet1'!$A$1:$H$145"}</definedName>
    <definedName name="HTML_Control" localSheetId="5"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yundai" localSheetId="6" hidden="1">{#N/A,#N/A,TRUE,"Cover sheet";#N/A,#N/A,TRUE,"INPUTS";#N/A,#N/A,TRUE,"OUTPUTS";#N/A,#N/A,TRUE,"VALUATION"}</definedName>
    <definedName name="Hyundai" localSheetId="5" hidden="1">{#N/A,#N/A,TRUE,"Cover sheet";#N/A,#N/A,TRUE,"INPUTS";#N/A,#N/A,TRUE,"OUTPUTS";#N/A,#N/A,TRUE,"VALUATION"}</definedName>
    <definedName name="Hyundai" hidden="1">{#N/A,#N/A,TRUE,"Cover sheet";#N/A,#N/A,TRUE,"INPUTS";#N/A,#N/A,TRUE,"OUTPUTS";#N/A,#N/A,TRUE,"VALUATION"}</definedName>
    <definedName name="iii" localSheetId="6" hidden="1">{#N/A,#N/A,FALSE,"מאזן";#N/A,#N/A,FALSE,"רווהפ";#N/A,#N/A,FALSE,"שינויים בהון";#N/A,#N/A,FALSE,"תזרים";#N/A,#N/A,FALSE,"נספח - התאמות";#N/A,#N/A,FALSE,"ני""ע לתזרים";#N/A,#N/A,FALSE,"פירוטים לדוחות"}</definedName>
    <definedName name="iii" localSheetId="5" hidden="1">{#N/A,#N/A,FALSE,"מאזן";#N/A,#N/A,FALSE,"רווהפ";#N/A,#N/A,FALSE,"שינויים בהון";#N/A,#N/A,FALSE,"תזרים";#N/A,#N/A,FALSE,"נספח - התאמות";#N/A,#N/A,FALSE,"ני""ע לתזרים";#N/A,#N/A,FALSE,"פירוטים לדוחות"}</definedName>
    <definedName name="iii" hidden="1">{#N/A,#N/A,FALSE,"מאזן";#N/A,#N/A,FALSE,"רווהפ";#N/A,#N/A,FALSE,"שינויים בהון";#N/A,#N/A,FALSE,"תזרים";#N/A,#N/A,FALSE,"נספח - התאמות";#N/A,#N/A,FALSE,"ני""ע לתזרים";#N/A,#N/A,FALSE,"פירוטים לדוחות"}</definedName>
    <definedName name="ijhgdbdb" localSheetId="6" hidden="1">{#N/A,#N/A,FALSE,"מאזן";#N/A,#N/A,FALSE,"רווהפ";#N/A,#N/A,FALSE,"שינויים בהון";#N/A,#N/A,FALSE,"תזרים";#N/A,#N/A,FALSE,"נספח - התאמות";#N/A,#N/A,FALSE,"ני""ע לתזרים";#N/A,#N/A,FALSE,"פירוטים לדוחות"}</definedName>
    <definedName name="ijhgdbdb" localSheetId="5" hidden="1">{#N/A,#N/A,FALSE,"מאזן";#N/A,#N/A,FALSE,"רווהפ";#N/A,#N/A,FALSE,"שינויים בהון";#N/A,#N/A,FALSE,"תזרים";#N/A,#N/A,FALSE,"נספח - התאמות";#N/A,#N/A,FALSE,"ני""ע לתזרים";#N/A,#N/A,FALSE,"פירוטים לדוחות"}</definedName>
    <definedName name="ijhgdbdb" hidden="1">{#N/A,#N/A,FALSE,"מאזן";#N/A,#N/A,FALSE,"רווהפ";#N/A,#N/A,FALSE,"שינויים בהון";#N/A,#N/A,FALSE,"תזרים";#N/A,#N/A,FALSE,"נספח - התאמות";#N/A,#N/A,FALSE,"ני""ע לתזרים";#N/A,#N/A,FALSE,"פירוטים לדוחות"}</definedName>
    <definedName name="Income_tax">[31]Parameters!$C$64</definedName>
    <definedName name="INDE" localSheetId="6">#REF!</definedName>
    <definedName name="INDE" localSheetId="5">#REF!</definedName>
    <definedName name="INDE">#REF!</definedName>
    <definedName name="index" localSheetId="6">#REF!</definedName>
    <definedName name="index" localSheetId="5">#REF!</definedName>
    <definedName name="index">#REF!</definedName>
    <definedName name="Index_card_code" localSheetId="6">#REF!</definedName>
    <definedName name="Index_card_code">#REF!</definedName>
    <definedName name="Index_Card_name" localSheetId="6">#REF!</definedName>
    <definedName name="Index_Card_name">#REF!</definedName>
    <definedName name="Index_TB_Card_Type" localSheetId="6">#REF!</definedName>
    <definedName name="Index_TB_Card_Type">#REF!</definedName>
    <definedName name="index01">[21]Index!$A$3:$B$101</definedName>
    <definedName name="Interest_rate">[31]Parameters!$C$63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_UNUSED_UNUSED" hidden="1">"c8135"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P" hidden="1">"c8888"</definedName>
    <definedName name="IQ_CASH_OPER_AP_ABS" hidden="1">"c8907"</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_UNUSED_UNUSED" hidden="1">"c8280"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_UNUSED_UNUSED" hidden="1">"c7947"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_UNUSED_UNUSED" hidden="1">"c8167"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27" hidden="1">"c6927"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147" hidden="1">"c7147"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367" hidden="1">"c7367"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587" hidden="1">"c7587"</definedName>
    <definedName name="IQ_ECO_METRIC_7648_UNUSED_UNUSED_UNUSED" hidden="1">"c7648"</definedName>
    <definedName name="IQ_ECO_METRIC_7704" hidden="1">"c7704"</definedName>
    <definedName name="IQ_ECO_METRIC_7705_UNUSED_UNUSED_UNUSED" hidden="1">"c7705"</definedName>
    <definedName name="IQ_ECO_METRIC_7706" hidden="1">"c7706"</definedName>
    <definedName name="IQ_ECO_METRIC_7718" hidden="1">"c7718"</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07" hidden="1">"c7807"</definedName>
    <definedName name="IQ_ECO_METRIC_7811" hidden="1">"c7811"</definedName>
    <definedName name="IQ_ECO_METRIC_7868_UNUSED_UNUSED_UNUSED" hidden="1">"c7868"</definedName>
    <definedName name="IQ_ECO_METRIC_7873" hidden="1">"c7873"</definedName>
    <definedName name="IQ_ECO_METRIC_7924" hidden="1">"c7924"</definedName>
    <definedName name="IQ_ECO_METRIC_7925_UNUSED_UNUSED_UNUSED" hidden="1">"c7925"</definedName>
    <definedName name="IQ_ECO_METRIC_7926" hidden="1">"c7926"</definedName>
    <definedName name="IQ_ECO_METRIC_7938" hidden="1">"c7938"</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27" hidden="1">"c8027"</definedName>
    <definedName name="IQ_ECO_METRIC_8031" hidden="1">"c8031"</definedName>
    <definedName name="IQ_ECO_METRIC_8088_UNUSED_UNUSED_UNUSED" hidden="1">"c8088"</definedName>
    <definedName name="IQ_ECO_METRIC_8093" hidden="1">"c8093"</definedName>
    <definedName name="IQ_ECO_METRIC_8144" hidden="1">"c8144"</definedName>
    <definedName name="IQ_ECO_METRIC_8145_UNUSED_UNUSED_UNUSED" hidden="1">"c8145"</definedName>
    <definedName name="IQ_ECO_METRIC_8146" hidden="1">"c8146"</definedName>
    <definedName name="IQ_ECO_METRIC_8158" hidden="1">"c8158"</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247" hidden="1">"c8247"</definedName>
    <definedName name="IQ_ECO_METRIC_8251" hidden="1">"c8251"</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_UNUSED_UNUSED" hidden="1">"c8436"</definedName>
    <definedName name="IQ_ECO_METRIC_8437_UNUSED_UNUSED_UNUSED" hidden="1">"c8437"</definedName>
    <definedName name="IQ_ECO_METRIC_8467" hidden="1">"c8467"</definedName>
    <definedName name="IQ_ECO_METRIC_8471" hidden="1">"c8471"</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AP" hidden="1">"c8880"</definedName>
    <definedName name="IQ_EPS_AP_ABS" hidden="1">"c8899"</definedName>
    <definedName name="IQ_EPS_EST" hidden="1">"c399"</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 hidden="1">"c5630"</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_REUT" hidden="1">"c5425"</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HIGH_REC" hidden="1">"c5649"</definedName>
    <definedName name="IQ_EST_NUM_HIGH_REC_REUT" hidden="1">"c3870"</definedName>
    <definedName name="IQ_EST_NUM_HIGHEST_REC" hidden="1">"c5648"</definedName>
    <definedName name="IQ_EST_NUM_HIGHEST_REC_REUT" hidden="1">"c3869"</definedName>
    <definedName name="IQ_EST_NUM_HOLD" hidden="1">"c1761"</definedName>
    <definedName name="IQ_EST_NUM_LOW_REC" hidden="1">"c5651"</definedName>
    <definedName name="IQ_EST_NUM_LOW_REC_REUT" hidden="1">"c3872"</definedName>
    <definedName name="IQ_EST_NUM_LOWEST_REC" hidden="1">"c5652"</definedName>
    <definedName name="IQ_EST_NUM_LOWEST_REC_REUT" hidden="1">"c3873"</definedName>
    <definedName name="IQ_EST_NUM_NEUTRAL_REC" hidden="1">"c5650"</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_UNUSED_UNUSED" hidden="1">"c8401"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 hidden="1">"c11931"</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 hidden="1">"c11932"</definedName>
    <definedName name="IQ_EXPORTS_GOODS_REAL_SAAR_YOY_FC_UNUSED_UNUSED_UNUSED" hidden="1">"c8292"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_UNUSED_UNUSED" hidden="1">"c7961"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 hidden="1">"c11935"</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 hidden="1">"c11936"</definedName>
    <definedName name="IQ_EXPORTS_SERVICES_REAL_SAAR_YOY_FC_UNUSED_UNUSED_UNUSED" hidden="1">"c8296"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_UNUSED_UNUSED" hidden="1">"c8298"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 hidden="1">"c11959"</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_UNUSED_UNUSED" hidden="1">"c8304"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_UNUSED_UNUSED" hidden="1">"c8209"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ULTIFAMILY_RESIDENTIAL_LOANS_FDIC" hidden="1">"c6311"</definedName>
    <definedName name="IQ_NAMES_REVISION_DATE_" hidden="1">40876.5114583333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_REUT" hidden="1">"c5375"</definedName>
    <definedName name="IQ_NI_GW_GUIDANCE" hidden="1">"c4471"</definedName>
    <definedName name="IQ_NI_GW_HIGH_EST_REUT" hidden="1">"c5377"</definedName>
    <definedName name="IQ_NI_GW_HIGH_GUIDANCE" hidden="1">"c4178"</definedName>
    <definedName name="IQ_NI_GW_LOW_EST_REUT" hidden="1">"c5378"</definedName>
    <definedName name="IQ_NI_GW_LOW_GUIDANCE" hidden="1">"c4218"</definedName>
    <definedName name="IQ_NI_GW_MEDIAN_EST_REUT" hidden="1">"c5376"</definedName>
    <definedName name="IQ_NI_GW_NUM_EST_REUT" hidden="1">"c5379"</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_UNUSED_UNUSED" hidden="1">"c8248"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"c3966"</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ICE_CFPS_FWD" hidden="1">"c2237"</definedName>
    <definedName name="IQ_PRICE_CFPS_FWD_REUT" hidden="1">"c4053"</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EPS_TYPE_REUT" hidden="1">"c5481"</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REUT" hidden="1">"c5461"</definedName>
    <definedName name="IQ_REVENUE_EST" hidden="1">"c1126"</definedName>
    <definedName name="IQ_REVENUE_EST_BOTTOM_UP" hidden="1">"c5488"</definedName>
    <definedName name="IQ_REVENUE_EST_BOTTOM_UP_REUT" hidden="1">"c5496"</definedName>
    <definedName name="IQ_REVENUE_EST_REUT" hidden="1">"c3634"</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39637.5707060185</definedName>
    <definedName name="IQ_RISK_ADJ_BANK_ASSETS" hidden="1">"c2670"</definedName>
    <definedName name="IQ_RISK_WEIGHTED_ASSETS_FDIC" hidden="1">"c6370"</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to2" localSheetId="6" hidden="1">{"up stand alones",#N/A,FALSE,"Acquiror"}</definedName>
    <definedName name="isto2" localSheetId="5" hidden="1">{"up stand alones",#N/A,FALSE,"Acquiror"}</definedName>
    <definedName name="isto2" hidden="1">{"up stand alones",#N/A,FALSE,"Acquiror"}</definedName>
    <definedName name="jazz" localSheetId="6" hidden="1">{#N/A,#N/A,FALSE,"Spain MKT";#N/A,#N/A,FALSE,"Assumptions";#N/A,#N/A,FALSE,"Adve";#N/A,#N/A,FALSE,"E-Commerce";#N/A,#N/A,FALSE,"Opex";#N/A,#N/A,FALSE,"P&amp;L";#N/A,#N/A,FALSE,"FCF &amp; DCF"}</definedName>
    <definedName name="jazz" localSheetId="5" hidden="1">{#N/A,#N/A,FALSE,"Spain MKT";#N/A,#N/A,FALSE,"Assumptions";#N/A,#N/A,FALSE,"Adve";#N/A,#N/A,FALSE,"E-Commerce";#N/A,#N/A,FALSE,"Opex";#N/A,#N/A,FALSE,"P&amp;L";#N/A,#N/A,FALSE,"FCF &amp; DCF"}</definedName>
    <definedName name="jazz" hidden="1">{#N/A,#N/A,FALSE,"Spain MKT";#N/A,#N/A,FALSE,"Assumptions";#N/A,#N/A,FALSE,"Adve";#N/A,#N/A,FALSE,"E-Commerce";#N/A,#N/A,FALSE,"Opex";#N/A,#N/A,FALSE,"P&amp;L";#N/A,#N/A,FALSE,"FCF &amp; DCF"}</definedName>
    <definedName name="jazz2" localSheetId="6" hidden="1">{#N/A,#N/A,FALSE,"Spain MKT";#N/A,#N/A,FALSE,"Assumptions";#N/A,#N/A,FALSE,"Adve";#N/A,#N/A,FALSE,"E-Commerce";#N/A,#N/A,FALSE,"Opex";#N/A,#N/A,FALSE,"P&amp;L";#N/A,#N/A,FALSE,"FCF &amp; DCF"}</definedName>
    <definedName name="jazz2" localSheetId="5" hidden="1">{#N/A,#N/A,FALSE,"Spain MKT";#N/A,#N/A,FALSE,"Assumptions";#N/A,#N/A,FALSE,"Adve";#N/A,#N/A,FALSE,"E-Commerce";#N/A,#N/A,FALSE,"Opex";#N/A,#N/A,FALSE,"P&amp;L";#N/A,#N/A,FALSE,"FCF &amp; DCF"}</definedName>
    <definedName name="jazz2" hidden="1">{#N/A,#N/A,FALSE,"Spain MKT";#N/A,#N/A,FALSE,"Assumptions";#N/A,#N/A,FALSE,"Adve";#N/A,#N/A,FALSE,"E-Commerce";#N/A,#N/A,FALSE,"Opex";#N/A,#N/A,FALSE,"P&amp;L";#N/A,#N/A,FALSE,"FCF &amp; DCF"}</definedName>
    <definedName name="JE_Account_Number">[21]JE!$C$4:$C$507</definedName>
    <definedName name="JE_amount" localSheetId="6">#REF!</definedName>
    <definedName name="JE_amount" localSheetId="5">#REF!</definedName>
    <definedName name="JE_amount">#REF!</definedName>
    <definedName name="JE_amount_NIS" localSheetId="6">#REF!</definedName>
    <definedName name="JE_amount_NIS" localSheetId="5">#REF!</definedName>
    <definedName name="JE_amount_NIS">#REF!</definedName>
    <definedName name="JE_Entity" localSheetId="6">#REF!</definedName>
    <definedName name="JE_Entity" localSheetId="5">#REF!</definedName>
    <definedName name="JE_Entity">#REF!</definedName>
    <definedName name="JE_Ledger_number" localSheetId="6">#REF!</definedName>
    <definedName name="JE_Ledger_number">#REF!</definedName>
    <definedName name="JE_Month" localSheetId="6">#REF!</definedName>
    <definedName name="JE_Month">#REF!</definedName>
    <definedName name="jhgfd" localSheetId="6" hidden="1">{#N/A,#N/A,FALSE,"מאזן";#N/A,#N/A,FALSE,"רווהפ";#N/A,#N/A,FALSE,"שינויים בהון";#N/A,#N/A,FALSE,"תזרים";#N/A,#N/A,FALSE,"נספח - התאמות";#N/A,#N/A,FALSE,"ני""ע לתזרים";#N/A,#N/A,FALSE,"פירוטים לדוחות"}</definedName>
    <definedName name="jhgfd" localSheetId="5" hidden="1">{#N/A,#N/A,FALSE,"מאזן";#N/A,#N/A,FALSE,"רווהפ";#N/A,#N/A,FALSE,"שינויים בהון";#N/A,#N/A,FALSE,"תזרים";#N/A,#N/A,FALSE,"נספח - התאמות";#N/A,#N/A,FALSE,"ני""ע לתזרים";#N/A,#N/A,FALSE,"פירוטים לדוחות"}</definedName>
    <definedName name="jhgfd" hidden="1">{#N/A,#N/A,FALSE,"מאזן";#N/A,#N/A,FALSE,"רווהפ";#N/A,#N/A,FALSE,"שינויים בהון";#N/A,#N/A,FALSE,"תזרים";#N/A,#N/A,FALSE,"נספח - התאמות";#N/A,#N/A,FALSE,"ני""ע לתזרים";#N/A,#N/A,FALSE,"פירוטים לדוחות"}</definedName>
    <definedName name="June98">'[9]הקצאות מימושים ופקיעות'!#REF!</definedName>
    <definedName name="kfkfk" localSheetId="6" hidden="1">{#N/A,#N/A,FALSE,"מאזן";#N/A,#N/A,FALSE,"רווהפ";#N/A,#N/A,FALSE,"שינויים בהון";#N/A,#N/A,FALSE,"תזרים";#N/A,#N/A,FALSE,"נספח - התאמות";#N/A,#N/A,FALSE,"ני""ע לתזרים";#N/A,#N/A,FALSE,"פירוטים לדוחות"}</definedName>
    <definedName name="kfkfk" localSheetId="5" hidden="1">{#N/A,#N/A,FALSE,"מאזן";#N/A,#N/A,FALSE,"רווהפ";#N/A,#N/A,FALSE,"שינויים בהון";#N/A,#N/A,FALSE,"תזרים";#N/A,#N/A,FALSE,"נספח - התאמות";#N/A,#N/A,FALSE,"ני""ע לתזרים";#N/A,#N/A,FALSE,"פירוטים לדוחות"}</definedName>
    <definedName name="kfkfk" hidden="1">{#N/A,#N/A,FALSE,"מאזן";#N/A,#N/A,FALSE,"רווהפ";#N/A,#N/A,FALSE,"שינויים בהון";#N/A,#N/A,FALSE,"תזרים";#N/A,#N/A,FALSE,"נספח - התאמות";#N/A,#N/A,FALSE,"ני""ע לתזרים";#N/A,#N/A,FALSE,"פירוטים לדוחות"}</definedName>
    <definedName name="ki" localSheetId="6" hidden="1">{#N/A,#N/A,TRUE,"Cover sheet";#N/A,#N/A,TRUE,"Summary";#N/A,#N/A,TRUE,"Key Assumptions";#N/A,#N/A,TRUE,"Profit &amp; Loss";#N/A,#N/A,TRUE,"Balance Sheet";#N/A,#N/A,TRUE,"Cashflow";#N/A,#N/A,TRUE,"IRR";#N/A,#N/A,TRUE,"Ratios";#N/A,#N/A,TRUE,"Debt analysis"}</definedName>
    <definedName name="ki" localSheetId="5" hidden="1">{#N/A,#N/A,TRUE,"Cover sheet";#N/A,#N/A,TRUE,"Summary";#N/A,#N/A,TRUE,"Key Assumptions";#N/A,#N/A,TRUE,"Profit &amp; Loss";#N/A,#N/A,TRUE,"Balance Sheet";#N/A,#N/A,TRUE,"Cashflow";#N/A,#N/A,TRUE,"IRR";#N/A,#N/A,TRUE,"Ratios";#N/A,#N/A,TRUE,"Debt analysis"}</definedName>
    <definedName name="ki" hidden="1">{#N/A,#N/A,TRUE,"Cover sheet";#N/A,#N/A,TRUE,"Summary";#N/A,#N/A,TRUE,"Key Assumptions";#N/A,#N/A,TRUE,"Profit &amp; Loss";#N/A,#N/A,TRUE,"Balance Sheet";#N/A,#N/A,TRUE,"Cashflow";#N/A,#N/A,TRUE,"IRR";#N/A,#N/A,TRUE,"Ratios";#N/A,#N/A,TRUE,"Debt analysis"}</definedName>
    <definedName name="kjhkjh" localSheetId="6" hidden="1">{#N/A,#N/A,FALSE,"ORIX CSC"}</definedName>
    <definedName name="kjhkjh" localSheetId="5" hidden="1">{#N/A,#N/A,FALSE,"ORIX CSC"}</definedName>
    <definedName name="kjhkjh" hidden="1">{#N/A,#N/A,FALSE,"ORIX CSC"}</definedName>
    <definedName name="km" localSheetId="6" hidden="1">{"Income sources",#N/A,FALSE,"budget Format - Peachtree"}</definedName>
    <definedName name="km" localSheetId="5" hidden="1">{"Income sources",#N/A,FALSE,"budget Format - Peachtree"}</definedName>
    <definedName name="km" hidden="1">{"Income sources",#N/A,FALSE,"budget Format - Peachtree"}</definedName>
    <definedName name="koch" localSheetId="6" hidden="1">{#N/A,#N/A,FALSE,"Full";#N/A,#N/A,FALSE,"Half";#N/A,#N/A,FALSE,"Op Expenses";#N/A,#N/A,FALSE,"Cap Charge";#N/A,#N/A,FALSE,"Cost C";#N/A,#N/A,FALSE,"PP&amp;E";#N/A,#N/A,FALSE,"R&amp;D"}</definedName>
    <definedName name="koch" localSheetId="5" hidden="1">{#N/A,#N/A,FALSE,"Full";#N/A,#N/A,FALSE,"Half";#N/A,#N/A,FALSE,"Op Expenses";#N/A,#N/A,FALSE,"Cap Charge";#N/A,#N/A,FALSE,"Cost C";#N/A,#N/A,FALSE,"PP&amp;E";#N/A,#N/A,FALSE,"R&amp;D"}</definedName>
    <definedName name="koch" hidden="1">{#N/A,#N/A,FALSE,"Full";#N/A,#N/A,FALSE,"Half";#N/A,#N/A,FALSE,"Op Expenses";#N/A,#N/A,FALSE,"Cap Charge";#N/A,#N/A,FALSE,"Cost C";#N/A,#N/A,FALSE,"PP&amp;E";#N/A,#N/A,FALSE,"R&amp;D"}</definedName>
    <definedName name="l" localSheetId="6"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l"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l"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ledger_number">[32]Index!$B$3:$B$293</definedName>
    <definedName name="limcount" hidden="1">1</definedName>
    <definedName name="List_SR" localSheetId="6">#REF!</definedName>
    <definedName name="List_SR">#REF!</definedName>
    <definedName name="ljljljljl" localSheetId="6" hidden="1">{#N/A,#N/A,FALSE,"מאזן";#N/A,#N/A,FALSE,"רווהפ";#N/A,#N/A,FALSE,"שינויים בהון";#N/A,#N/A,FALSE,"תזרים";#N/A,#N/A,FALSE,"נספח - התאמות";#N/A,#N/A,FALSE,"ני""ע לתזרים";#N/A,#N/A,FALSE,"פירוטים לדוחות"}</definedName>
    <definedName name="ljljljljl" localSheetId="5" hidden="1">{#N/A,#N/A,FALSE,"מאזן";#N/A,#N/A,FALSE,"רווהפ";#N/A,#N/A,FALSE,"שינויים בהון";#N/A,#N/A,FALSE,"תזרים";#N/A,#N/A,FALSE,"נספח - התאמות";#N/A,#N/A,FALSE,"ני""ע לתזרים";#N/A,#N/A,FALSE,"פירוטים לדוחות"}</definedName>
    <definedName name="ljljljljl" hidden="1">{#N/A,#N/A,FALSE,"מאזן";#N/A,#N/A,FALSE,"רווהפ";#N/A,#N/A,FALSE,"שינויים בהון";#N/A,#N/A,FALSE,"תזרים";#N/A,#N/A,FALSE,"נספח - התאמות";#N/A,#N/A,FALSE,"ני""ע לתזרים";#N/A,#N/A,FALSE,"פירוטים לדוחות"}</definedName>
    <definedName name="lkjlj" localSheetId="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kjlj"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kjlj"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kjlklkjlkjlkj" localSheetId="6" hidden="1">{"page1",#N/A,TRUE,"CSC";"page2",#N/A,TRUE,"CSC"}</definedName>
    <definedName name="lkjlklkjlkjlkj" localSheetId="5" hidden="1">{"page1",#N/A,TRUE,"CSC";"page2",#N/A,TRUE,"CSC"}</definedName>
    <definedName name="lkjlklkjlkjlkj" hidden="1">{"page1",#N/A,TRUE,"CSC";"page2",#N/A,TRUE,"CSC"}</definedName>
    <definedName name="ll" localSheetId="6" hidden="1">{#N/A,#N/A,FALSE,"מאזן";#N/A,#N/A,FALSE,"רווהפ";#N/A,#N/A,FALSE,"שינויים בהון";#N/A,#N/A,FALSE,"תזרים";#N/A,#N/A,FALSE,"נספח - התאמות";#N/A,#N/A,FALSE,"ני""ע לתזרים";#N/A,#N/A,FALSE,"פירוטים לדוחות"}</definedName>
    <definedName name="ll" localSheetId="5" hidden="1">{#N/A,#N/A,FALSE,"מאזן";#N/A,#N/A,FALSE,"רווהפ";#N/A,#N/A,FALSE,"שינויים בהון";#N/A,#N/A,FALSE,"תזרים";#N/A,#N/A,FALSE,"נספח - התאמות";#N/A,#N/A,FALSE,"ני""ע לתזרים";#N/A,#N/A,FALSE,"פירוטים לדוחות"}</definedName>
    <definedName name="ll" hidden="1">{#N/A,#N/A,FALSE,"מאזן";#N/A,#N/A,FALSE,"רווהפ";#N/A,#N/A,FALSE,"שינויים בהון";#N/A,#N/A,FALSE,"תזרים";#N/A,#N/A,FALSE,"נספח - התאמות";#N/A,#N/A,FALSE,"ני""ע לתזרים";#N/A,#N/A,FALSE,"פירוטים לדוחות"}</definedName>
    <definedName name="LLL">'[8]ער"ז דוח מס:מיעוט'!$L$9:$BS$651</definedName>
    <definedName name="lllllllllllllllllllllllllllllllll" localSheetId="6" hidden="1">{"Geographic P1",#N/A,FALSE,"Division &amp; Geog"}</definedName>
    <definedName name="lllllllllllllllllllllllllllllllll" localSheetId="5" hidden="1">{"Geographic P1",#N/A,FALSE,"Division &amp; Geog"}</definedName>
    <definedName name="lllllllllllllllllllllllllllllllll" hidden="1">{"Geographic P1",#N/A,FALSE,"Division &amp; Geog"}</definedName>
    <definedName name="LST_Curr">[31]Parameters!$B$9:$B$12</definedName>
    <definedName name="M_S_Department" localSheetId="5">#REF!</definedName>
    <definedName name="M_S_Department">#REF!</definedName>
    <definedName name="madad" localSheetId="6">#REF!</definedName>
    <definedName name="madad" localSheetId="5">#REF!</definedName>
    <definedName name="madad">#REF!</definedName>
    <definedName name="MAIN" localSheetId="5">'[1]טורים 98'!$GT$15</definedName>
    <definedName name="MAIN">'[2]טורים 98'!$GT$15</definedName>
    <definedName name="MDA" localSheetId="6">#REF!</definedName>
    <definedName name="MDA" localSheetId="5">#REF!</definedName>
    <definedName name="MDA">#REF!</definedName>
    <definedName name="ME" localSheetId="6">#REF!</definedName>
    <definedName name="ME" localSheetId="5">#REF!</definedName>
    <definedName name="ME">#REF!</definedName>
    <definedName name="MERKZ" localSheetId="5">'[1]טורים 98'!$GT$120</definedName>
    <definedName name="MERKZ">'[2]טורים 98'!$GT$120</definedName>
    <definedName name="MIMUN_" localSheetId="6">#REF!</definedName>
    <definedName name="MIMUN_" localSheetId="5">#REF!</definedName>
    <definedName name="MIMUN_">#REF!</definedName>
    <definedName name="MIMUNNIS" localSheetId="6">#REF!</definedName>
    <definedName name="MIMUNNIS" localSheetId="5">#REF!</definedName>
    <definedName name="MIMUNNIS">#REF!</definedName>
    <definedName name="MIUT" localSheetId="6">#REF!</definedName>
    <definedName name="MIUT" localSheetId="5">#REF!</definedName>
    <definedName name="MIUT">#REF!</definedName>
    <definedName name="mk" localSheetId="6" hidden="1">{#N/A,#N/A,FALSE,"inc state";#N/A,#N/A,FALSE,"Products";#N/A,#N/A,FALSE,"bal sht"}</definedName>
    <definedName name="mk" localSheetId="5" hidden="1">{#N/A,#N/A,FALSE,"inc state";#N/A,#N/A,FALSE,"Products";#N/A,#N/A,FALSE,"bal sht"}</definedName>
    <definedName name="mk" hidden="1">{#N/A,#N/A,FALSE,"inc state";#N/A,#N/A,FALSE,"Products";#N/A,#N/A,FALSE,"bal sht"}</definedName>
    <definedName name="MONTH">[22]Criteria!$D$4</definedName>
    <definedName name="month_je">[21]JE!$A$4:$A$507</definedName>
    <definedName name="month_of_report" localSheetId="6">#REF!</definedName>
    <definedName name="month_of_report" localSheetId="5">#REF!</definedName>
    <definedName name="month_of_report">#REF!</definedName>
    <definedName name="MonthJE" localSheetId="6">#REF!</definedName>
    <definedName name="MonthJE" localSheetId="5">#REF!</definedName>
    <definedName name="MonthJE">#REF!</definedName>
    <definedName name="Months" localSheetId="6">#REF!</definedName>
    <definedName name="Months" localSheetId="5">#REF!</definedName>
    <definedName name="Months">#REF!</definedName>
    <definedName name="MTMT04" localSheetId="6">[24]shar!#REF!</definedName>
    <definedName name="MTMT04" localSheetId="5">[25]shar!#REF!</definedName>
    <definedName name="MTMT04">[24]shar!#REF!</definedName>
    <definedName name="MTMT06" localSheetId="6">[24]shar!#REF!</definedName>
    <definedName name="MTMT06" localSheetId="5">[25]shar!#REF!</definedName>
    <definedName name="MTMT06">[24]shar!#REF!</definedName>
    <definedName name="MTMT12" localSheetId="5">[25]shar!#REF!</definedName>
    <definedName name="MTMT12">[24]shar!#REF!</definedName>
    <definedName name="MTMT14" localSheetId="5">[25]shar!#REF!</definedName>
    <definedName name="MTMT14">[24]shar!#REF!</definedName>
    <definedName name="MTMT16" localSheetId="5">[25]shar!#REF!</definedName>
    <definedName name="MTMT16">[24]shar!#REF!</definedName>
    <definedName name="nbvcxz" localSheetId="6" hidden="1">{#N/A,#N/A,FALSE,"מאזן";#N/A,#N/A,FALSE,"רווהפ";#N/A,#N/A,FALSE,"שינויים בהון";#N/A,#N/A,FALSE,"תזרים";#N/A,#N/A,FALSE,"נספח - התאמות";#N/A,#N/A,FALSE,"ני""ע לתזרים";#N/A,#N/A,FALSE,"פירוטים לדוחות"}</definedName>
    <definedName name="nbvcxz" localSheetId="5" hidden="1">{#N/A,#N/A,FALSE,"מאזן";#N/A,#N/A,FALSE,"רווהפ";#N/A,#N/A,FALSE,"שינויים בהון";#N/A,#N/A,FALSE,"תזרים";#N/A,#N/A,FALSE,"נספח - התאמות";#N/A,#N/A,FALSE,"ני""ע לתזרים";#N/A,#N/A,FALSE,"פירוטים לדוחות"}</definedName>
    <definedName name="nbvcxz" hidden="1">{#N/A,#N/A,FALSE,"מאזן";#N/A,#N/A,FALSE,"רווהפ";#N/A,#N/A,FALSE,"שינויים בהון";#N/A,#N/A,FALSE,"תזרים";#N/A,#N/A,FALSE,"נספח - התאמות";#N/A,#N/A,FALSE,"ני""ע לתזרים";#N/A,#N/A,FALSE,"פירוטים לדוחות"}</definedName>
    <definedName name="New" localSheetId="6" hidden="1">{"CSC_1",#N/A,FALSE,"CSC Outputs";"CSC_2",#N/A,FALSE,"CSC Outputs"}</definedName>
    <definedName name="New" localSheetId="5" hidden="1">{"CSC_1",#N/A,FALSE,"CSC Outputs";"CSC_2",#N/A,FALSE,"CSC Outputs"}</definedName>
    <definedName name="New" hidden="1">{"CSC_1",#N/A,FALSE,"CSC Outputs";"CSC_2",#N/A,FALSE,"CSC Outputs"}</definedName>
    <definedName name="new_dfs" localSheetId="6" hidden="1">{#N/A,#N/A,FALSE,"inc state";#N/A,#N/A,FALSE,"Products";#N/A,#N/A,FALSE,"bal sht"}</definedName>
    <definedName name="new_dfs" localSheetId="5" hidden="1">{#N/A,#N/A,FALSE,"inc state";#N/A,#N/A,FALSE,"Products";#N/A,#N/A,FALSE,"bal sht"}</definedName>
    <definedName name="new_dfs" hidden="1">{#N/A,#N/A,FALSE,"inc state";#N/A,#N/A,FALSE,"Products";#N/A,#N/A,FALSE,"bal sht"}</definedName>
    <definedName name="new_mk" localSheetId="6" hidden="1">{#N/A,#N/A,FALSE,"inc state";#N/A,#N/A,FALSE,"Products";#N/A,#N/A,FALSE,"bal sht"}</definedName>
    <definedName name="new_mk" localSheetId="5" hidden="1">{#N/A,#N/A,FALSE,"inc state";#N/A,#N/A,FALSE,"Products";#N/A,#N/A,FALSE,"bal sht"}</definedName>
    <definedName name="new_mk" hidden="1">{#N/A,#N/A,FALSE,"inc state";#N/A,#N/A,FALSE,"Products";#N/A,#N/A,FALSE,"bal sht"}</definedName>
    <definedName name="new_report" localSheetId="6" hidden="1">{#N/A,#N/A,FALSE,"inc state";#N/A,#N/A,FALSE,"Products";#N/A,#N/A,FALSE,"bal sht"}</definedName>
    <definedName name="new_report" localSheetId="5" hidden="1">{#N/A,#N/A,FALSE,"inc state";#N/A,#N/A,FALSE,"Products";#N/A,#N/A,FALSE,"bal sht"}</definedName>
    <definedName name="new_report" hidden="1">{#N/A,#N/A,FALSE,"inc state";#N/A,#N/A,FALSE,"Products";#N/A,#N/A,FALSE,"bal sht"}</definedName>
    <definedName name="new_wrn.All._.Models." localSheetId="6" hidden="1">{#N/A,#N/A,FALSE,"inc state";#N/A,#N/A,FALSE,"Products";#N/A,#N/A,FALSE,"bal sht"}</definedName>
    <definedName name="new_wrn.All._.Models." localSheetId="5" hidden="1">{#N/A,#N/A,FALSE,"inc state";#N/A,#N/A,FALSE,"Products";#N/A,#N/A,FALSE,"bal sht"}</definedName>
    <definedName name="new_wrn.All._.Models." hidden="1">{#N/A,#N/A,FALSE,"inc state";#N/A,#N/A,FALSE,"Products";#N/A,#N/A,FALSE,"bal sht"}</definedName>
    <definedName name="new_wrn.Income._.and._Cogs." localSheetId="6" hidden="1">{"Income sources",#N/A,FALSE,"budget Format - Peachtree"}</definedName>
    <definedName name="new_wrn.Income._.and._Cogs." localSheetId="5" hidden="1">{"Income sources",#N/A,FALSE,"budget Format - Peachtree"}</definedName>
    <definedName name="new_wrn.Income._.and._Cogs." hidden="1">{"Income sources",#N/A,FALSE,"budget Format - Peachtree"}</definedName>
    <definedName name="new_wrn.PRo._.Forma." localSheetId="6" hidden="1">{"Pro Forma",#N/A,FALSE,"budget Format - Peachtree"}</definedName>
    <definedName name="new_wrn.PRo._.Forma." localSheetId="5" hidden="1">{"Pro Forma",#N/A,FALSE,"budget Format - Peachtree"}</definedName>
    <definedName name="new_wrn.PRo._.Forma." hidden="1">{"Pro Forma",#N/A,FALSE,"budget Format - Peachtree"}</definedName>
    <definedName name="new_wrn.מאזן_בוחן_כללי." localSheetId="6" hidden="1">{#N/A,#N/A,FALSE,"מאזן בוחן";"כל_מאזן_בוחן",#N/A,FALSE,"מאזן בוחן"}</definedName>
    <definedName name="new_wrn.מאזן_בוחן_כללי." localSheetId="5" hidden="1">{#N/A,#N/A,FALSE,"מאזן בוחן";"כל_מאזן_בוחן",#N/A,FALSE,"מאזן בוחן"}</definedName>
    <definedName name="new_wrn.מאזן_בוחן_כללי." hidden="1">{#N/A,#N/A,FALSE,"מאזן בוחן";"כל_מאזן_בוחן",#N/A,FALSE,"מאזן בוחן"}</definedName>
    <definedName name="new_wrn.סעיפי_מאזן_בוחן." localSheetId="6"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new_wrn.סעיפי_מאזן_בוחן."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new_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new_אאא" localSheetId="6" hidden="1">{#N/A,#N/A,FALSE,"מאזן בוחן";"כל_מאזן_בוחן",#N/A,FALSE,"מאזן בוחן"}</definedName>
    <definedName name="new_אאא" localSheetId="5" hidden="1">{#N/A,#N/A,FALSE,"מאזן בוחן";"כל_מאזן_בוחן",#N/A,FALSE,"מאזן בוחן"}</definedName>
    <definedName name="new_אאא" hidden="1">{#N/A,#N/A,FALSE,"מאזן בוחן";"כל_מאזן_בוחן",#N/A,FALSE,"מאזן בוחן"}</definedName>
    <definedName name="new_אאא1" localSheetId="6" hidden="1">{#N/A,#N/A,FALSE,"מאזן בוחן";"כל_מאזן_בוחן",#N/A,FALSE,"מאזן בוחן"}</definedName>
    <definedName name="new_אאא1" localSheetId="5" hidden="1">{#N/A,#N/A,FALSE,"מאזן בוחן";"כל_מאזן_בוחן",#N/A,FALSE,"מאזן בוחן"}</definedName>
    <definedName name="new_אאא1" hidden="1">{#N/A,#N/A,FALSE,"מאזן בוחן";"כל_מאזן_בוחן",#N/A,FALSE,"מאזן בוחן"}</definedName>
    <definedName name="new_בככ" localSheetId="6"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new_בככ"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new_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new_בככ1" localSheetId="6"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new_בככ1"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new_בככ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new_מאזן" localSheetId="6" hidden="1">{#N/A,#N/A,FALSE,"מאזן בוחן";"כל_מאזן_בוחן",#N/A,FALSE,"מאזן בוחן"}</definedName>
    <definedName name="new_מאזן" localSheetId="5" hidden="1">{#N/A,#N/A,FALSE,"מאזן בוחן";"כל_מאזן_בוחן",#N/A,FALSE,"מאזן בוחן"}</definedName>
    <definedName name="new_מאזן" hidden="1">{#N/A,#N/A,FALSE,"מאזן בוחן";"כל_מאזן_בוחן",#N/A,FALSE,"מאזן בוחן"}</definedName>
    <definedName name="new_מאזן_בוחן_כללי_1" localSheetId="6" hidden="1">{#N/A,#N/A,FALSE,"מאזן בוחן";"כל_מאזן_בוחן",#N/A,FALSE,"מאזן בוחן"}</definedName>
    <definedName name="new_מאזן_בוחן_כללי_1" localSheetId="5" hidden="1">{#N/A,#N/A,FALSE,"מאזן בוחן";"כל_מאזן_בוחן",#N/A,FALSE,"מאזן בוחן"}</definedName>
    <definedName name="new_מאזן_בוחן_כללי_1" hidden="1">{#N/A,#N/A,FALSE,"מאזן בוחן";"כל_מאזן_בוחן",#N/A,FALSE,"מאזן בוחן"}</definedName>
    <definedName name="new_מאזן_בוחן_כללי1" localSheetId="6" hidden="1">{#N/A,#N/A,FALSE,"מאזן בוחן";"כל_מאזן_בוחן",#N/A,FALSE,"מאזן בוחן"}</definedName>
    <definedName name="new_מאזן_בוחן_כללי1" localSheetId="5" hidden="1">{#N/A,#N/A,FALSE,"מאזן בוחן";"כל_מאזן_בוחן",#N/A,FALSE,"מאזן בוחן"}</definedName>
    <definedName name="new_מאזן_בוחן_כללי1" hidden="1">{#N/A,#N/A,FALSE,"מאזן בוחן";"כל_מאזן_בוחן",#N/A,FALSE,"מאזן בוחן"}</definedName>
    <definedName name="new_סעיפי_מאזן_בוחן_1" localSheetId="6"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new_סעיפי_מאזן_בוחן_1"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new_סעיפי_מאזן_בוחן_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newname" localSheetId="6" hidden="1">{#N/A,#N/A,TRUE,"Cover sheet";#N/A,#N/A,TRUE,"INPUTS";#N/A,#N/A,TRUE,"OUTPUTS";#N/A,#N/A,TRUE,"VALUATION"}</definedName>
    <definedName name="newname" localSheetId="5" hidden="1">{#N/A,#N/A,TRUE,"Cover sheet";#N/A,#N/A,TRUE,"INPUTS";#N/A,#N/A,TRUE,"OUTPUTS";#N/A,#N/A,TRUE,"VALUATION"}</definedName>
    <definedName name="newname" hidden="1">{#N/A,#N/A,TRUE,"Cover sheet";#N/A,#N/A,TRUE,"INPUTS";#N/A,#N/A,TRUE,"OUTPUTS";#N/A,#N/A,TRUE,"VALUATION"}</definedName>
    <definedName name="NIAROT" localSheetId="5">'[1]טורים 98'!$GT$145</definedName>
    <definedName name="NIAROT">'[2]טורים 98'!$GT$145</definedName>
    <definedName name="NIARTA" localSheetId="6">'[6]שמ"מ מ"ה'!#REF!</definedName>
    <definedName name="NIARTA" localSheetId="5">'[7]שמ"מ מ"ה'!#REF!</definedName>
    <definedName name="NIARTA">'[6]שמ"מ מ"ה'!#REF!</definedName>
    <definedName name="NIATA" localSheetId="6">'[6]שמ"מ מ"ה'!#REF!</definedName>
    <definedName name="NIATA" localSheetId="5">'[7]שמ"מ מ"ה'!#REF!</definedName>
    <definedName name="NIATA">'[6]שמ"מ מ"ה'!#REF!</definedName>
    <definedName name="NIS" localSheetId="5">'[1]טורים 98'!$BQ$1:$CR$333</definedName>
    <definedName name="NIS">'[2]טורים 98'!$BQ$1:$CR$333</definedName>
    <definedName name="NIS_1" localSheetId="6">#REF!</definedName>
    <definedName name="NIS_1" localSheetId="5">#REF!</definedName>
    <definedName name="NIS_1">#REF!</definedName>
    <definedName name="NIS_10" localSheetId="6">#REF!</definedName>
    <definedName name="NIS_10" localSheetId="5">#REF!</definedName>
    <definedName name="NIS_10">#REF!</definedName>
    <definedName name="NIS_2" localSheetId="6">#REF!</definedName>
    <definedName name="NIS_2" localSheetId="5">#REF!</definedName>
    <definedName name="NIS_2">#REF!</definedName>
    <definedName name="NIS_3" localSheetId="6">#REF!</definedName>
    <definedName name="NIS_3" localSheetId="5">#REF!</definedName>
    <definedName name="NIS_3">#REF!</definedName>
    <definedName name="NIS_4" localSheetId="6">#REF!</definedName>
    <definedName name="NIS_4" localSheetId="5">#REF!</definedName>
    <definedName name="NIS_4">#REF!</definedName>
    <definedName name="NIS_5" localSheetId="6">#REF!</definedName>
    <definedName name="NIS_5" localSheetId="5">#REF!</definedName>
    <definedName name="NIS_5">#REF!</definedName>
    <definedName name="NIS_6" localSheetId="6">#REF!</definedName>
    <definedName name="NIS_6" localSheetId="5">#REF!</definedName>
    <definedName name="NIS_6">#REF!</definedName>
    <definedName name="NIS_7" localSheetId="6">#REF!</definedName>
    <definedName name="NIS_7" localSheetId="5">#REF!</definedName>
    <definedName name="NIS_7">#REF!</definedName>
    <definedName name="NIS_8" localSheetId="6">#REF!</definedName>
    <definedName name="NIS_8" localSheetId="5">#REF!</definedName>
    <definedName name="NIS_8">#REF!</definedName>
    <definedName name="NIS_9" localSheetId="6">#REF!</definedName>
    <definedName name="NIS_9" localSheetId="5">#REF!</definedName>
    <definedName name="NIS_9">#REF!</definedName>
    <definedName name="noidea" localSheetId="6" hidden="1">{#N/A,#N/A,FALSE,"Calc";#N/A,#N/A,FALSE,"Sensitivity";#N/A,#N/A,FALSE,"LT Earn.Dil.";#N/A,#N/A,FALSE,"Dil. AVP"}</definedName>
    <definedName name="noidea" localSheetId="5" hidden="1">{#N/A,#N/A,FALSE,"Calc";#N/A,#N/A,FALSE,"Sensitivity";#N/A,#N/A,FALSE,"LT Earn.Dil.";#N/A,#N/A,FALSE,"Dil. AVP"}</definedName>
    <definedName name="noidea" hidden="1">{#N/A,#N/A,FALSE,"Calc";#N/A,#N/A,FALSE,"Sensitivity";#N/A,#N/A,FALSE,"LT Earn.Dil.";#N/A,#N/A,FALSE,"Dil. AVP"}</definedName>
    <definedName name="o" localSheetId="6"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 localSheetId="5"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D" localSheetId="6">#REF!</definedName>
    <definedName name="OD" localSheetId="5">#REF!</definedName>
    <definedName name="OD">#REF!</definedName>
    <definedName name="ok" localSheetId="6">#REF!</definedName>
    <definedName name="ok">#REF!</definedName>
    <definedName name="okjfnfn" localSheetId="6" hidden="1">{#N/A,#N/A,FALSE,"מאזן";#N/A,#N/A,FALSE,"רווהפ";#N/A,#N/A,FALSE,"שינויים בהון";#N/A,#N/A,FALSE,"תזרים";#N/A,#N/A,FALSE,"נספח - התאמות";#N/A,#N/A,FALSE,"ני""ע לתזרים";#N/A,#N/A,FALSE,"פירוטים לדוחות"}</definedName>
    <definedName name="okjfnfn" localSheetId="5" hidden="1">{#N/A,#N/A,FALSE,"מאזן";#N/A,#N/A,FALSE,"רווהפ";#N/A,#N/A,FALSE,"שינויים בהון";#N/A,#N/A,FALSE,"תזרים";#N/A,#N/A,FALSE,"נספח - התאמות";#N/A,#N/A,FALSE,"ני""ע לתזרים";#N/A,#N/A,FALSE,"פירוטים לדוחות"}</definedName>
    <definedName name="okjfnfn" hidden="1">{#N/A,#N/A,FALSE,"מאזן";#N/A,#N/A,FALSE,"רווהפ";#N/A,#N/A,FALSE,"שינויים בהון";#N/A,#N/A,FALSE,"תזרים";#N/A,#N/A,FALSE,"נספח - התאמות";#N/A,#N/A,FALSE,"ני""ע לתזרים";#N/A,#N/A,FALSE,"פירוטים לדוחות"}</definedName>
    <definedName name="okn" localSheetId="6" hidden="1">{#N/A,#N/A,FALSE,"מאזן";#N/A,#N/A,FALSE,"רווהפ";#N/A,#N/A,FALSE,"שינויים בהון";#N/A,#N/A,FALSE,"תזרים";#N/A,#N/A,FALSE,"נספח - התאמות";#N/A,#N/A,FALSE,"ני""ע לתזרים";#N/A,#N/A,FALSE,"פירוטים לדוחות"}</definedName>
    <definedName name="okn" localSheetId="5" hidden="1">{#N/A,#N/A,FALSE,"מאזן";#N/A,#N/A,FALSE,"רווהפ";#N/A,#N/A,FALSE,"שינויים בהון";#N/A,#N/A,FALSE,"תזרים";#N/A,#N/A,FALSE,"נספח - התאמות";#N/A,#N/A,FALSE,"ני""ע לתזרים";#N/A,#N/A,FALSE,"פירוטים לדוחות"}</definedName>
    <definedName name="okn" hidden="1">{#N/A,#N/A,FALSE,"מאזן";#N/A,#N/A,FALSE,"רווהפ";#N/A,#N/A,FALSE,"שינויים בהון";#N/A,#N/A,FALSE,"תזרים";#N/A,#N/A,FALSE,"נספח - התאמות";#N/A,#N/A,FALSE,"ני""ע לתזרים";#N/A,#N/A,FALSE,"פירוטים לדוחות"}</definedName>
    <definedName name="old" localSheetId="6"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ld" localSheetId="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l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MG" localSheetId="6">#REF!</definedName>
    <definedName name="OMG" localSheetId="5">#REF!</definedName>
    <definedName name="OMG">#REF!</definedName>
    <definedName name="oo" localSheetId="6" hidden="1">{#N/A,#N/A,TRUE,"Cover sheet";#N/A,#N/A,TRUE,"Summary";#N/A,#N/A,TRUE,"Key Assumptions";#N/A,#N/A,TRUE,"Profit &amp; Loss";#N/A,#N/A,TRUE,"Balance Sheet";#N/A,#N/A,TRUE,"Cashflow";#N/A,#N/A,TRUE,"IRR";#N/A,#N/A,TRUE,"Ratios";#N/A,#N/A,TRUE,"Debt analysis"}</definedName>
    <definedName name="oo" localSheetId="5" hidden="1">{#N/A,#N/A,TRUE,"Cover sheet";#N/A,#N/A,TRUE,"Summary";#N/A,#N/A,TRUE,"Key Assumptions";#N/A,#N/A,TRUE,"Profit &amp; Loss";#N/A,#N/A,TRUE,"Balance Sheet";#N/A,#N/A,TRUE,"Cashflow";#N/A,#N/A,TRUE,"IRR";#N/A,#N/A,TRUE,"Ratios";#N/A,#N/A,TRUE,"Debt analysis"}</definedName>
    <definedName name="oo" hidden="1">{#N/A,#N/A,TRUE,"Cover sheet";#N/A,#N/A,TRUE,"Summary";#N/A,#N/A,TRUE,"Key Assumptions";#N/A,#N/A,TRUE,"Profit &amp; Loss";#N/A,#N/A,TRUE,"Balance Sheet";#N/A,#N/A,TRUE,"Cashflow";#N/A,#N/A,TRUE,"IRR";#N/A,#N/A,TRUE,"Ratios";#N/A,#N/A,TRUE,"Debt analysis"}</definedName>
    <definedName name="oooo" localSheetId="6" hidden="1">{#N/A,#N/A,TRUE,"Cover sheet";#N/A,#N/A,TRUE,"Summary";#N/A,#N/A,TRUE,"Key Assumptions";#N/A,#N/A,TRUE,"Profit &amp; Loss";#N/A,#N/A,TRUE,"Balance Sheet";#N/A,#N/A,TRUE,"Cashflow";#N/A,#N/A,TRUE,"IRR";#N/A,#N/A,TRUE,"Ratios";#N/A,#N/A,TRUE,"Debt analysis"}</definedName>
    <definedName name="oooo" localSheetId="5" hidden="1">{#N/A,#N/A,TRUE,"Cover sheet";#N/A,#N/A,TRUE,"Summary";#N/A,#N/A,TRUE,"Key Assumptions";#N/A,#N/A,TRUE,"Profit &amp; Loss";#N/A,#N/A,TRUE,"Balance Sheet";#N/A,#N/A,TRUE,"Cashflow";#N/A,#N/A,TRUE,"IRR";#N/A,#N/A,TRUE,"Ratios";#N/A,#N/A,TRUE,"Debt analysis"}</definedName>
    <definedName name="oooo" hidden="1">{#N/A,#N/A,TRUE,"Cover sheet";#N/A,#N/A,TRUE,"Summary";#N/A,#N/A,TRUE,"Key Assumptions";#N/A,#N/A,TRUE,"Profit &amp; Loss";#N/A,#N/A,TRUE,"Balance Sheet";#N/A,#N/A,TRUE,"Cashflow";#N/A,#N/A,TRUE,"IRR";#N/A,#N/A,TRUE,"Ratios";#N/A,#N/A,TRUE,"Debt analysis"}</definedName>
    <definedName name="oooooooooooo" localSheetId="6" hidden="1">{#N/A,#N/A,TRUE,"Cover sheet";#N/A,#N/A,TRUE,"Summary";#N/A,#N/A,TRUE,"Key Assumptions";#N/A,#N/A,TRUE,"Profit &amp; Loss";#N/A,#N/A,TRUE,"Balance Sheet";#N/A,#N/A,TRUE,"Cashflow";#N/A,#N/A,TRUE,"IRR";#N/A,#N/A,TRUE,"Ratios";#N/A,#N/A,TRUE,"Debt analysis"}</definedName>
    <definedName name="oooooooooooo" localSheetId="5" hidden="1">{#N/A,#N/A,TRUE,"Cover sheet";#N/A,#N/A,TRUE,"Summary";#N/A,#N/A,TRUE,"Key Assumptions";#N/A,#N/A,TRUE,"Profit &amp; Loss";#N/A,#N/A,TRUE,"Balance Sheet";#N/A,#N/A,TRUE,"Cashflow";#N/A,#N/A,TRUE,"IRR";#N/A,#N/A,TRUE,"Ratios";#N/A,#N/A,TRUE,"Debt analysis"}</definedName>
    <definedName name="oooooooooooo" hidden="1">{#N/A,#N/A,TRUE,"Cover sheet";#N/A,#N/A,TRUE,"Summary";#N/A,#N/A,TRUE,"Key Assumptions";#N/A,#N/A,TRUE,"Profit &amp; Loss";#N/A,#N/A,TRUE,"Balance Sheet";#N/A,#N/A,TRUE,"Cashflow";#N/A,#N/A,TRUE,"IRR";#N/A,#N/A,TRUE,"Ratios";#N/A,#N/A,TRUE,"Debt analysis"}</definedName>
    <definedName name="Opex_expense_Type" localSheetId="6">#REF!</definedName>
    <definedName name="Opex_expense_Type">#REF!</definedName>
    <definedName name="p" localSheetId="6" hidden="1">{#N/A,#N/A,FALSE,"מאזן";#N/A,#N/A,FALSE,"רווהפ";#N/A,#N/A,FALSE,"שינויים בהון";#N/A,#N/A,FALSE,"תזרים";#N/A,#N/A,FALSE,"נספח - התאמות";#N/A,#N/A,FALSE,"ני""ע לתזרים";#N/A,#N/A,FALSE,"פירוטים לדוחות"}</definedName>
    <definedName name="p" localSheetId="5" hidden="1">{#N/A,#N/A,FALSE,"מאזן";#N/A,#N/A,FALSE,"רווהפ";#N/A,#N/A,FALSE,"שינויים בהון";#N/A,#N/A,FALSE,"תזרים";#N/A,#N/A,FALSE,"נספח - התאמות";#N/A,#N/A,FALSE,"ני""ע לתזרים";#N/A,#N/A,FALSE,"פירוטים לדוחות"}</definedName>
    <definedName name="p" hidden="1">{#N/A,#N/A,FALSE,"מאזן";#N/A,#N/A,FALSE,"רווהפ";#N/A,#N/A,FALSE,"שינויים בהון";#N/A,#N/A,FALSE,"תזרים";#N/A,#N/A,FALSE,"נספח - התאמות";#N/A,#N/A,FALSE,"ני""ע לתזרים";#N/A,#N/A,FALSE,"פירוטים לדוחות"}</definedName>
    <definedName name="PASMAD" localSheetId="5">'[1]טורים 98'!$FC$152:$GH$245</definedName>
    <definedName name="PASMAD">'[2]טורים 98'!$FC$152:$GH$245</definedName>
    <definedName name="Per_Annum_Rent_First_USD">'[30]UK Inputs'!$G$13</definedName>
    <definedName name="Per_Annum_Rent_Ground_USD">'[30]UK Inputs'!$G$41</definedName>
    <definedName name="pitch" localSheetId="6" hidden="1">{#N/A,#N/A,TRUE,"Cover sheet";#N/A,#N/A,TRUE,"INPUTS";#N/A,#N/A,TRUE,"OUTPUTS";#N/A,#N/A,TRUE,"VALUATION"}</definedName>
    <definedName name="pitch" localSheetId="5" hidden="1">{#N/A,#N/A,TRUE,"Cover sheet";#N/A,#N/A,TRUE,"INPUTS";#N/A,#N/A,TRUE,"OUTPUTS";#N/A,#N/A,TRUE,"VALUATION"}</definedName>
    <definedName name="pitch" hidden="1">{#N/A,#N/A,TRUE,"Cover sheet";#N/A,#N/A,TRUE,"INPUTS";#N/A,#N/A,TRUE,"OUTPUTS";#N/A,#N/A,TRUE,"VALUATION"}</definedName>
    <definedName name="pl" localSheetId="6" hidden="1">{#N/A,#N/A,TRUE,"Cover sheet";#N/A,#N/A,TRUE,"Summary";#N/A,#N/A,TRUE,"Key Assumptions";#N/A,#N/A,TRUE,"Profit &amp; Loss";#N/A,#N/A,TRUE,"Balance Sheet";#N/A,#N/A,TRUE,"Cashflow";#N/A,#N/A,TRUE,"IRR";#N/A,#N/A,TRUE,"Ratios";#N/A,#N/A,TRUE,"Debt analysis"}</definedName>
    <definedName name="pl" localSheetId="5" hidden="1">{#N/A,#N/A,TRUE,"Cover sheet";#N/A,#N/A,TRUE,"Summary";#N/A,#N/A,TRUE,"Key Assumptions";#N/A,#N/A,TRUE,"Profit &amp; Loss";#N/A,#N/A,TRUE,"Balance Sheet";#N/A,#N/A,TRUE,"Cashflow";#N/A,#N/A,TRUE,"IRR";#N/A,#N/A,TRUE,"Ratios";#N/A,#N/A,TRUE,"Debt analysis"}</definedName>
    <definedName name="pl" hidden="1">{#N/A,#N/A,TRUE,"Cover sheet";#N/A,#N/A,TRUE,"Summary";#N/A,#N/A,TRUE,"Key Assumptions";#N/A,#N/A,TRUE,"Profit &amp; Loss";#N/A,#N/A,TRUE,"Balance Sheet";#N/A,#N/A,TRUE,"Cashflow";#N/A,#N/A,TRUE,"IRR";#N/A,#N/A,TRUE,"Ratios";#N/A,#N/A,TRUE,"Debt analysis"}</definedName>
    <definedName name="PL_YTD">'[33]P&amp;L £'!$A$20:$Z$48</definedName>
    <definedName name="PLMAD" localSheetId="5">'[1]טורים 98'!$FC$250:$GH$333</definedName>
    <definedName name="PLMAD">'[2]טורים 98'!$FC$250:$GH$333</definedName>
    <definedName name="PONL" localSheetId="6" hidden="1">{#N/A,#N/A,TRUE,"Cover sheet";#N/A,#N/A,TRUE,"INPUTS";#N/A,#N/A,TRUE,"OUTPUTS";#N/A,#N/A,TRUE,"VALUATION"}</definedName>
    <definedName name="PONL" localSheetId="5" hidden="1">{#N/A,#N/A,TRUE,"Cover sheet";#N/A,#N/A,TRUE,"INPUTS";#N/A,#N/A,TRUE,"OUTPUTS";#N/A,#N/A,TRUE,"VALUATION"}</definedName>
    <definedName name="PONL" hidden="1">{#N/A,#N/A,TRUE,"Cover sheet";#N/A,#N/A,TRUE,"INPUTS";#N/A,#N/A,TRUE,"OUTPUTS";#N/A,#N/A,TRUE,"VALUATION"}</definedName>
    <definedName name="pp" localSheetId="6" hidden="1">{#N/A,#N/A,TRUE,"Cover sheet";#N/A,#N/A,TRUE,"Summary";#N/A,#N/A,TRUE,"Key Assumptions";#N/A,#N/A,TRUE,"Profit &amp; Loss";#N/A,#N/A,TRUE,"Balance Sheet";#N/A,#N/A,TRUE,"Cashflow";#N/A,#N/A,TRUE,"IRR";#N/A,#N/A,TRUE,"Ratios";#N/A,#N/A,TRUE,"Debt analysis"}</definedName>
    <definedName name="pp" localSheetId="5" hidden="1">{#N/A,#N/A,TRUE,"Cover sheet";#N/A,#N/A,TRUE,"Summary";#N/A,#N/A,TRUE,"Key Assumptions";#N/A,#N/A,TRUE,"Profit &amp; Loss";#N/A,#N/A,TRUE,"Balance Sheet";#N/A,#N/A,TRUE,"Cashflow";#N/A,#N/A,TRUE,"IRR";#N/A,#N/A,TRUE,"Ratios";#N/A,#N/A,TRUE,"Debt analysis"}</definedName>
    <definedName name="pp" hidden="1">{#N/A,#N/A,TRUE,"Cover sheet";#N/A,#N/A,TRUE,"Summary";#N/A,#N/A,TRUE,"Key Assumptions";#N/A,#N/A,TRUE,"Profit &amp; Loss";#N/A,#N/A,TRUE,"Balance Sheet";#N/A,#N/A,TRUE,"Cashflow";#N/A,#N/A,TRUE,"IRR";#N/A,#N/A,TRUE,"Ratios";#N/A,#N/A,TRUE,"Debt analysis"}</definedName>
    <definedName name="ppp" localSheetId="6" hidden="1">{"Geographic P1",#N/A,FALSE,"Division &amp; Geog"}</definedName>
    <definedName name="ppp" localSheetId="5" hidden="1">{"Geographic P1",#N/A,FALSE,"Division &amp; Geog"}</definedName>
    <definedName name="ppp" hidden="1">{"Geographic P1",#N/A,FALSE,"Division &amp; Geog"}</definedName>
    <definedName name="pppp" localSheetId="6" hidden="1">{"Five Year Record",#N/A,FALSE,"Front and Back"}</definedName>
    <definedName name="pppp" localSheetId="5" hidden="1">{"Five Year Record",#N/A,FALSE,"Front and Back"}</definedName>
    <definedName name="pppp" hidden="1">{"Five Year Record",#N/A,FALSE,"Front and Back"}</definedName>
    <definedName name="ppppppppppppppppppppppppppppp" localSheetId="6" hidden="1">{"FTSE100","COMPANIES",TRUE}</definedName>
    <definedName name="ppppppppppppppppppppppppppppp" localSheetId="5" hidden="1">{"FTSE100","COMPANIES",TRUE}</definedName>
    <definedName name="ppppppppppppppppppppppppppppp" hidden="1">{"FTSE100","COMPANIES",TRUE}</definedName>
    <definedName name="Pres" localSheetId="6" hidden="1">{#N/A,#N/A,TRUE,"Cover sheet";#N/A,#N/A,TRUE,"Summary";#N/A,#N/A,TRUE,"Key Assumptions";#N/A,#N/A,TRUE,"Profit &amp; Loss";#N/A,#N/A,TRUE,"Balance Sheet";#N/A,#N/A,TRUE,"Cashflow";#N/A,#N/A,TRUE,"IRR";#N/A,#N/A,TRUE,"Ratios";#N/A,#N/A,TRUE,"Debt analysis"}</definedName>
    <definedName name="Pres" localSheetId="5"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ESA" localSheetId="6" hidden="1">{#N/A,#N/A,TRUE,"Cover sheet";#N/A,#N/A,TRUE,"Summary";#N/A,#N/A,TRUE,"Key Assumptions";#N/A,#N/A,TRUE,"Profit &amp; Loss";#N/A,#N/A,TRUE,"Balance Sheet";#N/A,#N/A,TRUE,"Cashflow";#N/A,#N/A,TRUE,"IRR";#N/A,#N/A,TRUE,"Ratios";#N/A,#N/A,TRUE,"Debt analysis"}</definedName>
    <definedName name="PRESA" localSheetId="5" hidden="1">{#N/A,#N/A,TRUE,"Cover sheet";#N/A,#N/A,TRUE,"Summary";#N/A,#N/A,TRUE,"Key Assumptions";#N/A,#N/A,TRUE,"Profit &amp; Loss";#N/A,#N/A,TRUE,"Balance Sheet";#N/A,#N/A,TRUE,"Cashflow";#N/A,#N/A,TRUE,"IRR";#N/A,#N/A,TRUE,"Ratios";#N/A,#N/A,TRUE,"Debt analysis"}</definedName>
    <definedName name="PRESA" hidden="1">{#N/A,#N/A,TRUE,"Cover sheet";#N/A,#N/A,TRUE,"Summary";#N/A,#N/A,TRUE,"Key Assumptions";#N/A,#N/A,TRUE,"Profit &amp; Loss";#N/A,#N/A,TRUE,"Balance Sheet";#N/A,#N/A,TRUE,"Cashflow";#N/A,#N/A,TRUE,"IRR";#N/A,#N/A,TRUE,"Ratios";#N/A,#N/A,TRUE,"Debt analysis"}</definedName>
    <definedName name="Present" localSheetId="6" hidden="1">{#N/A,#N/A,TRUE,"Cover sheet";#N/A,#N/A,TRUE,"Summary";#N/A,#N/A,TRUE,"Key Assumptions";#N/A,#N/A,TRUE,"Profit &amp; Loss";#N/A,#N/A,TRUE,"Balance Sheet";#N/A,#N/A,TRUE,"Cashflow";#N/A,#N/A,TRUE,"IRR";#N/A,#N/A,TRUE,"Ratios";#N/A,#N/A,TRUE,"Debt analysis"}</definedName>
    <definedName name="Present" localSheetId="5" hidden="1">{#N/A,#N/A,TRUE,"Cover sheet";#N/A,#N/A,TRUE,"Summary";#N/A,#N/A,TRUE,"Key Assumptions";#N/A,#N/A,TRUE,"Profit &amp; Loss";#N/A,#N/A,TRUE,"Balance Sheet";#N/A,#N/A,TRUE,"Cashflow";#N/A,#N/A,TRUE,"IRR";#N/A,#N/A,TRUE,"Ratios";#N/A,#N/A,TRUE,"Debt analysis"}</definedName>
    <definedName name="Present" hidden="1">{#N/A,#N/A,TRUE,"Cover sheet";#N/A,#N/A,TRUE,"Summary";#N/A,#N/A,TRUE,"Key Assumptions";#N/A,#N/A,TRUE,"Profit &amp; Loss";#N/A,#N/A,TRUE,"Balance Sheet";#N/A,#N/A,TRUE,"Cashflow";#N/A,#N/A,TRUE,"IRR";#N/A,#N/A,TRUE,"Ratios";#N/A,#N/A,TRUE,"Debt analysis"}</definedName>
    <definedName name="PreviousBalance" localSheetId="6">#REF!</definedName>
    <definedName name="PreviousBalance">#REF!</definedName>
    <definedName name="Print_Area_MI" localSheetId="6">#REF!</definedName>
    <definedName name="Print_Area_MI" localSheetId="5">#REF!</definedName>
    <definedName name="Print_Area_MI">#REF!</definedName>
    <definedName name="Print_CSC_Report_2" localSheetId="6" hidden="1">{"CSC_1",#N/A,FALSE,"CSC Outputs";"CSC_2",#N/A,FALSE,"CSC Outputs"}</definedName>
    <definedName name="Print_CSC_Report_2" localSheetId="5" hidden="1">{"CSC_1",#N/A,FALSE,"CSC Outputs";"CSC_2",#N/A,FALSE,"CSC Outputs"}</definedName>
    <definedName name="Print_CSC_Report_2" hidden="1">{"CSC_1",#N/A,FALSE,"CSC Outputs";"CSC_2",#N/A,FALSE,"CSC Outputs"}</definedName>
    <definedName name="Print_CSC_Report_3" localSheetId="6" hidden="1">{"CSC_1",#N/A,FALSE,"CSC Outputs";"CSC_2",#N/A,FALSE,"CSC Outputs"}</definedName>
    <definedName name="Print_CSC_Report_3" localSheetId="5" hidden="1">{"CSC_1",#N/A,FALSE,"CSC Outputs";"CSC_2",#N/A,FALSE,"CSC Outputs"}</definedName>
    <definedName name="Print_CSC_Report_3" hidden="1">{"CSC_1",#N/A,FALSE,"CSC Outputs";"CSC_2",#N/A,FALSE,"CSC Outputs"}</definedName>
    <definedName name="PRN" localSheetId="6">#REF!</definedName>
    <definedName name="PRN" localSheetId="5">#REF!</definedName>
    <definedName name="PRN">#REF!</definedName>
    <definedName name="PRND" localSheetId="6">#REF!</definedName>
    <definedName name="PRND" localSheetId="5">#REF!</definedName>
    <definedName name="PRND">#REF!</definedName>
    <definedName name="ptich" localSheetId="6" hidden="1">{#N/A,#N/A,TRUE,"Cover sheet";#N/A,#N/A,TRUE,"INPUTS";#N/A,#N/A,TRUE,"OUTPUTS";#N/A,#N/A,TRUE,"VALUATION"}</definedName>
    <definedName name="ptich" localSheetId="5" hidden="1">{#N/A,#N/A,TRUE,"Cover sheet";#N/A,#N/A,TRUE,"INPUTS";#N/A,#N/A,TRUE,"OUTPUTS";#N/A,#N/A,TRUE,"VALUATION"}</definedName>
    <definedName name="ptich" hidden="1">{#N/A,#N/A,TRUE,"Cover sheet";#N/A,#N/A,TRUE,"INPUTS";#N/A,#N/A,TRUE,"OUTPUTS";#N/A,#N/A,TRUE,"VALUATION"}</definedName>
    <definedName name="q" localSheetId="6" hidden="1">{#N/A,#N/A,FALSE,"מאזן";#N/A,#N/A,FALSE,"רווהפ";#N/A,#N/A,FALSE,"שינויים בהון";#N/A,#N/A,FALSE,"תזרים";#N/A,#N/A,FALSE,"נספח - התאמות";#N/A,#N/A,FALSE,"ני""ע לתזרים";#N/A,#N/A,FALSE,"פירוטים לדוחות"}</definedName>
    <definedName name="q" localSheetId="5" hidden="1">{#N/A,#N/A,FALSE,"מאזן";#N/A,#N/A,FALSE,"רווהפ";#N/A,#N/A,FALSE,"שינויים בהון";#N/A,#N/A,FALSE,"תזרים";#N/A,#N/A,FALSE,"נספח - התאמות";#N/A,#N/A,FALSE,"ני""ע לתזרים";#N/A,#N/A,FALSE,"פירוטים לדוחות"}</definedName>
    <definedName name="q" hidden="1">{#N/A,#N/A,FALSE,"מאזן";#N/A,#N/A,FALSE,"רווהפ";#N/A,#N/A,FALSE,"שינויים בהון";#N/A,#N/A,FALSE,"תזרים";#N/A,#N/A,FALSE,"נספח - התאמות";#N/A,#N/A,FALSE,"ני""ע לתזרים";#N/A,#N/A,FALSE,"פירוטים לדוחות"}</definedName>
    <definedName name="qasbgf" localSheetId="6" hidden="1">{#N/A,#N/A,FALSE,"מאזן";#N/A,#N/A,FALSE,"רווהפ";#N/A,#N/A,FALSE,"שינויים בהון";#N/A,#N/A,FALSE,"תזרים";#N/A,#N/A,FALSE,"נספח - התאמות";#N/A,#N/A,FALSE,"ני""ע לתזרים";#N/A,#N/A,FALSE,"פירוטים לדוחות"}</definedName>
    <definedName name="qasbgf" localSheetId="5" hidden="1">{#N/A,#N/A,FALSE,"מאזן";#N/A,#N/A,FALSE,"רווהפ";#N/A,#N/A,FALSE,"שינויים בהון";#N/A,#N/A,FALSE,"תזרים";#N/A,#N/A,FALSE,"נספח - התאמות";#N/A,#N/A,FALSE,"ני""ע לתזרים";#N/A,#N/A,FALSE,"פירוטים לדוחות"}</definedName>
    <definedName name="qasbgf" hidden="1">{#N/A,#N/A,FALSE,"מאזן";#N/A,#N/A,FALSE,"רווהפ";#N/A,#N/A,FALSE,"שינויים בהון";#N/A,#N/A,FALSE,"תזרים";#N/A,#N/A,FALSE,"נספח - התאמות";#N/A,#N/A,FALSE,"ני""ע לתזרים";#N/A,#N/A,FALSE,"פירוטים לדוחות"}</definedName>
    <definedName name="qdewffhh" localSheetId="6" hidden="1">{#N/A,#N/A,FALSE,"מאזן";#N/A,#N/A,FALSE,"רווהפ";#N/A,#N/A,FALSE,"שינויים בהון";#N/A,#N/A,FALSE,"תזרים";#N/A,#N/A,FALSE,"נספח - התאמות";#N/A,#N/A,FALSE,"ני""ע לתזרים";#N/A,#N/A,FALSE,"פירוטים לדוחות"}</definedName>
    <definedName name="qdewffhh" localSheetId="5" hidden="1">{#N/A,#N/A,FALSE,"מאזן";#N/A,#N/A,FALSE,"רווהפ";#N/A,#N/A,FALSE,"שינויים בהון";#N/A,#N/A,FALSE,"תזרים";#N/A,#N/A,FALSE,"נספח - התאמות";#N/A,#N/A,FALSE,"ני""ע לתזרים";#N/A,#N/A,FALSE,"פירוטים לדוחות"}</definedName>
    <definedName name="qdewffhh" hidden="1">{#N/A,#N/A,FALSE,"מאזן";#N/A,#N/A,FALSE,"רווהפ";#N/A,#N/A,FALSE,"שינויים בהון";#N/A,#N/A,FALSE,"תזרים";#N/A,#N/A,FALSE,"נספח - התאמות";#N/A,#N/A,FALSE,"ני""ע לתזרים";#N/A,#N/A,FALSE,"פירוטים לדוחות"}</definedName>
    <definedName name="qlk" localSheetId="6" hidden="1">{#N/A,#N/A,FALSE,"מאזן";#N/A,#N/A,FALSE,"רווהפ";#N/A,#N/A,FALSE,"שינויים בהון";#N/A,#N/A,FALSE,"תזרים";#N/A,#N/A,FALSE,"נספח - התאמות";#N/A,#N/A,FALSE,"ני""ע לתזרים";#N/A,#N/A,FALSE,"פירוטים לדוחות"}</definedName>
    <definedName name="qlk" localSheetId="5" hidden="1">{#N/A,#N/A,FALSE,"מאזן";#N/A,#N/A,FALSE,"רווהפ";#N/A,#N/A,FALSE,"שינויים בהון";#N/A,#N/A,FALSE,"תזרים";#N/A,#N/A,FALSE,"נספח - התאמות";#N/A,#N/A,FALSE,"ני""ע לתזרים";#N/A,#N/A,FALSE,"פירוטים לדוחות"}</definedName>
    <definedName name="qlk" hidden="1">{#N/A,#N/A,FALSE,"מאזן";#N/A,#N/A,FALSE,"רווהפ";#N/A,#N/A,FALSE,"שינויים בהון";#N/A,#N/A,FALSE,"תזרים";#N/A,#N/A,FALSE,"נספח - התאמות";#N/A,#N/A,FALSE,"ני""ע לתזרים";#N/A,#N/A,FALSE,"פירוטים לדוחות"}</definedName>
    <definedName name="qlqlql" localSheetId="6" hidden="1">{#N/A,#N/A,FALSE,"מאזן";#N/A,#N/A,FALSE,"רווהפ";#N/A,#N/A,FALSE,"שינויים בהון";#N/A,#N/A,FALSE,"תזרים";#N/A,#N/A,FALSE,"נספח - התאמות";#N/A,#N/A,FALSE,"ני""ע לתזרים";#N/A,#N/A,FALSE,"פירוטים לדוחות"}</definedName>
    <definedName name="qlqlql" localSheetId="5" hidden="1">{#N/A,#N/A,FALSE,"מאזן";#N/A,#N/A,FALSE,"רווהפ";#N/A,#N/A,FALSE,"שינויים בהון";#N/A,#N/A,FALSE,"תזרים";#N/A,#N/A,FALSE,"נספח - התאמות";#N/A,#N/A,FALSE,"ני""ע לתזרים";#N/A,#N/A,FALSE,"פירוטים לדוחות"}</definedName>
    <definedName name="qlqlql" hidden="1">{#N/A,#N/A,FALSE,"מאזן";#N/A,#N/A,FALSE,"רווהפ";#N/A,#N/A,FALSE,"שינויים בהון";#N/A,#N/A,FALSE,"תזרים";#N/A,#N/A,FALSE,"נספח - התאמות";#N/A,#N/A,FALSE,"ני""ע לתזרים";#N/A,#N/A,FALSE,"פירוטים לדוחות"}</definedName>
    <definedName name="qq" localSheetId="6" hidden="1">{#N/A,#N/A,FALSE,"מאזן";#N/A,#N/A,FALSE,"רווהפ";#N/A,#N/A,FALSE,"שינויים בהון";#N/A,#N/A,FALSE,"תזרים";#N/A,#N/A,FALSE,"נספח - התאמות";#N/A,#N/A,FALSE,"ני""ע לתזרים";#N/A,#N/A,FALSE,"פירוטים לדוחות"}</definedName>
    <definedName name="qq" localSheetId="5" hidden="1">{#N/A,#N/A,FALSE,"מאזן";#N/A,#N/A,FALSE,"רווהפ";#N/A,#N/A,FALSE,"שינויים בהון";#N/A,#N/A,FALSE,"תזרים";#N/A,#N/A,FALSE,"נספח - התאמות";#N/A,#N/A,FALSE,"ני""ע לתזרים";#N/A,#N/A,FALSE,"פירוטים לדוחות"}</definedName>
    <definedName name="qq" hidden="1">{#N/A,#N/A,FALSE,"מאזן";#N/A,#N/A,FALSE,"רווהפ";#N/A,#N/A,FALSE,"שינויים בהון";#N/A,#N/A,FALSE,"תזרים";#N/A,#N/A,FALSE,"נספח - התאמות";#N/A,#N/A,FALSE,"ני""ע לתזרים";#N/A,#N/A,FALSE,"פירוטים לדוחות"}</definedName>
    <definedName name="qqqq" localSheetId="6" hidden="1">{#N/A,#N/A,FALSE,"מאזן";#N/A,#N/A,FALSE,"רווהפ";#N/A,#N/A,FALSE,"שינויים בהון";#N/A,#N/A,FALSE,"תזרים";#N/A,#N/A,FALSE,"נספח - התאמות";#N/A,#N/A,FALSE,"ני""ע לתזרים";#N/A,#N/A,FALSE,"פירוטים לדוחות"}</definedName>
    <definedName name="qqqq" localSheetId="5" hidden="1">{#N/A,#N/A,FALSE,"מאזן";#N/A,#N/A,FALSE,"רווהפ";#N/A,#N/A,FALSE,"שינויים בהון";#N/A,#N/A,FALSE,"תזרים";#N/A,#N/A,FALSE,"נספח - התאמות";#N/A,#N/A,FALSE,"ני""ע לתזרים";#N/A,#N/A,FALSE,"פירוטים לדוחות"}</definedName>
    <definedName name="qqqq" hidden="1">{#N/A,#N/A,FALSE,"מאזן";#N/A,#N/A,FALSE,"רווהפ";#N/A,#N/A,FALSE,"שינויים בהון";#N/A,#N/A,FALSE,"תזרים";#N/A,#N/A,FALSE,"נספח - התאמות";#N/A,#N/A,FALSE,"ני""ע לתזרים";#N/A,#N/A,FALSE,"פירוטים לדוחות"}</definedName>
    <definedName name="qqqqqqqqqqqqqqqqqqqqqqq" localSheetId="6" hidden="1">{"Five Year Record",#N/A,FALSE,"Front and Back"}</definedName>
    <definedName name="qqqqqqqqqqqqqqqqqqqqqqq" localSheetId="5" hidden="1">{"Five Year Record",#N/A,FALSE,"Front and Back"}</definedName>
    <definedName name="qqqqqqqqqqqqqqqqqqqqqqq" hidden="1">{"Five Year Record",#N/A,FALSE,"Front and Back"}</definedName>
    <definedName name="qqqqqqqqqqqqqqqqqqqqqqqqqqq" localSheetId="6" hidden="1">{"Front Page",#N/A,FALSE,"Front and Back"}</definedName>
    <definedName name="qqqqqqqqqqqqqqqqqqqqqqqqqqq" localSheetId="5" hidden="1">{"Front Page",#N/A,FALSE,"Front and Back"}</definedName>
    <definedName name="qqqqqqqqqqqqqqqqqqqqqqqqqqq" hidden="1">{"Front Page",#N/A,FALSE,"Front and Back"}</definedName>
    <definedName name="qqqqqqqqqqqqqqqqqqqqqqqqqqqqqqqqq" localSheetId="6" hidden="1">{"Five Year Record",#N/A,FALSE,"Front and Back"}</definedName>
    <definedName name="qqqqqqqqqqqqqqqqqqqqqqqqqqqqqqqqq" localSheetId="5" hidden="1">{"Five Year Record",#N/A,FALSE,"Front and Back"}</definedName>
    <definedName name="qqqqqqqqqqqqqqqqqqqqqqqqqqqqqqqqq" hidden="1">{"Five Year Record",#N/A,FALSE,"Front and Back"}</definedName>
    <definedName name="qqqqqqqqqqqqqqqqqqqqqqqqqqqqqqqqqqq" localSheetId="6" hidden="1">{"Geographic P1",#N/A,FALSE,"Division &amp; Geog"}</definedName>
    <definedName name="qqqqqqqqqqqqqqqqqqqqqqqqqqqqqqqqqqq" localSheetId="5" hidden="1">{"Geographic P1",#N/A,FALSE,"Division &amp; Geog"}</definedName>
    <definedName name="qqqqqqqqqqqqqqqqqqqqqqqqqqqqqqqqqqq" hidden="1">{"Geographic P1",#N/A,FALSE,"Division &amp; Geog"}</definedName>
    <definedName name="qqqqqqqqqqqqqqqqqqqqqqqqqqqqqqqqqqqq" localSheetId="6" hidden="1">{"PAGE1",#N/A,FALSE,"Consolidation";"PAGE2",#N/A,FALSE,"Consolidation";"PAGE3",#N/A,FALSE,"Consolidation";"PAGE4",#N/A,FALSE,"Consolidation";"PAGE5",#N/A,FALSE,"Consolidation";"PAGE6",#N/A,FALSE,"Consolidation";"PAGE7",#N/A,FALSE,"Consolidation"}</definedName>
    <definedName name="qqqqqqqqqqqqqqqqqqqqqqqqqqqqqqqqqqqq" localSheetId="5" hidden="1">{"PAGE1",#N/A,FALSE,"Consolidation";"PAGE2",#N/A,FALSE,"Consolidation";"PAGE3",#N/A,FALSE,"Consolidation";"PAGE4",#N/A,FALSE,"Consolidation";"PAGE5",#N/A,FALSE,"Consolidation";"PAGE6",#N/A,FALSE,"Consolidation";"PAGE7",#N/A,FALSE,"Consolidation"}</definedName>
    <definedName name="qqqqqqqqqqqqqqqqqqqqqqqqqqqqqqqqqqqq" hidden="1">{"PAGE1",#N/A,FALSE,"Consolidation";"PAGE2",#N/A,FALSE,"Consolidation";"PAGE3",#N/A,FALSE,"Consolidation";"PAGE4",#N/A,FALSE,"Consolidation";"PAGE5",#N/A,FALSE,"Consolidation";"PAGE6",#N/A,FALSE,"Consolidation";"PAGE7",#N/A,FALSE,"Consolidation"}</definedName>
    <definedName name="qqqsdsvgbfggj" localSheetId="6" hidden="1">{#N/A,#N/A,FALSE,"מאזן";#N/A,#N/A,FALSE,"רווהפ";#N/A,#N/A,FALSE,"שינויים בהון";#N/A,#N/A,FALSE,"תזרים";#N/A,#N/A,FALSE,"נספח - התאמות";#N/A,#N/A,FALSE,"ני""ע לתזרים";#N/A,#N/A,FALSE,"פירוטים לדוחות"}</definedName>
    <definedName name="qqqsdsvgbfggj" localSheetId="5" hidden="1">{#N/A,#N/A,FALSE,"מאזן";#N/A,#N/A,FALSE,"רווהפ";#N/A,#N/A,FALSE,"שינויים בהון";#N/A,#N/A,FALSE,"תזרים";#N/A,#N/A,FALSE,"נספח - התאמות";#N/A,#N/A,FALSE,"ני""ע לתזרים";#N/A,#N/A,FALSE,"פירוטים לדוחות"}</definedName>
    <definedName name="qqqsdsvgbfggj" hidden="1">{#N/A,#N/A,FALSE,"מאזן";#N/A,#N/A,FALSE,"רווהפ";#N/A,#N/A,FALSE,"שינויים בהון";#N/A,#N/A,FALSE,"תזרים";#N/A,#N/A,FALSE,"נספח - התאמות";#N/A,#N/A,FALSE,"ני""ע לתזרים";#N/A,#N/A,FALSE,"פירוטים לדוחות"}</definedName>
    <definedName name="qsdf" localSheetId="6" hidden="1">{#N/A,#N/A,FALSE,"מאזן";#N/A,#N/A,FALSE,"רווהפ";#N/A,#N/A,FALSE,"שינויים בהון";#N/A,#N/A,FALSE,"תזרים";#N/A,#N/A,FALSE,"נספח - התאמות";#N/A,#N/A,FALSE,"ני""ע לתזרים";#N/A,#N/A,FALSE,"פירוטים לדוחות"}</definedName>
    <definedName name="qsdf" localSheetId="5" hidden="1">{#N/A,#N/A,FALSE,"מאזן";#N/A,#N/A,FALSE,"רווהפ";#N/A,#N/A,FALSE,"שינויים בהון";#N/A,#N/A,FALSE,"תזרים";#N/A,#N/A,FALSE,"נספח - התאמות";#N/A,#N/A,FALSE,"ני""ע לתזרים";#N/A,#N/A,FALSE,"פירוטים לדוחות"}</definedName>
    <definedName name="qsdf" hidden="1">{#N/A,#N/A,FALSE,"מאזן";#N/A,#N/A,FALSE,"רווהפ";#N/A,#N/A,FALSE,"שינויים בהון";#N/A,#N/A,FALSE,"תזרים";#N/A,#N/A,FALSE,"נספח - התאמות";#N/A,#N/A,FALSE,"ני""ע לתזרים";#N/A,#N/A,FALSE,"פירוטים לדוחות"}</definedName>
    <definedName name="qwer" localSheetId="6" hidden="1">{#N/A,#N/A,FALSE,"מאזן";#N/A,#N/A,FALSE,"רווהפ";#N/A,#N/A,FALSE,"שינויים בהון";#N/A,#N/A,FALSE,"תזרים";#N/A,#N/A,FALSE,"נספח - התאמות";#N/A,#N/A,FALSE,"ני""ע לתזרים";#N/A,#N/A,FALSE,"פירוטים לדוחות"}</definedName>
    <definedName name="qwer" localSheetId="5" hidden="1">{#N/A,#N/A,FALSE,"מאזן";#N/A,#N/A,FALSE,"רווהפ";#N/A,#N/A,FALSE,"שינויים בהון";#N/A,#N/A,FALSE,"תזרים";#N/A,#N/A,FALSE,"נספח - התאמות";#N/A,#N/A,FALSE,"ני""ע לתזרים";#N/A,#N/A,FALSE,"פירוטים לדוחות"}</definedName>
    <definedName name="qwer" hidden="1">{#N/A,#N/A,FALSE,"מאזן";#N/A,#N/A,FALSE,"רווהפ";#N/A,#N/A,FALSE,"שינויים בהון";#N/A,#N/A,FALSE,"תזרים";#N/A,#N/A,FALSE,"נספח - התאמות";#N/A,#N/A,FALSE,"ני""ע לתזרים";#N/A,#N/A,FALSE,"פירוטים לדוחות"}</definedName>
    <definedName name="qwerf" localSheetId="6" hidden="1">{#N/A,#N/A,FALSE,"מאזן";#N/A,#N/A,FALSE,"רווהפ";#N/A,#N/A,FALSE,"שינויים בהון";#N/A,#N/A,FALSE,"תזרים";#N/A,#N/A,FALSE,"נספח - התאמות";#N/A,#N/A,FALSE,"ני""ע לתזרים";#N/A,#N/A,FALSE,"פירוטים לדוחות"}</definedName>
    <definedName name="qwerf" localSheetId="5" hidden="1">{#N/A,#N/A,FALSE,"מאזן";#N/A,#N/A,FALSE,"רווהפ";#N/A,#N/A,FALSE,"שינויים בהון";#N/A,#N/A,FALSE,"תזרים";#N/A,#N/A,FALSE,"נספח - התאמות";#N/A,#N/A,FALSE,"ני""ע לתזרים";#N/A,#N/A,FALSE,"פירוטים לדוחות"}</definedName>
    <definedName name="qwerf" hidden="1">{#N/A,#N/A,FALSE,"מאזן";#N/A,#N/A,FALSE,"רווהפ";#N/A,#N/A,FALSE,"שינויים בהון";#N/A,#N/A,FALSE,"תזרים";#N/A,#N/A,FALSE,"נספח - התאמות";#N/A,#N/A,FALSE,"ני""ע לתזרים";#N/A,#N/A,FALSE,"פירוטים לדוחות"}</definedName>
    <definedName name="qxgf" localSheetId="6" hidden="1">{#N/A,#N/A,FALSE,"מאזן";#N/A,#N/A,FALSE,"רווהפ";#N/A,#N/A,FALSE,"שינויים בהון";#N/A,#N/A,FALSE,"תזרים";#N/A,#N/A,FALSE,"נספח - התאמות";#N/A,#N/A,FALSE,"ני""ע לתזרים";#N/A,#N/A,FALSE,"פירוטים לדוחות"}</definedName>
    <definedName name="qxgf" localSheetId="5" hidden="1">{#N/A,#N/A,FALSE,"מאזן";#N/A,#N/A,FALSE,"רווהפ";#N/A,#N/A,FALSE,"שינויים בהון";#N/A,#N/A,FALSE,"תזרים";#N/A,#N/A,FALSE,"נספח - התאמות";#N/A,#N/A,FALSE,"ני""ע לתזרים";#N/A,#N/A,FALSE,"פירוטים לדוחות"}</definedName>
    <definedName name="qxgf" hidden="1">{#N/A,#N/A,FALSE,"מאזן";#N/A,#N/A,FALSE,"רווהפ";#N/A,#N/A,FALSE,"שינויים בהון";#N/A,#N/A,FALSE,"תזרים";#N/A,#N/A,FALSE,"נספח - התאמות";#N/A,#N/A,FALSE,"ני""ע לתזרים";#N/A,#N/A,FALSE,"פירוטים לדוחות"}</definedName>
    <definedName name="R_D_Department">#REF!</definedName>
    <definedName name="rate" localSheetId="5">#REF!</definedName>
    <definedName name="rate">#REF!</definedName>
    <definedName name="refg" localSheetId="6" hidden="1">{#N/A,#N/A,TRUE,"Cover sheet";#N/A,#N/A,TRUE,"INPUTS";#N/A,#N/A,TRUE,"OUTPUTS";#N/A,#N/A,TRUE,"VALUATION"}</definedName>
    <definedName name="refg" localSheetId="5" hidden="1">{#N/A,#N/A,TRUE,"Cover sheet";#N/A,#N/A,TRUE,"INPUTS";#N/A,#N/A,TRUE,"OUTPUTS";#N/A,#N/A,TRUE,"VALUATION"}</definedName>
    <definedName name="refg" hidden="1">{#N/A,#N/A,TRUE,"Cover sheet";#N/A,#N/A,TRUE,"INPUTS";#N/A,#N/A,TRUE,"OUTPUTS";#N/A,#N/A,TRUE,"VALUATION"}</definedName>
    <definedName name="rename_of_wrn.CSC" localSheetId="6" hidden="1">{"page1",#N/A,TRUE,"CSC";"page2",#N/A,TRUE,"CSC"}</definedName>
    <definedName name="rename_of_wrn.CSC" localSheetId="5" hidden="1">{"page1",#N/A,TRUE,"CSC";"page2",#N/A,TRUE,"CSC"}</definedName>
    <definedName name="rename_of_wrn.CSC" hidden="1">{"page1",#N/A,TRUE,"CSC";"page2",#N/A,TRUE,"CSC"}</definedName>
    <definedName name="Rent_Start_Date_First">'[30]UK Inputs'!$E$35</definedName>
    <definedName name="Rent_Start_Date_Ground">'[30]UK Inputs'!$E$63</definedName>
    <definedName name="report" localSheetId="6" hidden="1">{#N/A,#N/A,FALSE,"inc state";#N/A,#N/A,FALSE,"Products";#N/A,#N/A,FALSE,"bal sht"}</definedName>
    <definedName name="report" localSheetId="5" hidden="1">{#N/A,#N/A,FALSE,"inc state";#N/A,#N/A,FALSE,"Products";#N/A,#N/A,FALSE,"bal sht"}</definedName>
    <definedName name="report" hidden="1">{#N/A,#N/A,FALSE,"inc state";#N/A,#N/A,FALSE,"Products";#N/A,#N/A,FALSE,"bal sht"}</definedName>
    <definedName name="rererer" localSheetId="6" hidden="1">{#N/A,#N/A,FALSE,"Full";#N/A,#N/A,FALSE,"Half";#N/A,#N/A,FALSE,"Op Expenses";#N/A,#N/A,FALSE,"Cap Charge";#N/A,#N/A,FALSE,"Cost C";#N/A,#N/A,FALSE,"PP&amp;E";#N/A,#N/A,FALSE,"R&amp;D"}</definedName>
    <definedName name="rererer" localSheetId="5" hidden="1">{#N/A,#N/A,FALSE,"Full";#N/A,#N/A,FALSE,"Half";#N/A,#N/A,FALSE,"Op Expenses";#N/A,#N/A,FALSE,"Cap Charge";#N/A,#N/A,FALSE,"Cost C";#N/A,#N/A,FALSE,"PP&amp;E";#N/A,#N/A,FALSE,"R&amp;D"}</definedName>
    <definedName name="rererer" hidden="1">{#N/A,#N/A,FALSE,"Full";#N/A,#N/A,FALSE,"Half";#N/A,#N/A,FALSE,"Op Expenses";#N/A,#N/A,FALSE,"Cap Charge";#N/A,#N/A,FALSE,"Cost C";#N/A,#N/A,FALSE,"PP&amp;E";#N/A,#N/A,FALSE,"R&amp;D"}</definedName>
    <definedName name="RIVIN_ALIS" localSheetId="5">'[1]טורים 98'!$AL$423:$BG$509</definedName>
    <definedName name="RIVIN_ALIS">'[2]טורים 98'!$AL$423:$BG$509</definedName>
    <definedName name="RIVON_BANOT" localSheetId="5">'[1]טורים 98'!$A$338:$AP$421</definedName>
    <definedName name="RIVON_BANOT">'[2]טורים 98'!$A$338:$AP$421</definedName>
    <definedName name="RIVON_MEUCHAD" localSheetId="5">'[1]טורים 98'!$A$423:$AU$509</definedName>
    <definedName name="RIVON_MEUCHAD">'[2]טורים 98'!$A$423:$AU$509</definedName>
    <definedName name="RIVON_MEUCHAD2" localSheetId="5">'[1]טורים 98'!$A$423:$AJ$508</definedName>
    <definedName name="RIVON_MEUCHAD2">'[2]טורים 98'!$A$423:$AJ$508</definedName>
    <definedName name="RN" localSheetId="6">#REF!</definedName>
    <definedName name="RN" localSheetId="5">#REF!</definedName>
    <definedName name="RN">#REF!</definedName>
    <definedName name="rr" localSheetId="6" hidden="1">{#N/A,#N/A,FALSE,"מאזן";#N/A,#N/A,FALSE,"רווהפ";#N/A,#N/A,FALSE,"שינויים בהון";#N/A,#N/A,FALSE,"תזרים";#N/A,#N/A,FALSE,"נספח - התאמות";#N/A,#N/A,FALSE,"ני""ע לתזרים";#N/A,#N/A,FALSE,"פירוטים לדוחות"}</definedName>
    <definedName name="rr" localSheetId="5" hidden="1">{#N/A,#N/A,FALSE,"מאזן";#N/A,#N/A,FALSE,"רווהפ";#N/A,#N/A,FALSE,"שינויים בהון";#N/A,#N/A,FALSE,"תזרים";#N/A,#N/A,FALSE,"נספח - התאמות";#N/A,#N/A,FALSE,"ני""ע לתזרים";#N/A,#N/A,FALSE,"פירוטים לדוחות"}</definedName>
    <definedName name="rr" hidden="1">{#N/A,#N/A,FALSE,"מאזן";#N/A,#N/A,FALSE,"רווהפ";#N/A,#N/A,FALSE,"שינויים בהון";#N/A,#N/A,FALSE,"תזרים";#N/A,#N/A,FALSE,"נספח - התאמות";#N/A,#N/A,FALSE,"ני""ע לתזרים";#N/A,#N/A,FALSE,"פירוטים לדוחות"}</definedName>
    <definedName name="rrrr" localSheetId="6" hidden="1">{#N/A,#N/A,FALSE,"מאזן";#N/A,#N/A,FALSE,"רווהפ";#N/A,#N/A,FALSE,"שינויים בהון";#N/A,#N/A,FALSE,"תזרים";#N/A,#N/A,FALSE,"נספח - התאמות";#N/A,#N/A,FALSE,"ני""ע לתזרים";#N/A,#N/A,FALSE,"פירוטים לדוחות"}</definedName>
    <definedName name="rrrr" localSheetId="5" hidden="1">{#N/A,#N/A,FALSE,"מאזן";#N/A,#N/A,FALSE,"רווהפ";#N/A,#N/A,FALSE,"שינויים בהון";#N/A,#N/A,FALSE,"תזרים";#N/A,#N/A,FALSE,"נספח - התאמות";#N/A,#N/A,FALSE,"ני""ע לתזרים";#N/A,#N/A,FALSE,"פירוטים לדוחות"}</definedName>
    <definedName name="rrrr" hidden="1">{#N/A,#N/A,FALSE,"מאזן";#N/A,#N/A,FALSE,"רווהפ";#N/A,#N/A,FALSE,"שינויים בהון";#N/A,#N/A,FALSE,"תזרים";#N/A,#N/A,FALSE,"נספח - התאמות";#N/A,#N/A,FALSE,"ני""ע לתזרים";#N/A,#N/A,FALSE,"פירוטים לדוחות"}</definedName>
    <definedName name="rrrrr" localSheetId="6" hidden="1">{#N/A,#N/A,FALSE,"מאזן";#N/A,#N/A,FALSE,"רווהפ";#N/A,#N/A,FALSE,"שינויים בהון";#N/A,#N/A,FALSE,"תזרים";#N/A,#N/A,FALSE,"נספח - התאמות";#N/A,#N/A,FALSE,"ני""ע לתזרים";#N/A,#N/A,FALSE,"פירוטים לדוחות"}</definedName>
    <definedName name="rrrrr" localSheetId="5" hidden="1">{#N/A,#N/A,FALSE,"מאזן";#N/A,#N/A,FALSE,"רווהפ";#N/A,#N/A,FALSE,"שינויים בהון";#N/A,#N/A,FALSE,"תזרים";#N/A,#N/A,FALSE,"נספח - התאמות";#N/A,#N/A,FALSE,"ני""ע לתזרים";#N/A,#N/A,FALSE,"פירוטים לדוחות"}</definedName>
    <definedName name="rrrrr" hidden="1">{#N/A,#N/A,FALSE,"מאזן";#N/A,#N/A,FALSE,"רווהפ";#N/A,#N/A,FALSE,"שינויים בהון";#N/A,#N/A,FALSE,"תזרים";#N/A,#N/A,FALSE,"נספח - התאמות";#N/A,#N/A,FALSE,"ני""ע לתזרים";#N/A,#N/A,FALSE,"פירוטים לדוחות"}</definedName>
    <definedName name="rrrrrr" localSheetId="6" hidden="1">{"cash plan",#N/A,FALSE,"fccashflow"}</definedName>
    <definedName name="rrrrrr" localSheetId="5" hidden="1">{"cash plan",#N/A,FALSE,"fccashflow"}</definedName>
    <definedName name="rrrrrr" hidden="1">{"cash plan",#N/A,FALSE,"fccashflow"}</definedName>
    <definedName name="rrrrrrffvv" localSheetId="6" hidden="1">{#N/A,#N/A,FALSE,"מאזן";#N/A,#N/A,FALSE,"רווהפ";#N/A,#N/A,FALSE,"שינויים בהון";#N/A,#N/A,FALSE,"תזרים";#N/A,#N/A,FALSE,"נספח - התאמות";#N/A,#N/A,FALSE,"ני""ע לתזרים";#N/A,#N/A,FALSE,"פירוטים לדוחות"}</definedName>
    <definedName name="rrrrrrffvv" localSheetId="5" hidden="1">{#N/A,#N/A,FALSE,"מאזן";#N/A,#N/A,FALSE,"רווהפ";#N/A,#N/A,FALSE,"שינויים בהון";#N/A,#N/A,FALSE,"תזרים";#N/A,#N/A,FALSE,"נספח - התאמות";#N/A,#N/A,FALSE,"ני""ע לתזרים";#N/A,#N/A,FALSE,"פירוטים לדוחות"}</definedName>
    <definedName name="rrrrrrffvv" hidden="1">{#N/A,#N/A,FALSE,"מאזן";#N/A,#N/A,FALSE,"רווהפ";#N/A,#N/A,FALSE,"שינויים בהון";#N/A,#N/A,FALSE,"תזרים";#N/A,#N/A,FALSE,"נספח - התאמות";#N/A,#N/A,FALSE,"ני""ע לתזרים";#N/A,#N/A,FALSE,"פירוטים לדוחות"}</definedName>
    <definedName name="rrrrrrrrrrrrrrrrrrrrrr" localSheetId="6" hidden="1">{"Back Page",#N/A,FALSE,"Front and Back"}</definedName>
    <definedName name="rrrrrrrrrrrrrrrrrrrrrr" localSheetId="5" hidden="1">{"Back Page",#N/A,FALSE,"Front and Back"}</definedName>
    <definedName name="rrrrrrrrrrrrrrrrrrrrrr" hidden="1">{"Back Page",#N/A,FALSE,"Front and Back"}</definedName>
    <definedName name="rt" localSheetId="6" hidden="1">{#N/A,#N/A,TRUE,"Cover sheet";#N/A,#N/A,TRUE,"Summary";#N/A,#N/A,TRUE,"Key Assumptions";#N/A,#N/A,TRUE,"Profit &amp; Loss";#N/A,#N/A,TRUE,"Balance Sheet";#N/A,#N/A,TRUE,"Cashflow";#N/A,#N/A,TRUE,"IRR";#N/A,#N/A,TRUE,"Ratios";#N/A,#N/A,TRUE,"Debt analysis"}</definedName>
    <definedName name="rt" localSheetId="5" hidden="1">{#N/A,#N/A,TRUE,"Cover sheet";#N/A,#N/A,TRUE,"Summary";#N/A,#N/A,TRUE,"Key Assumptions";#N/A,#N/A,TRUE,"Profit &amp; Loss";#N/A,#N/A,TRUE,"Balance Sheet";#N/A,#N/A,TRUE,"Cashflow";#N/A,#N/A,TRUE,"IRR";#N/A,#N/A,TRUE,"Ratios";#N/A,#N/A,TRUE,"Debt analysis"}</definedName>
    <definedName name="rt" hidden="1">{#N/A,#N/A,TRUE,"Cover sheet";#N/A,#N/A,TRUE,"Summary";#N/A,#N/A,TRUE,"Key Assumptions";#N/A,#N/A,TRUE,"Profit &amp; Loss";#N/A,#N/A,TRUE,"Balance Sheet";#N/A,#N/A,TRUE,"Cashflow";#N/A,#N/A,TRUE,"IRR";#N/A,#N/A,TRUE,"Ratios";#N/A,#N/A,TRUE,"Debt analysis"}</definedName>
    <definedName name="rtrttrttrtr">[14]Parameters!#REF!</definedName>
    <definedName name="Rwvu.MLAIM._.PER._.THUM." localSheetId="6" hidden="1">#REF!</definedName>
    <definedName name="Rwvu.MLAIM._.PER._.THUM." localSheetId="5" hidden="1">#REF!</definedName>
    <definedName name="Rwvu.MLAIM._.PER._.THUM." hidden="1">#REF!</definedName>
    <definedName name="Rwvu.REGULAR." localSheetId="6" hidden="1">#REF!</definedName>
    <definedName name="Rwvu.REGULAR." localSheetId="5" hidden="1">#REF!</definedName>
    <definedName name="Rwvu.REGULAR." hidden="1">#REF!</definedName>
    <definedName name="Rwvu.טוביה." localSheetId="6" hidden="1">#REF!</definedName>
    <definedName name="Rwvu.טוביה." localSheetId="5" hidden="1">#REF!</definedName>
    <definedName name="Rwvu.טוביה." hidden="1">#REF!</definedName>
    <definedName name="SAC" localSheetId="5">'[1]טורים 98'!$AZ$1:$CX$151</definedName>
    <definedName name="SAC">'[2]טורים 98'!$AZ$1:$CX$151</definedName>
    <definedName name="sadf" localSheetId="6">[14]Parameters!#REF!</definedName>
    <definedName name="sadf">[14]Parameters!#REF!</definedName>
    <definedName name="sadfsadfasadf" localSheetId="6">[14]Parameters!#REF!</definedName>
    <definedName name="sadfsadfasadf">[14]Parameters!#REF!</definedName>
    <definedName name="saf" localSheetId="6">#REF!</definedName>
    <definedName name="saf">#REF!</definedName>
    <definedName name="SAPBEXrevision" hidden="1">1</definedName>
    <definedName name="SAPBEXsysID" hidden="1">"CLM"</definedName>
    <definedName name="SAPBEXwbID" hidden="1">"45NQDHM223FT6WTO5U4CNL7OG"</definedName>
    <definedName name="SAPFuncF4Help" localSheetId="6" hidden="1">Main.SAPF4Help()</definedName>
    <definedName name="SAPFuncF4Help" localSheetId="5" hidden="1">Main.SAPF4Help()</definedName>
    <definedName name="SAPFuncF4Help" hidden="1">Main.SAPF4Help()</definedName>
    <definedName name="sdf" localSheetId="6" hidden="1">{#N/A,#N/A,FALSE,"Contribution Analysis"}</definedName>
    <definedName name="sdf" localSheetId="5" hidden="1">{#N/A,#N/A,FALSE,"Contribution Analysis"}</definedName>
    <definedName name="sdf" hidden="1">{#N/A,#N/A,FALSE,"Contribution Analysis"}</definedName>
    <definedName name="sencount" hidden="1">1</definedName>
    <definedName name="SMM" localSheetId="5">'[1]טורים 98'!$GT$20</definedName>
    <definedName name="SMM">'[2]טורים 98'!$GT$20</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0.1076</definedName>
    <definedName name="SPR" localSheetId="5">'[1]טורים 98'!$AZ$250:$CX$336</definedName>
    <definedName name="SPR">'[2]טורים 98'!$AZ$250:$CX$336</definedName>
    <definedName name="SPS" localSheetId="5">'[1]טורים 98'!$AZ$154:$CX$246</definedName>
    <definedName name="SPS">'[2]טורים 98'!$AZ$154:$CX$246</definedName>
    <definedName name="ss" localSheetId="6" hidden="1">{#N/A,#N/A,FALSE,"מאזן";#N/A,#N/A,FALSE,"רווהפ";#N/A,#N/A,FALSE,"שינויים בהון";#N/A,#N/A,FALSE,"תזרים";#N/A,#N/A,FALSE,"נספח - התאמות";#N/A,#N/A,FALSE,"ני""ע לתזרים";#N/A,#N/A,FALSE,"פירוטים לדוחות"}</definedName>
    <definedName name="ss" localSheetId="5" hidden="1">{#N/A,#N/A,FALSE,"מאזן";#N/A,#N/A,FALSE,"רווהפ";#N/A,#N/A,FALSE,"שינויים בהון";#N/A,#N/A,FALSE,"תזרים";#N/A,#N/A,FALSE,"נספח - התאמות";#N/A,#N/A,FALSE,"ני""ע לתזרים";#N/A,#N/A,FALSE,"פירוטים לדוחות"}</definedName>
    <definedName name="ss" hidden="1">{#N/A,#N/A,FALSE,"מאזן";#N/A,#N/A,FALSE,"רווהפ";#N/A,#N/A,FALSE,"שינויים בהון";#N/A,#N/A,FALSE,"תזרים";#N/A,#N/A,FALSE,"נספח - התאמות";#N/A,#N/A,FALSE,"ני""ע לתזרים";#N/A,#N/A,FALSE,"פירוטים לדוחות"}</definedName>
    <definedName name="sse" localSheetId="6" hidden="1">{#N/A,#N/A,FALSE,"מאזן";#N/A,#N/A,FALSE,"רווהפ";#N/A,#N/A,FALSE,"שינויים בהון";#N/A,#N/A,FALSE,"תזרים";#N/A,#N/A,FALSE,"נספח - התאמות";#N/A,#N/A,FALSE,"ני""ע לתזרים";#N/A,#N/A,FALSE,"פירוטים לדוחות"}</definedName>
    <definedName name="sse" localSheetId="5" hidden="1">{#N/A,#N/A,FALSE,"מאזן";#N/A,#N/A,FALSE,"רווהפ";#N/A,#N/A,FALSE,"שינויים בהון";#N/A,#N/A,FALSE,"תזרים";#N/A,#N/A,FALSE,"נספח - התאמות";#N/A,#N/A,FALSE,"ני""ע לתזרים";#N/A,#N/A,FALSE,"פירוטים לדוחות"}</definedName>
    <definedName name="sse" hidden="1">{#N/A,#N/A,FALSE,"מאזן";#N/A,#N/A,FALSE,"רווהפ";#N/A,#N/A,FALSE,"שינויים בהון";#N/A,#N/A,FALSE,"תזרים";#N/A,#N/A,FALSE,"נספח - התאמות";#N/A,#N/A,FALSE,"ני""ע לתזרים";#N/A,#N/A,FALSE,"פירוטים לדוחות"}</definedName>
    <definedName name="sss" localSheetId="6" hidden="1">{#N/A,#N/A,FALSE,"מאזן";#N/A,#N/A,FALSE,"רווהפ";#N/A,#N/A,FALSE,"שינויים בהון";#N/A,#N/A,FALSE,"תזרים";#N/A,#N/A,FALSE,"נספח - התאמות";#N/A,#N/A,FALSE,"ני""ע לתזרים";#N/A,#N/A,FALSE,"פירוטים לדוחות"}</definedName>
    <definedName name="sss" localSheetId="5" hidden="1">{#N/A,#N/A,FALSE,"מאזן";#N/A,#N/A,FALSE,"רווהפ";#N/A,#N/A,FALSE,"שינויים בהון";#N/A,#N/A,FALSE,"תזרים";#N/A,#N/A,FALSE,"נספח - התאמות";#N/A,#N/A,FALSE,"ני""ע לתזרים";#N/A,#N/A,FALSE,"פירוטים לדוחות"}</definedName>
    <definedName name="sss" hidden="1">{#N/A,#N/A,FALSE,"מאזן";#N/A,#N/A,FALSE,"רווהפ";#N/A,#N/A,FALSE,"שינויים בהון";#N/A,#N/A,FALSE,"תזרים";#N/A,#N/A,FALSE,"נספח - התאמות";#N/A,#N/A,FALSE,"ני""ע לתזרים";#N/A,#N/A,FALSE,"פירוטים לדוחות"}</definedName>
    <definedName name="ssss" localSheetId="6" hidden="1">{#N/A,#N/A,FALSE,"מאזן";#N/A,#N/A,FALSE,"רווהפ";#N/A,#N/A,FALSE,"שינויים בהון";#N/A,#N/A,FALSE,"תזרים";#N/A,#N/A,FALSE,"נספח - התאמות";#N/A,#N/A,FALSE,"ני""ע לתזרים";#N/A,#N/A,FALSE,"פירוטים לדוחות"}</definedName>
    <definedName name="ssss" localSheetId="5" hidden="1">{#N/A,#N/A,FALSE,"מאזן";#N/A,#N/A,FALSE,"רווהפ";#N/A,#N/A,FALSE,"שינויים בהון";#N/A,#N/A,FALSE,"תזרים";#N/A,#N/A,FALSE,"נספח - התאמות";#N/A,#N/A,FALSE,"ני""ע לתזרים";#N/A,#N/A,FALSE,"פירוטים לדוחות"}</definedName>
    <definedName name="ssss" hidden="1">{#N/A,#N/A,FALSE,"מאזן";#N/A,#N/A,FALSE,"רווהפ";#N/A,#N/A,FALSE,"שינויים בהון";#N/A,#N/A,FALSE,"תזרים";#N/A,#N/A,FALSE,"נספח - התאמות";#N/A,#N/A,FALSE,"ני""ע לתזרים";#N/A,#N/A,FALSE,"פירוטים לדוחות"}</definedName>
    <definedName name="SSSSS" localSheetId="6" hidden="1">{#N/A,#N/A,TRUE,"Cover sheet";#N/A,#N/A,TRUE,"Summary";#N/A,#N/A,TRUE,"Key Assumptions";#N/A,#N/A,TRUE,"Profit &amp; Loss";#N/A,#N/A,TRUE,"Balance Sheet";#N/A,#N/A,TRUE,"Cashflow";#N/A,#N/A,TRUE,"IRR";#N/A,#N/A,TRUE,"Ratios";#N/A,#N/A,TRUE,"Debt analysis"}</definedName>
    <definedName name="SSSSS" localSheetId="5" hidden="1">{#N/A,#N/A,TRUE,"Cover sheet";#N/A,#N/A,TRUE,"Summary";#N/A,#N/A,TRUE,"Key Assumptions";#N/A,#N/A,TRUE,"Profit &amp; Loss";#N/A,#N/A,TRUE,"Balance Sheet";#N/A,#N/A,TRUE,"Cashflow";#N/A,#N/A,TRUE,"IRR";#N/A,#N/A,TRUE,"Ratios";#N/A,#N/A,TRUE,"Debt analysis"}</definedName>
    <definedName name="SSSSS" hidden="1">{#N/A,#N/A,TRUE,"Cover sheet";#N/A,#N/A,TRUE,"Summary";#N/A,#N/A,TRUE,"Key Assumptions";#N/A,#N/A,TRUE,"Profit &amp; Loss";#N/A,#N/A,TRUE,"Balance Sheet";#N/A,#N/A,TRUE,"Cashflow";#N/A,#N/A,TRUE,"IRR";#N/A,#N/A,TRUE,"Ratios";#N/A,#N/A,TRUE,"Debt analysis"}</definedName>
    <definedName name="ssssss" localSheetId="6" hidden="1">{#N/A,#N/A,FALSE,"מאזן";#N/A,#N/A,FALSE,"רווהפ";#N/A,#N/A,FALSE,"שינויים בהון";#N/A,#N/A,FALSE,"תזרים";#N/A,#N/A,FALSE,"נספח - התאמות";#N/A,#N/A,FALSE,"ני""ע לתזרים";#N/A,#N/A,FALSE,"פירוטים לדוחות"}</definedName>
    <definedName name="ssssss" localSheetId="5" hidden="1">{#N/A,#N/A,FALSE,"מאזן";#N/A,#N/A,FALSE,"רווהפ";#N/A,#N/A,FALSE,"שינויים בהון";#N/A,#N/A,FALSE,"תזרים";#N/A,#N/A,FALSE,"נספח - התאמות";#N/A,#N/A,FALSE,"ני""ע לתזרים";#N/A,#N/A,FALSE,"פירוטים לדוחות"}</definedName>
    <definedName name="ssssss" hidden="1">{#N/A,#N/A,FALSE,"מאזן";#N/A,#N/A,FALSE,"רווהפ";#N/A,#N/A,FALSE,"שינויים בהון";#N/A,#N/A,FALSE,"תזרים";#N/A,#N/A,FALSE,"נספח - התאמות";#N/A,#N/A,FALSE,"ני""ע לתזרים";#N/A,#N/A,FALSE,"פירוטים לדוחות"}</definedName>
    <definedName name="stef" localSheetId="6" hidden="1">{#N/A,#N/A,TRUE,"Cover sheet";#N/A,#N/A,TRUE,"Summary";#N/A,#N/A,TRUE,"Key Assumptions";#N/A,#N/A,TRUE,"Profit &amp; Loss";#N/A,#N/A,TRUE,"Balance Sheet";#N/A,#N/A,TRUE,"Cashflow";#N/A,#N/A,TRUE,"IRR";#N/A,#N/A,TRUE,"Ratios";#N/A,#N/A,TRUE,"Debt analysis"}</definedName>
    <definedName name="stef" localSheetId="5"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Sublease_End_Date">'[30]UK Inputs'!$E$76</definedName>
    <definedName name="Sublease_Per_Annum_Rent">'[30]UK Inputs'!$G$70</definedName>
    <definedName name="Sublease_Rent_Start_Date">'[30]UK Inputs'!$E$75</definedName>
    <definedName name="Swvu.FULL." localSheetId="6" hidden="1">#REF!</definedName>
    <definedName name="Swvu.FULL." localSheetId="5" hidden="1">#REF!</definedName>
    <definedName name="Swvu.FULL." hidden="1">#REF!</definedName>
    <definedName name="Swvu.MLAIM._.PER._.THUM." localSheetId="6" hidden="1">#REF!</definedName>
    <definedName name="Swvu.MLAIM._.PER._.THUM." localSheetId="5" hidden="1">#REF!</definedName>
    <definedName name="Swvu.MLAIM._.PER._.THUM." hidden="1">#REF!</definedName>
    <definedName name="Swvu.PROJECTS._.INV_ADV." localSheetId="6" hidden="1">#REF!</definedName>
    <definedName name="Swvu.PROJECTS._.INV_ADV." localSheetId="5" hidden="1">#REF!</definedName>
    <definedName name="Swvu.PROJECTS._.INV_ADV." hidden="1">#REF!</definedName>
    <definedName name="Swvu.QUARTERLY._.PROFITS." localSheetId="6" hidden="1">#REF!</definedName>
    <definedName name="Swvu.QUARTERLY._.PROFITS." localSheetId="5" hidden="1">#REF!</definedName>
    <definedName name="Swvu.QUARTERLY._.PROFITS." hidden="1">#REF!</definedName>
    <definedName name="Swvu.REGULAR." localSheetId="6" hidden="1">#REF!</definedName>
    <definedName name="Swvu.REGULAR." localSheetId="5" hidden="1">#REF!</definedName>
    <definedName name="Swvu.REGULAR." hidden="1">#REF!</definedName>
    <definedName name="Swvu.טוביה." localSheetId="6" hidden="1">#REF!</definedName>
    <definedName name="Swvu.טוביה." localSheetId="5" hidden="1">#REF!</definedName>
    <definedName name="Swvu.טוביה." hidden="1">#REF!</definedName>
    <definedName name="T1_" localSheetId="6">'[6]שמ"מ מ"ה'!#REF!</definedName>
    <definedName name="T1_" localSheetId="5">'[7]שמ"מ מ"ה'!#REF!</definedName>
    <definedName name="T1_">'[6]שמ"מ מ"ה'!#REF!</definedName>
    <definedName name="T2_" localSheetId="6">'[6]שמ"מ מ"ה'!#REF!</definedName>
    <definedName name="T2_" localSheetId="5">'[7]שמ"מ מ"ה'!#REF!</definedName>
    <definedName name="T2_">'[6]שמ"מ מ"ה'!#REF!</definedName>
    <definedName name="T3_" localSheetId="6">'[6]שמ"מ מ"ה'!#REF!</definedName>
    <definedName name="T3_" localSheetId="5">'[7]שמ"מ מ"ה'!#REF!</definedName>
    <definedName name="T3_">'[6]שמ"מ מ"ה'!#REF!</definedName>
    <definedName name="T5_" localSheetId="6">'[6]שמ"מ מ"ה'!#REF!</definedName>
    <definedName name="T5_" localSheetId="5">'[7]שמ"מ מ"ה'!#REF!</definedName>
    <definedName name="T5_">'[6]שמ"מ מ"ה'!#REF!</definedName>
    <definedName name="T6_" localSheetId="5">'[7]שמ"מ מ"ה'!#REF!</definedName>
    <definedName name="T6_">'[6]שמ"מ מ"ה'!#REF!</definedName>
    <definedName name="TableFive" localSheetId="6">#REF!</definedName>
    <definedName name="TableFive">#REF!</definedName>
    <definedName name="TableFour" localSheetId="6">#REF!</definedName>
    <definedName name="TableFour">#REF!</definedName>
    <definedName name="TableThree" localSheetId="6">#REF!</definedName>
    <definedName name="TableThree">#REF!</definedName>
    <definedName name="TableTwo" localSheetId="6">#REF!</definedName>
    <definedName name="TableTwo">#REF!</definedName>
    <definedName name="TB" localSheetId="6">[34]TB!#REF!</definedName>
    <definedName name="TB">[34]TB!#REF!</definedName>
    <definedName name="TB_Balance_01" localSheetId="6">#REF!</definedName>
    <definedName name="TB_Balance_01" localSheetId="5">#REF!</definedName>
    <definedName name="TB_Balance_01">#REF!</definedName>
    <definedName name="TB_Balance_02" localSheetId="6">#REF!</definedName>
    <definedName name="TB_Balance_02">#REF!</definedName>
    <definedName name="TB_Balance_03" localSheetId="6">#REF!</definedName>
    <definedName name="TB_Balance_03">#REF!</definedName>
    <definedName name="TB_Balance_04" localSheetId="6">#REF!</definedName>
    <definedName name="TB_Balance_04">#REF!</definedName>
    <definedName name="TB_Balance_05" localSheetId="6">#REF!</definedName>
    <definedName name="TB_Balance_05">#REF!</definedName>
    <definedName name="TB_Balance_06" localSheetId="6">#REF!</definedName>
    <definedName name="TB_Balance_06">#REF!</definedName>
    <definedName name="TB_Balance_07" localSheetId="6">#REF!</definedName>
    <definedName name="TB_Balance_07">#REF!</definedName>
    <definedName name="TB_Balance_08" localSheetId="6">#REF!</definedName>
    <definedName name="TB_Balance_08">#REF!</definedName>
    <definedName name="TB_Balance_09" localSheetId="6">#REF!</definedName>
    <definedName name="TB_Balance_09">#REF!</definedName>
    <definedName name="TB_Balance_10" localSheetId="6">#REF!</definedName>
    <definedName name="TB_Balance_10">#REF!</definedName>
    <definedName name="TB_Balance_11" localSheetId="6">#REF!</definedName>
    <definedName name="TB_Balance_11">#REF!</definedName>
    <definedName name="TB_Balance_12" localSheetId="6">#REF!</definedName>
    <definedName name="TB_Balance_12">#REF!</definedName>
    <definedName name="TB_Balance_12_Nis" localSheetId="6">#REF!</definedName>
    <definedName name="TB_Balance_12_Nis">#REF!</definedName>
    <definedName name="TB_Entity" localSheetId="6">#REF!</definedName>
    <definedName name="TB_Entity">#REF!</definedName>
    <definedName name="TB_NIS">'[16]Trial balance 311202'!$G$2:$J$602</definedName>
    <definedName name="TB_USD">'[16]Trial balance 311202'!$A$2:$D$604</definedName>
    <definedName name="TBL_Departments">[31]Parameters!$B$18:$B$24</definedName>
    <definedName name="TBL_Exp_Types">[31]Parameters!$B$28:$B$48</definedName>
    <definedName name="TBL_Sites">[31]Parameters!$E$9:$E$12</definedName>
    <definedName name="TEST0" localSheetId="6">#REF!</definedName>
    <definedName name="TEST0" localSheetId="5">#REF!</definedName>
    <definedName name="TEST0">#REF!</definedName>
    <definedName name="TESTHKEY" localSheetId="6">#REF!</definedName>
    <definedName name="TESTHKEY" localSheetId="5">#REF!</definedName>
    <definedName name="TESTHKEY">#REF!</definedName>
    <definedName name="TESTKEYS" localSheetId="6">#REF!</definedName>
    <definedName name="TESTKEYS" localSheetId="5">#REF!</definedName>
    <definedName name="TESTKEYS">#REF!</definedName>
    <definedName name="TESTVKEY" localSheetId="6">#REF!</definedName>
    <definedName name="TESTVKEY" localSheetId="5">#REF!</definedName>
    <definedName name="TESTVKEY">#REF!</definedName>
    <definedName name="text98" localSheetId="8">FS!#REF!</definedName>
    <definedName name="text99" localSheetId="8">FS!#REF!</definedName>
    <definedName name="TextRefCopyRangeCount" hidden="1">5</definedName>
    <definedName name="TF3_E" localSheetId="6">#REF!</definedName>
    <definedName name="TF3_E" localSheetId="5">#REF!</definedName>
    <definedName name="TF3_E">#REF!</definedName>
    <definedName name="TF3M" localSheetId="6">#REF!</definedName>
    <definedName name="TF3M" localSheetId="5">#REF!</definedName>
    <definedName name="TF3M">#REF!</definedName>
    <definedName name="TF4_E" localSheetId="6">#REF!</definedName>
    <definedName name="TF4_E" localSheetId="5">#REF!</definedName>
    <definedName name="TF4_E">#REF!</definedName>
    <definedName name="TF6_HD" localSheetId="6">#REF!</definedName>
    <definedName name="TF6_HD" localSheetId="5">#REF!</definedName>
    <definedName name="TF6_HD">#REF!</definedName>
    <definedName name="TF7_E" localSheetId="6">#REF!</definedName>
    <definedName name="TF7_E" localSheetId="5">#REF!</definedName>
    <definedName name="TF7_E">#REF!</definedName>
    <definedName name="TF7_HD" localSheetId="6">#REF!</definedName>
    <definedName name="TF7_HD" localSheetId="5">#REF!</definedName>
    <definedName name="TF7_HD">#REF!</definedName>
    <definedName name="TF71_E" localSheetId="6">#REF!</definedName>
    <definedName name="TF71_E" localSheetId="5">#REF!</definedName>
    <definedName name="TF71_E">#REF!</definedName>
    <definedName name="TF71_HD" localSheetId="6">#REF!</definedName>
    <definedName name="TF71_HD" localSheetId="5">#REF!</definedName>
    <definedName name="TF71_HD">#REF!</definedName>
    <definedName name="TF71M" localSheetId="6">#REF!</definedName>
    <definedName name="TF71M" localSheetId="5">#REF!</definedName>
    <definedName name="TF71M">#REF!</definedName>
    <definedName name="TF72_E" localSheetId="6">#REF!</definedName>
    <definedName name="TF72_E" localSheetId="5">#REF!</definedName>
    <definedName name="TF72_E">#REF!</definedName>
    <definedName name="TF72_HD" localSheetId="6">#REF!</definedName>
    <definedName name="TF72_HD" localSheetId="5">#REF!</definedName>
    <definedName name="TF72_HD">#REF!</definedName>
    <definedName name="TF72M" localSheetId="6">#REF!</definedName>
    <definedName name="TF72M" localSheetId="5">#REF!</definedName>
    <definedName name="TF72M">#REF!</definedName>
    <definedName name="TF73_E" localSheetId="6">#REF!</definedName>
    <definedName name="TF73_E" localSheetId="5">#REF!</definedName>
    <definedName name="TF73_E">#REF!</definedName>
    <definedName name="TF73_HD" localSheetId="6">#REF!</definedName>
    <definedName name="TF73_HD" localSheetId="5">#REF!</definedName>
    <definedName name="TF73_HD">#REF!</definedName>
    <definedName name="TF73M" localSheetId="6">#REF!</definedName>
    <definedName name="TF73M" localSheetId="5">#REF!</definedName>
    <definedName name="TF73M">#REF!</definedName>
    <definedName name="TF74_E" localSheetId="6">#REF!</definedName>
    <definedName name="TF74_E" localSheetId="5">#REF!</definedName>
    <definedName name="TF74_E">#REF!</definedName>
    <definedName name="TF74_HD" localSheetId="6">#REF!</definedName>
    <definedName name="TF74_HD" localSheetId="5">#REF!</definedName>
    <definedName name="TF74_HD">#REF!</definedName>
    <definedName name="TF74M" localSheetId="6">#REF!</definedName>
    <definedName name="TF74M" localSheetId="5">#REF!</definedName>
    <definedName name="TF74M">#REF!</definedName>
    <definedName name="TF7M" localSheetId="6">#REF!</definedName>
    <definedName name="TF7M" localSheetId="5">#REF!</definedName>
    <definedName name="TF7M">#REF!</definedName>
    <definedName name="TO_1" localSheetId="6">[14]Parameters!#REF!</definedName>
    <definedName name="TO_1">[14]Parameters!#REF!</definedName>
    <definedName name="TO_2" localSheetId="6">[14]Parameters!#REF!</definedName>
    <definedName name="TO_2">[14]Parameters!#REF!</definedName>
    <definedName name="TO_3" localSheetId="6">[14]Parameters!#REF!</definedName>
    <definedName name="TO_3">[14]Parameters!#REF!</definedName>
    <definedName name="TO_4" localSheetId="6">[14]Parameters!#REF!</definedName>
    <definedName name="TO_4">[14]Parameters!#REF!</definedName>
    <definedName name="TO_5">[14]Parameters!#REF!</definedName>
    <definedName name="TO_6">[14]Parameters!#REF!</definedName>
    <definedName name="TO_7">[14]Parameters!#REF!</definedName>
    <definedName name="TOJRNL" localSheetId="6">#REF!</definedName>
    <definedName name="TOJRNL">#REF!</definedName>
    <definedName name="TOPRD">[14]Parameters!$G$12</definedName>
    <definedName name="Total" localSheetId="6">#REF!</definedName>
    <definedName name="Total" localSheetId="5">#REF!</definedName>
    <definedName name="Total">#REF!</definedName>
    <definedName name="TOTRNDT" localSheetId="6">#REF!</definedName>
    <definedName name="TOTRNDT">#REF!</definedName>
    <definedName name="TOTRNREF" localSheetId="6">#REF!</definedName>
    <definedName name="TOTRNREF">#REF!</definedName>
    <definedName name="TravelP2" localSheetId="6" hidden="1">{"yyyy",#N/A,FALSE,"A&amp;M (2)";"uuu",#N/A,FALSE,"A&amp;M (2)"}</definedName>
    <definedName name="TravelP2" localSheetId="5" hidden="1">{"yyyy",#N/A,FALSE,"A&amp;M (2)";"uuu",#N/A,FALSE,"A&amp;M (2)"}</definedName>
    <definedName name="TravelP2" hidden="1">{"yyyy",#N/A,FALSE,"A&amp;M (2)";"uuu",#N/A,FALSE,"A&amp;M (2)"}</definedName>
    <definedName name="Trial_Balance_Check_June_2014_BS">'[35]BS £'!$A$9:$G$51</definedName>
    <definedName name="Trial_Balance_Check_June_2014_PL">'[35]PL £'!$B$24:$O$73</definedName>
    <definedName name="TRIALBALANCE">[36]TB!$A$7:$F$145</definedName>
    <definedName name="ttt" localSheetId="6" hidden="1">{#N/A,#N/A,FALSE,"מאזן";#N/A,#N/A,FALSE,"רווהפ";#N/A,#N/A,FALSE,"שינויים בהון";#N/A,#N/A,FALSE,"תזרים";#N/A,#N/A,FALSE,"נספח - התאמות";#N/A,#N/A,FALSE,"ני""ע לתזרים";#N/A,#N/A,FALSE,"פירוטים לדוחות"}</definedName>
    <definedName name="ttt" localSheetId="5" hidden="1">{#N/A,#N/A,FALSE,"מאזן";#N/A,#N/A,FALSE,"רווהפ";#N/A,#N/A,FALSE,"שינויים בהון";#N/A,#N/A,FALSE,"תזרים";#N/A,#N/A,FALSE,"נספח - התאמות";#N/A,#N/A,FALSE,"ני""ע לתזרים";#N/A,#N/A,FALSE,"פירוטים לדוחות"}</definedName>
    <definedName name="ttt" hidden="1">{#N/A,#N/A,FALSE,"מאזן";#N/A,#N/A,FALSE,"רווהפ";#N/A,#N/A,FALSE,"שינויים בהון";#N/A,#N/A,FALSE,"תזרים";#N/A,#N/A,FALSE,"נספח - התאמות";#N/A,#N/A,FALSE,"ני""ע לתזרים";#N/A,#N/A,FALSE,"פירוטים לדוחות"}</definedName>
    <definedName name="ttttttttttttttttttttttttttttttt" localSheetId="6" hidden="1">{"Geographic P1",#N/A,FALSE,"Division &amp; Geog"}</definedName>
    <definedName name="ttttttttttttttttttttttttttttttt" localSheetId="5" hidden="1">{"Geographic P1",#N/A,FALSE,"Division &amp; Geog"}</definedName>
    <definedName name="ttttttttttttttttttttttttttttttt" hidden="1">{"Geographic P1",#N/A,FALSE,"Division &amp; Geog"}</definedName>
    <definedName name="ty" localSheetId="6" hidden="1">{#N/A,#N/A,TRUE,"Cover sheet";#N/A,#N/A,TRUE,"Summary";#N/A,#N/A,TRUE,"Key Assumptions";#N/A,#N/A,TRUE,"Profit &amp; Loss";#N/A,#N/A,TRUE,"Balance Sheet";#N/A,#N/A,TRUE,"Cashflow";#N/A,#N/A,TRUE,"IRR";#N/A,#N/A,TRUE,"Ratios";#N/A,#N/A,TRUE,"Debt analysis"}</definedName>
    <definedName name="ty" localSheetId="5" hidden="1">{#N/A,#N/A,TRUE,"Cover sheet";#N/A,#N/A,TRUE,"Summary";#N/A,#N/A,TRUE,"Key Assumptions";#N/A,#N/A,TRUE,"Profit &amp; Loss";#N/A,#N/A,TRUE,"Balance Sheet";#N/A,#N/A,TRUE,"Cashflow";#N/A,#N/A,TRUE,"IRR";#N/A,#N/A,TRUE,"Ratios";#N/A,#N/A,TRUE,"Debt analysis"}</definedName>
    <definedName name="ty" hidden="1">{#N/A,#N/A,TRUE,"Cover sheet";#N/A,#N/A,TRUE,"Summary";#N/A,#N/A,TRUE,"Key Assumptions";#N/A,#N/A,TRUE,"Profit &amp; Loss";#N/A,#N/A,TRUE,"Balance Sheet";#N/A,#N/A,TRUE,"Cashflow";#N/A,#N/A,TRUE,"IRR";#N/A,#N/A,TRUE,"Ratios";#N/A,#N/A,TRUE,"Debt analysis"}</definedName>
    <definedName name="u" localSheetId="6" hidden="1">{#N/A,#N/A,TRUE,"Cover sheet";#N/A,#N/A,TRUE,"Summary";#N/A,#N/A,TRUE,"Key Assumptions";#N/A,#N/A,TRUE,"Profit &amp; Loss";#N/A,#N/A,TRUE,"Balance Sheet";#N/A,#N/A,TRUE,"Cashflow";#N/A,#N/A,TRUE,"IRR";#N/A,#N/A,TRUE,"Ratios";#N/A,#N/A,TRUE,"Debt analysis"}</definedName>
    <definedName name="u" localSheetId="5" hidden="1">{#N/A,#N/A,TRUE,"Cover sheet";#N/A,#N/A,TRUE,"Summary";#N/A,#N/A,TRUE,"Key Assumptions";#N/A,#N/A,TRUE,"Profit &amp; Loss";#N/A,#N/A,TRUE,"Balance Sheet";#N/A,#N/A,TRUE,"Cashflow";#N/A,#N/A,TRUE,"IRR";#N/A,#N/A,TRUE,"Ratios";#N/A,#N/A,TRUE,"Debt analysis"}</definedName>
    <definedName name="u" hidden="1">{#N/A,#N/A,TRUE,"Cover sheet";#N/A,#N/A,TRUE,"Summary";#N/A,#N/A,TRUE,"Key Assumptions";#N/A,#N/A,TRUE,"Profit &amp; Loss";#N/A,#N/A,TRUE,"Balance Sheet";#N/A,#N/A,TRUE,"Cashflow";#N/A,#N/A,TRUE,"IRR";#N/A,#N/A,TRUE,"Ratios";#N/A,#N/A,TRUE,"Debt analysis"}</definedName>
    <definedName name="ufb" localSheetId="6" hidden="1">{#N/A,#N/A,FALSE,"מאזן";#N/A,#N/A,FALSE,"רווהפ";#N/A,#N/A,FALSE,"שינויים בהון";#N/A,#N/A,FALSE,"תזרים";#N/A,#N/A,FALSE,"נספח - התאמות";#N/A,#N/A,FALSE,"ני""ע לתזרים";#N/A,#N/A,FALSE,"פירוטים לדוחות"}</definedName>
    <definedName name="ufb" localSheetId="5" hidden="1">{#N/A,#N/A,FALSE,"מאזן";#N/A,#N/A,FALSE,"רווהפ";#N/A,#N/A,FALSE,"שינויים בהון";#N/A,#N/A,FALSE,"תזרים";#N/A,#N/A,FALSE,"נספח - התאמות";#N/A,#N/A,FALSE,"ני""ע לתזרים";#N/A,#N/A,FALSE,"פירוטים לדוחות"}</definedName>
    <definedName name="ufb" hidden="1">{#N/A,#N/A,FALSE,"מאזן";#N/A,#N/A,FALSE,"רווהפ";#N/A,#N/A,FALSE,"שינויים בהון";#N/A,#N/A,FALSE,"תזרים";#N/A,#N/A,FALSE,"נספח - התאמות";#N/A,#N/A,FALSE,"ני""ע לתזרים";#N/A,#N/A,FALSE,"פירוטים לדוחות"}</definedName>
    <definedName name="usd">[37]Salaries!#REF!</definedName>
    <definedName name="usoft">'[3]U-SOFT'!$A$1:$D$97,'[3]U-SOFT'!$A$98:$D$122,'[3]U-SOFT'!$A$123:$D$197</definedName>
    <definedName name="uu" localSheetId="6" hidden="1">{#N/A,#N/A,TRUE,"Cover sheet";#N/A,#N/A,TRUE,"Summary";#N/A,#N/A,TRUE,"Key Assumptions";#N/A,#N/A,TRUE,"Profit &amp; Loss";#N/A,#N/A,TRUE,"Balance Sheet";#N/A,#N/A,TRUE,"Cashflow";#N/A,#N/A,TRUE,"IRR";#N/A,#N/A,TRUE,"Ratios";#N/A,#N/A,TRUE,"Debt analysis"}</definedName>
    <definedName name="uu" localSheetId="5" hidden="1">{#N/A,#N/A,TRUE,"Cover sheet";#N/A,#N/A,TRUE,"Summary";#N/A,#N/A,TRUE,"Key Assumptions";#N/A,#N/A,TRUE,"Profit &amp; Loss";#N/A,#N/A,TRUE,"Balance Sheet";#N/A,#N/A,TRUE,"Cashflow";#N/A,#N/A,TRUE,"IRR";#N/A,#N/A,TRUE,"Ratios";#N/A,#N/A,TRUE,"Debt analysis"}</definedName>
    <definedName name="uu" hidden="1">{#N/A,#N/A,TRUE,"Cover sheet";#N/A,#N/A,TRUE,"Summary";#N/A,#N/A,TRUE,"Key Assumptions";#N/A,#N/A,TRUE,"Profit &amp; Loss";#N/A,#N/A,TRUE,"Balance Sheet";#N/A,#N/A,TRUE,"Cashflow";#N/A,#N/A,TRUE,"IRR";#N/A,#N/A,TRUE,"Ratios";#N/A,#N/A,TRUE,"Debt analysis"}</definedName>
    <definedName name="uykuy" localSheetId="6" hidden="1">{#N/A,#N/A,FALSE,"מאזן";#N/A,#N/A,FALSE,"רווהפ";#N/A,#N/A,FALSE,"שינויים בהון";#N/A,#N/A,FALSE,"תזרים";#N/A,#N/A,FALSE,"נספח - התאמות";#N/A,#N/A,FALSE,"ני""ע לתזרים";#N/A,#N/A,FALSE,"פירוטים לדוחות"}</definedName>
    <definedName name="uykuy" localSheetId="5" hidden="1">{#N/A,#N/A,FALSE,"מאזן";#N/A,#N/A,FALSE,"רווהפ";#N/A,#N/A,FALSE,"שינויים בהון";#N/A,#N/A,FALSE,"תזרים";#N/A,#N/A,FALSE,"נספח - התאמות";#N/A,#N/A,FALSE,"ני""ע לתזרים";#N/A,#N/A,FALSE,"פירוטים לדוחות"}</definedName>
    <definedName name="uykuy" hidden="1">{#N/A,#N/A,FALSE,"מאזן";#N/A,#N/A,FALSE,"רווהפ";#N/A,#N/A,FALSE,"שינויים בהון";#N/A,#N/A,FALSE,"תזרים";#N/A,#N/A,FALSE,"נספח - התאמות";#N/A,#N/A,FALSE,"ני""ע לתזרים";#N/A,#N/A,FALSE,"פירוטים לדוחות"}</definedName>
    <definedName name="ValuationBAAMultiple" localSheetId="6" hidden="1">{#N/A,#N/A,TRUE,"Cover sheet";#N/A,#N/A,TRUE,"INPUTS";#N/A,#N/A,TRUE,"OUTPUTS";#N/A,#N/A,TRUE,"VALUATION"}</definedName>
    <definedName name="ValuationBAAMultiple" localSheetId="5" hidden="1">{#N/A,#N/A,TRUE,"Cover sheet";#N/A,#N/A,TRUE,"INPUTS";#N/A,#N/A,TRUE,"OUTPUTS";#N/A,#N/A,TRUE,"VALUATION"}</definedName>
    <definedName name="ValuationBAAMultiple" hidden="1">{#N/A,#N/A,TRUE,"Cover sheet";#N/A,#N/A,TRUE,"INPUTS";#N/A,#N/A,TRUE,"OUTPUTS";#N/A,#N/A,TRUE,"VALUATION"}</definedName>
    <definedName name="VAT">[31]Parameters!$F$33</definedName>
    <definedName name="vg" localSheetId="6" hidden="1">{#N/A,#N/A,TRUE,"Cover sheet";#N/A,#N/A,TRUE,"DCF analysis";#N/A,#N/A,TRUE,"WACC calculation"}</definedName>
    <definedName name="vg" localSheetId="5" hidden="1">{#N/A,#N/A,TRUE,"Cover sheet";#N/A,#N/A,TRUE,"DCF analysis";#N/A,#N/A,TRUE,"WACC calculation"}</definedName>
    <definedName name="vg" hidden="1">{#N/A,#N/A,TRUE,"Cover sheet";#N/A,#N/A,TRUE,"DCF analysis";#N/A,#N/A,TRUE,"WACC calculation"}</definedName>
    <definedName name="vgfdhj" localSheetId="6" hidden="1">{#N/A,#N/A,FALSE,"מאזן";#N/A,#N/A,FALSE,"רווהפ";#N/A,#N/A,FALSE,"שינויים בהון";#N/A,#N/A,FALSE,"תזרים";#N/A,#N/A,FALSE,"נספח - התאמות";#N/A,#N/A,FALSE,"ני""ע לתזרים";#N/A,#N/A,FALSE,"פירוטים לדוחות"}</definedName>
    <definedName name="vgfdhj" localSheetId="5" hidden="1">{#N/A,#N/A,FALSE,"מאזן";#N/A,#N/A,FALSE,"רווהפ";#N/A,#N/A,FALSE,"שינויים בהון";#N/A,#N/A,FALSE,"תזרים";#N/A,#N/A,FALSE,"נספח - התאמות";#N/A,#N/A,FALSE,"ני""ע לתזרים";#N/A,#N/A,FALSE,"פירוטים לדוחות"}</definedName>
    <definedName name="vgfdhj" hidden="1">{#N/A,#N/A,FALSE,"מאזן";#N/A,#N/A,FALSE,"רווהפ";#N/A,#N/A,FALSE,"שינויים בהון";#N/A,#N/A,FALSE,"תזרים";#N/A,#N/A,FALSE,"נספח - התאמות";#N/A,#N/A,FALSE,"ני""ע לתזרים";#N/A,#N/A,FALSE,"פירוטים לדוחות"}</definedName>
    <definedName name="vv" localSheetId="6" hidden="1">{#N/A,#N/A,TRUE,"Cover sheet";#N/A,#N/A,TRUE,"Summary";#N/A,#N/A,TRUE,"Key Assumptions";#N/A,#N/A,TRUE,"Profit &amp; Loss";#N/A,#N/A,TRUE,"Balance Sheet";#N/A,#N/A,TRUE,"Cashflow";#N/A,#N/A,TRUE,"IRR";#N/A,#N/A,TRUE,"Ratios";#N/A,#N/A,TRUE,"Debt analysis"}</definedName>
    <definedName name="vv" localSheetId="5" hidden="1">{#N/A,#N/A,TRUE,"Cover sheet";#N/A,#N/A,TRUE,"Summary";#N/A,#N/A,TRUE,"Key Assumptions";#N/A,#N/A,TRUE,"Profit &amp; Loss";#N/A,#N/A,TRUE,"Balance Sheet";#N/A,#N/A,TRUE,"Cashflow";#N/A,#N/A,TRUE,"IRR";#N/A,#N/A,TRUE,"Ratios";#N/A,#N/A,TRUE,"Debt analysis"}</definedName>
    <definedName name="vv" hidden="1">{#N/A,#N/A,TRUE,"Cover sheet";#N/A,#N/A,TRUE,"Summary";#N/A,#N/A,TRUE,"Key Assumptions";#N/A,#N/A,TRUE,"Profit &amp; Loss";#N/A,#N/A,TRUE,"Balance Sheet";#N/A,#N/A,TRUE,"Cashflow";#N/A,#N/A,TRUE,"IRR";#N/A,#N/A,TRUE,"Ratios";#N/A,#N/A,TRUE,"Debt analysis"}</definedName>
    <definedName name="vvvvvvvvvvvvvvvvvvvvvvvvvvvv" localSheetId="6" hidden="1">{"Back Page",#N/A,FALSE,"Front and Back"}</definedName>
    <definedName name="vvvvvvvvvvvvvvvvvvvvvvvvvvvv" localSheetId="5" hidden="1">{"Back Page",#N/A,FALSE,"Front and Back"}</definedName>
    <definedName name="vvvvvvvvvvvvvvvvvvvvvvvvvvvv" hidden="1">{"Back Page",#N/A,FALSE,"Front and Back"}</definedName>
    <definedName name="w" localSheetId="6" hidden="1">{#N/A,#N/A,FALSE,"מאזן";#N/A,#N/A,FALSE,"רווהפ";#N/A,#N/A,FALSE,"שינויים בהון";#N/A,#N/A,FALSE,"תזרים";#N/A,#N/A,FALSE,"נספח - התאמות";#N/A,#N/A,FALSE,"ני""ע לתזרים";#N/A,#N/A,FALSE,"פירוטים לדוחות"}</definedName>
    <definedName name="w" localSheetId="5" hidden="1">{#N/A,#N/A,FALSE,"מאזן";#N/A,#N/A,FALSE,"רווהפ";#N/A,#N/A,FALSE,"שינויים בהון";#N/A,#N/A,FALSE,"תזרים";#N/A,#N/A,FALSE,"נספח - התאמות";#N/A,#N/A,FALSE,"ני""ע לתזרים";#N/A,#N/A,FALSE,"פירוטים לדוחות"}</definedName>
    <definedName name="w" hidden="1">{#N/A,#N/A,FALSE,"מאזן";#N/A,#N/A,FALSE,"רווהפ";#N/A,#N/A,FALSE,"שינויים בהון";#N/A,#N/A,FALSE,"תזרים";#N/A,#N/A,FALSE,"נספח - התאמות";#N/A,#N/A,FALSE,"ני""ע לתזרים";#N/A,#N/A,FALSE,"פירוטים לדוחות"}</definedName>
    <definedName name="we" localSheetId="6" hidden="1">{#N/A,#N/A,FALSE,"מאזן";#N/A,#N/A,FALSE,"רווהפ";#N/A,#N/A,FALSE,"שינויים בהון";#N/A,#N/A,FALSE,"תזרים";#N/A,#N/A,FALSE,"נספח - התאמות";#N/A,#N/A,FALSE,"ני""ע לתזרים";#N/A,#N/A,FALSE,"פירוטים לדוחות"}</definedName>
    <definedName name="we" localSheetId="5" hidden="1">{#N/A,#N/A,FALSE,"מאזן";#N/A,#N/A,FALSE,"רווהפ";#N/A,#N/A,FALSE,"שינויים בהון";#N/A,#N/A,FALSE,"תזרים";#N/A,#N/A,FALSE,"נספח - התאמות";#N/A,#N/A,FALSE,"ני""ע לתזרים";#N/A,#N/A,FALSE,"פירוטים לדוחות"}</definedName>
    <definedName name="we" hidden="1">{#N/A,#N/A,FALSE,"מאזן";#N/A,#N/A,FALSE,"רווהפ";#N/A,#N/A,FALSE,"שינויים בהון";#N/A,#N/A,FALSE,"תזרים";#N/A,#N/A,FALSE,"נספח - התאמות";#N/A,#N/A,FALSE,"ני""ע לתזרים";#N/A,#N/A,FALSE,"פירוטים לדוחות"}</definedName>
    <definedName name="wert" localSheetId="6" hidden="1">{#N/A,#N/A,FALSE,"מאזן";#N/A,#N/A,FALSE,"רווהפ";#N/A,#N/A,FALSE,"שינויים בהון";#N/A,#N/A,FALSE,"תזרים";#N/A,#N/A,FALSE,"נספח - התאמות";#N/A,#N/A,FALSE,"ני""ע לתזרים";#N/A,#N/A,FALSE,"פירוטים לדוחות"}</definedName>
    <definedName name="wert" localSheetId="5" hidden="1">{#N/A,#N/A,FALSE,"מאזן";#N/A,#N/A,FALSE,"רווהפ";#N/A,#N/A,FALSE,"שינויים בהון";#N/A,#N/A,FALSE,"תזרים";#N/A,#N/A,FALSE,"נספח - התאמות";#N/A,#N/A,FALSE,"ני""ע לתזרים";#N/A,#N/A,FALSE,"פירוטים לדוחות"}</definedName>
    <definedName name="wert" hidden="1">{#N/A,#N/A,FALSE,"מאזן";#N/A,#N/A,FALSE,"רווהפ";#N/A,#N/A,FALSE,"שינויים בהון";#N/A,#N/A,FALSE,"תזרים";#N/A,#N/A,FALSE,"נספח - התאמות";#N/A,#N/A,FALSE,"ני""ע לתזרים";#N/A,#N/A,FALSE,"פירוטים לדוחות"}</definedName>
    <definedName name="Whole">[29]M5200_06!$I$3:$EP$175</definedName>
    <definedName name="wnwn" localSheetId="6" hidden="1">{#N/A,#N/A,FALSE,"מאזן";#N/A,#N/A,FALSE,"רווהפ";#N/A,#N/A,FALSE,"שינויים בהון";#N/A,#N/A,FALSE,"תזרים";#N/A,#N/A,FALSE,"נספח - התאמות";#N/A,#N/A,FALSE,"ני""ע לתזרים";#N/A,#N/A,FALSE,"פירוטים לדוחות"}</definedName>
    <definedName name="wnwn" localSheetId="5" hidden="1">{#N/A,#N/A,FALSE,"מאזן";#N/A,#N/A,FALSE,"רווהפ";#N/A,#N/A,FALSE,"שינויים בהון";#N/A,#N/A,FALSE,"תזרים";#N/A,#N/A,FALSE,"נספח - התאמות";#N/A,#N/A,FALSE,"ני""ע לתזרים";#N/A,#N/A,FALSE,"פירוטים לדוחות"}</definedName>
    <definedName name="wnwn" hidden="1">{#N/A,#N/A,FALSE,"מאזן";#N/A,#N/A,FALSE,"רווהפ";#N/A,#N/A,FALSE,"שינויים בהון";#N/A,#N/A,FALSE,"תזרים";#N/A,#N/A,FALSE,"נספח - התאמות";#N/A,#N/A,FALSE,"ני""ע לתזרים";#N/A,#N/A,FALSE,"פירוטים לדוחות"}</definedName>
    <definedName name="wooooo" localSheetId="6" hidden="1">{#N/A,#N/A,FALSE,"מאזן";#N/A,#N/A,FALSE,"רווהפ";#N/A,#N/A,FALSE,"שינויים בהון";#N/A,#N/A,FALSE,"תזרים";#N/A,#N/A,FALSE,"נספח - התאמות";#N/A,#N/A,FALSE,"ני""ע לתזרים";#N/A,#N/A,FALSE,"פירוטים לדוחות"}</definedName>
    <definedName name="wooooo" localSheetId="5" hidden="1">{#N/A,#N/A,FALSE,"מאזן";#N/A,#N/A,FALSE,"רווהפ";#N/A,#N/A,FALSE,"שינויים בהון";#N/A,#N/A,FALSE,"תזרים";#N/A,#N/A,FALSE,"נספח - התאמות";#N/A,#N/A,FALSE,"ני""ע לתזרים";#N/A,#N/A,FALSE,"פירוטים לדוחות"}</definedName>
    <definedName name="wooooo" hidden="1">{#N/A,#N/A,FALSE,"מאזן";#N/A,#N/A,FALSE,"רווהפ";#N/A,#N/A,FALSE,"שינויים בהון";#N/A,#N/A,FALSE,"תזרים";#N/A,#N/A,FALSE,"נספח - התאמות";#N/A,#N/A,FALSE,"ני""ע לתזרים";#N/A,#N/A,FALSE,"פירוטים לדוחות"}</definedName>
    <definedName name="Working_Area">'[23]Nov 2000 Current account  '!#REF!</definedName>
    <definedName name="_xlnm.Print_Titles" localSheetId="6">#REF!</definedName>
    <definedName name="_xlnm.Print_Titles" localSheetId="5">#REF!</definedName>
    <definedName name="_xlnm.Print_Titles">#REF!</definedName>
    <definedName name="wrn.1." localSheetId="6" hidden="1">{#N/A,#N/A,FALSE,"Calc";#N/A,#N/A,FALSE,"Sensitivity";#N/A,#N/A,FALSE,"LT Earn.Dil.";#N/A,#N/A,FALSE,"Dil. AVP"}</definedName>
    <definedName name="wrn.1." localSheetId="5" hidden="1">{#N/A,#N/A,FALSE,"Calc";#N/A,#N/A,FALSE,"Sensitivity";#N/A,#N/A,FALSE,"LT Earn.Dil.";#N/A,#N/A,FALSE,"Dil. AVP"}</definedName>
    <definedName name="wrn.1." hidden="1">{#N/A,#N/A,FALSE,"Calc";#N/A,#N/A,FALSE,"Sensitivity";#N/A,#N/A,FALSE,"LT Earn.Dil.";#N/A,#N/A,FALSE,"Dil. AVP"}</definedName>
    <definedName name="wrn.10yp._.balance._.sheet." localSheetId="6" hidden="1">{"10yp balance sheet",#N/A,FALSE,"Celtel alternative 6"}</definedName>
    <definedName name="wrn.10yp._.balance._.sheet." localSheetId="5" hidden="1">{"10yp balance sheet",#N/A,FALSE,"Celtel alternative 6"}</definedName>
    <definedName name="wrn.10yp._.balance._.sheet." hidden="1">{"10yp balance sheet",#N/A,FALSE,"Celtel alternative 6"}</definedName>
    <definedName name="wrn.10yp._.capex." localSheetId="6" hidden="1">{"10yp capex",#N/A,FALSE,"Celtel alternative 6"}</definedName>
    <definedName name="wrn.10yp._.capex." localSheetId="5" hidden="1">{"10yp capex",#N/A,FALSE,"Celtel alternative 6"}</definedName>
    <definedName name="wrn.10yp._.capex." hidden="1">{"10yp capex",#N/A,FALSE,"Celtel alternative 6"}</definedName>
    <definedName name="wrn.10yp._.customers." localSheetId="6" hidden="1">{"10yp customers",#N/A,FALSE,"Celtel alternative 6"}</definedName>
    <definedName name="wrn.10yp._.customers." localSheetId="5" hidden="1">{"10yp customers",#N/A,FALSE,"Celtel alternative 6"}</definedName>
    <definedName name="wrn.10yp._.customers." hidden="1">{"10yp customers",#N/A,FALSE,"Celtel alternative 6"}</definedName>
    <definedName name="wrn.10yp._.graphs." localSheetId="6" hidden="1">{"10yp graphs",#N/A,FALSE,"Market Data"}</definedName>
    <definedName name="wrn.10yp._.graphs." localSheetId="5" hidden="1">{"10yp graphs",#N/A,FALSE,"Market Data"}</definedName>
    <definedName name="wrn.10yp._.graphs." hidden="1">{"10yp graphs",#N/A,FALSE,"Market Data"}</definedName>
    <definedName name="wrn.10yp._.key._.data." localSheetId="6" hidden="1">{"10yp key data",#N/A,FALSE,"Market Data"}</definedName>
    <definedName name="wrn.10yp._.key._.data." localSheetId="5" hidden="1">{"10yp key data",#N/A,FALSE,"Market Data"}</definedName>
    <definedName name="wrn.10yp._.key._.data." hidden="1">{"10yp key data",#N/A,FALSE,"Market Data"}</definedName>
    <definedName name="wrn.10yp._.profit._.and._.loss." localSheetId="6" hidden="1">{"10yp profit and loss",#N/A,FALSE,"Celtel alternative 6"}</definedName>
    <definedName name="wrn.10yp._.profit._.and._.loss." localSheetId="5" hidden="1">{"10yp profit and loss",#N/A,FALSE,"Celtel alternative 6"}</definedName>
    <definedName name="wrn.10yp._.profit._.and._.loss." hidden="1">{"10yp profit and loss",#N/A,FALSE,"Celtel alternative 6"}</definedName>
    <definedName name="wrn.10yp._.tariffs." localSheetId="6" hidden="1">{"10yp tariffs",#N/A,FALSE,"Celtel alternative 6"}</definedName>
    <definedName name="wrn.10yp._.tariffs." localSheetId="5" hidden="1">{"10yp tariffs",#N/A,FALSE,"Celtel alternative 6"}</definedName>
    <definedName name="wrn.10yp._.tariffs." hidden="1">{"10yp tariffs",#N/A,FALSE,"Celtel alternative 6"}</definedName>
    <definedName name="wrn.50._.50." localSheetId="6" hidden="1">{"assumption 50 50",#N/A,TRUE,"Merger";"has gets cash",#N/A,TRUE,"Merger";"accretion dilution",#N/A,TRUE,"Merger";"comparison credit stats",#N/A,TRUE,"Merger";"pf credit stats",#N/A,TRUE,"Merger";"pf sheets",#N/A,TRUE,"Merger"}</definedName>
    <definedName name="wrn.50._.50." localSheetId="5" hidden="1">{"assumption 50 50",#N/A,TRUE,"Merger";"has gets cash",#N/A,TRUE,"Merger";"accretion dilution",#N/A,TRUE,"Merger";"comparison credit stats",#N/A,TRUE,"Merger";"pf credit stats",#N/A,TRUE,"Merger";"pf sheets",#N/A,TRUE,"Merger"}</definedName>
    <definedName name="wrn.50._.50." hidden="1">{"assumption 50 50",#N/A,TRUE,"Merger";"has gets cash",#N/A,TRUE,"Merger";"accretion dilution",#N/A,TRUE,"Merger";"comparison credit stats",#N/A,TRUE,"Merger";"pf credit stats",#N/A,TRUE,"Merger";"pf sheets",#N/A,TRUE,"Merger"}</definedName>
    <definedName name="wrn.Aging._.and._.Trend._.Analysis." localSheetId="6"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6" hidden="1">{#N/A,#N/A,FALSE,"מאזן";#N/A,#N/A,FALSE,"רווהפ";#N/A,#N/A,FALSE,"שינויים בהון";#N/A,#N/A,FALSE,"תזרים";#N/A,#N/A,FALSE,"נספח - התאמות";#N/A,#N/A,FALSE,"ני""ע לתזרים";#N/A,#N/A,FALSE,"פירוטים לדוחות"}</definedName>
    <definedName name="wrn.ALL." localSheetId="5" hidden="1">{#N/A,#N/A,FALSE,"מאזן";#N/A,#N/A,FALSE,"רווהפ";#N/A,#N/A,FALSE,"שינויים בהון";#N/A,#N/A,FALSE,"תזרים";#N/A,#N/A,FALSE,"נספח - התאמות";#N/A,#N/A,FALSE,"ני""ע לתזרים";#N/A,#N/A,FALSE,"פירוטים לדוחות"}</definedName>
    <definedName name="wrn.ALL." hidden="1">{#N/A,#N/A,FALSE,"מאזן";#N/A,#N/A,FALSE,"רווהפ";#N/A,#N/A,FALSE,"שינויים בהון";#N/A,#N/A,FALSE,"תזרים";#N/A,#N/A,FALSE,"נספח - התאמות";#N/A,#N/A,FALSE,"ני""ע לתזרים";#N/A,#N/A,FALSE,"פירוטים לדוחות"}</definedName>
    <definedName name="wrn.all._.comps." localSheetId="6" hidden="1">{"equity comps",#N/A,FALSE,"CS Comps";"equity comps",#N/A,FALSE,"PS Comps";"equity comps",#N/A,FALSE,"GIC_Comps";"equity comps",#N/A,FALSE,"GIC2_Comps";"debt comps",#N/A,FALSE,"CS Comps";"debt comps",#N/A,FALSE,"PS Comps";"debt comps",#N/A,FALSE,"GIC_Comps";"debt comps",#N/A,FALSE,"GIC2_Comps"}</definedName>
    <definedName name="wrn.all._.comps." localSheetId="5" hidden="1">{"equity comps",#N/A,FALSE,"CS Comps";"equity comps",#N/A,FALSE,"PS Comps";"equity comps",#N/A,FALSE,"GIC_Comps";"equity comps",#N/A,FALSE,"GIC2_Comps";"debt comps",#N/A,FALSE,"CS Comps";"debt comps",#N/A,FALSE,"PS Comps";"debt comps",#N/A,FALSE,"GIC_Comps";"debt comps",#N/A,FALSE,"GIC2_Comps"}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Models." localSheetId="6" hidden="1">{#N/A,#N/A,FALSE,"inc state";#N/A,#N/A,FALSE,"Products";#N/A,#N/A,FALSE,"bal sht"}</definedName>
    <definedName name="wrn.All._.Models." localSheetId="5" hidden="1">{#N/A,#N/A,FALSE,"inc state";#N/A,#N/A,FALSE,"Products";#N/A,#N/A,FALSE,"bal sht"}</definedName>
    <definedName name="wrn.All._.Models." hidden="1">{#N/A,#N/A,FALSE,"inc state";#N/A,#N/A,FALSE,"Products";#N/A,#N/A,FALSE,"bal sht"}</definedName>
    <definedName name="wrn.All._.Pages." localSheetId="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sia." localSheetId="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way." localSheetId="6" hidden="1">{"away stand alones",#N/A,FALSE,"Target"}</definedName>
    <definedName name="wrn.away." localSheetId="5" hidden="1">{"away stand alones",#N/A,FALSE,"Target"}</definedName>
    <definedName name="wrn.away." hidden="1">{"away stand alones",#N/A,FALSE,"Target"}</definedName>
    <definedName name="wrn.Back._.Page." localSheetId="6" hidden="1">{"Back Page",#N/A,FALSE,"Front and Back"}</definedName>
    <definedName name="wrn.Back._.Page." localSheetId="5" hidden="1">{"Back Page",#N/A,FALSE,"Front and Back"}</definedName>
    <definedName name="wrn.Back._.Page." hidden="1">{"Back Page",#N/A,FALSE,"Front and Back"}</definedName>
    <definedName name="wrn.Book." localSheetId="6" hidden="1">{"EVA",#N/A,FALSE,"SMT2";#N/A,#N/A,FALSE,"Summary";#N/A,#N/A,FALSE,"Graphs";#N/A,#N/A,FALSE,"4 Panel"}</definedName>
    <definedName name="wrn.Book." localSheetId="5" hidden="1">{"EVA",#N/A,FALSE,"SMT2";#N/A,#N/A,FALSE,"Summary";#N/A,#N/A,FALSE,"Graphs";#N/A,#N/A,FALSE,"4 Panel"}</definedName>
    <definedName name="wrn.Book." hidden="1">{"EVA",#N/A,FALSE,"SMT2";#N/A,#N/A,FALSE,"Summary";#N/A,#N/A,FALSE,"Graphs";#N/A,#N/A,FALSE,"4 Panel"}</definedName>
    <definedName name="wrn.budget._.balance._.sheet." localSheetId="6" hidden="1">{"bugdet992000 balance sheet",#N/A,FALSE,"Celtel alternative 6"}</definedName>
    <definedName name="wrn.budget._.balance._.sheet." localSheetId="5" hidden="1">{"bugdet992000 balance sheet",#N/A,FALSE,"Celtel alternative 6"}</definedName>
    <definedName name="wrn.budget._.balance._.sheet." hidden="1">{"bugdet992000 balance sheet",#N/A,FALSE,"Celtel alternative 6"}</definedName>
    <definedName name="wrn.budget._.capex." localSheetId="6" hidden="1">{"budget992000 capex",#N/A,FALSE,"Celtel alternative 6"}</definedName>
    <definedName name="wrn.budget._.capex." localSheetId="5" hidden="1">{"budget992000 capex",#N/A,FALSE,"Celtel alternative 6"}</definedName>
    <definedName name="wrn.budget._.capex." hidden="1">{"budget992000 capex",#N/A,FALSE,"Celtel alternative 6"}</definedName>
    <definedName name="wrn.budget._.customers." localSheetId="6" hidden="1">{"budget992000_customers",#N/A,FALSE,"Celtel alternative 6"}</definedName>
    <definedName name="wrn.budget._.customers." localSheetId="5" hidden="1">{"budget992000_customers",#N/A,FALSE,"Celtel alternative 6"}</definedName>
    <definedName name="wrn.budget._.customers." hidden="1">{"budget992000_customers",#N/A,FALSE,"Celtel alternative 6"}</definedName>
    <definedName name="wrn.budget._.profit._.and._.loss." localSheetId="6" hidden="1">{"budget992000 profit and loss",#N/A,FALSE,"Celtel alternative 6"}</definedName>
    <definedName name="wrn.budget._.profit._.and._.loss." localSheetId="5" hidden="1">{"budget992000 profit and loss",#N/A,FALSE,"Celtel alternative 6"}</definedName>
    <definedName name="wrn.budget._.profit._.and._.loss." hidden="1">{"budget992000 profit and loss",#N/A,FALSE,"Celtel alternative 6"}</definedName>
    <definedName name="wrn.budget._.tariffs._.and._.usage." localSheetId="6" hidden="1">{"budget992000 tariff and usage",#N/A,FALSE,"Celtel alternative 6"}</definedName>
    <definedName name="wrn.budget._.tariffs._.and._.usage." localSheetId="5" hidden="1">{"budget992000 tariff and usage",#N/A,FALSE,"Celtel alternative 6"}</definedName>
    <definedName name="wrn.budget._.tariffs._.and._.usage." hidden="1">{"budget992000 tariff and usage",#N/A,FALSE,"Celtel alternative 6"}</definedName>
    <definedName name="wrn.cash." localSheetId="6" hidden="1">{"assumption cash",#N/A,TRUE,"Merger";"has gets cash",#N/A,TRUE,"Merger";"accretion dilution",#N/A,TRUE,"Merger";"comparison credit stats",#N/A,TRUE,"Merger";"pf credit stats",#N/A,TRUE,"Merger";"pf sheets",#N/A,TRUE,"Merger"}</definedName>
    <definedName name="wrn.cash." localSheetId="5" hidden="1">{"assumption cash",#N/A,TRUE,"Merger";"has gets cash",#N/A,TRUE,"Merger";"accretion dilution",#N/A,TRUE,"Merger";"comparison credit stats",#N/A,TRUE,"Merger";"pf credit stats",#N/A,TRUE,"Merger";"pf sheets",#N/A,TRUE,"Merger"}</definedName>
    <definedName name="wrn.cash." hidden="1">{"assumption cash",#N/A,TRUE,"Merger";"has gets cash",#N/A,TRUE,"Merger";"accretion dilution",#N/A,TRUE,"Merger";"comparison credit stats",#N/A,TRUE,"Merger";"pf credit stats",#N/A,TRUE,"Merger";"pf sheets",#N/A,TRUE,"Merger"}</definedName>
    <definedName name="wrn.Cash._.Plan." localSheetId="6" hidden="1">{"cash plan",#N/A,FALSE,"fccashflow"}</definedName>
    <definedName name="wrn.Cash._.Plan." localSheetId="5" hidden="1">{"cash plan",#N/A,FALSE,"fccashflow"}</definedName>
    <definedName name="wrn.Cash._.Plan." hidden="1">{"cash plan",#N/A,FALSE,"fccashflow"}</definedName>
    <definedName name="wrn.Cider." localSheetId="6" hidden="1">{#N/A,#N/A,FALSE,"Cider Segment";#N/A,#N/A,FALSE,"Bulmers";#N/A,#N/A,FALSE,"Ritz";#N/A,#N/A,FALSE,"Stag";#N/A,#N/A,FALSE,"Cider Others"}</definedName>
    <definedName name="wrn.Cider." localSheetId="5" hidden="1">{#N/A,#N/A,FALSE,"Cider Segment";#N/A,#N/A,FALSE,"Bulmers";#N/A,#N/A,FALSE,"Ritz";#N/A,#N/A,FALSE,"Stag";#N/A,#N/A,FALSE,"Cider Others"}</definedName>
    <definedName name="wrn.Cider." hidden="1">{#N/A,#N/A,FALSE,"Cider Segment";#N/A,#N/A,FALSE,"Bulmers";#N/A,#N/A,FALSE,"Ritz";#N/A,#N/A,FALSE,"Stag";#N/A,#N/A,FALSE,"Cider Others"}</definedName>
    <definedName name="wrn.Complete." localSheetId="6" hidden="1">{#N/A,#N/A,FALSE,"SMT1";#N/A,#N/A,FALSE,"SMT2";#N/A,#N/A,FALSE,"Summary";#N/A,#N/A,FALSE,"Graphs";#N/A,#N/A,FALSE,"4 Panel"}</definedName>
    <definedName name="wrn.Complete." localSheetId="5" hidden="1">{#N/A,#N/A,FALSE,"SMT1";#N/A,#N/A,FALSE,"SMT2";#N/A,#N/A,FALSE,"Summary";#N/A,#N/A,FALSE,"Graphs";#N/A,#N/A,FALSE,"4 Panel"}</definedName>
    <definedName name="wrn.Complete." hidden="1">{#N/A,#N/A,FALSE,"SMT1";#N/A,#N/A,FALSE,"SMT2";#N/A,#N/A,FALSE,"Summary";#N/A,#N/A,FALSE,"Graphs";#N/A,#N/A,FALSE,"4 Panel"}</definedName>
    <definedName name="wrn.Complete._.Set." localSheetId="6" hidden="1">{#N/A,#N/A,FALSE,"Full";#N/A,#N/A,FALSE,"Half";#N/A,#N/A,FALSE,"Op Expenses";#N/A,#N/A,FALSE,"Cap Charge";#N/A,#N/A,FALSE,"Cost C";#N/A,#N/A,FALSE,"PP&amp;E";#N/A,#N/A,FALSE,"R&amp;D"}</definedName>
    <definedName name="wrn.Complete._.Set." localSheetId="5"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nsolidated._.Set." localSheetId="6" hidden="1">{"Consolidated IS w Ratios",#N/A,FALSE,"Consolidated";"Consolidated CF",#N/A,FALSE,"Consolidated";"Consolidated DCF",#N/A,FALSE,"Consolidated"}</definedName>
    <definedName name="wrn.Consolidated._.Set." localSheetId="5" hidden="1">{"Consolidated IS w Ratios",#N/A,FALSE,"Consolidated";"Consolidated CF",#N/A,FALSE,"Consolidated";"Consolidated DCF",#N/A,FALSE,"Consolidated"}</definedName>
    <definedName name="wrn.Consolidated._.Set." hidden="1">{"Consolidated IS w Ratios",#N/A,FALSE,"Consolidated";"Consolidated CF",#N/A,FALSE,"Consolidated";"Consolidated DCF",#N/A,FALSE,"Consolidated"}</definedName>
    <definedName name="wrn.CONSOLIDATION." localSheetId="6" hidden="1">{"PAGE1",#N/A,FALSE,"Consolidation";"PAGE2",#N/A,FALSE,"Consolidation";"PAGE3",#N/A,FALSE,"Consolidation";"PAGE4",#N/A,FALSE,"Consolidation";"PAGE5",#N/A,FALSE,"Consolidation";"PAGE6",#N/A,FALSE,"Consolidation";"PAGE7",#N/A,FALSE,"Consolidation"}</definedName>
    <definedName name="wrn.CONSOLIDATION." localSheetId="5"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tribution." localSheetId="6" hidden="1">{#N/A,#N/A,FALSE,"Contribution Analysis"}</definedName>
    <definedName name="wrn.contribution." localSheetId="5" hidden="1">{#N/A,#N/A,FALSE,"Contribution Analysis"}</definedName>
    <definedName name="wrn.contribution." hidden="1">{#N/A,#N/A,FALSE,"Contribution Analysis"}</definedName>
    <definedName name="wrn.contribution1" localSheetId="6" hidden="1">{#N/A,#N/A,FALSE,"Contribution Analysis"}</definedName>
    <definedName name="wrn.contribution1" localSheetId="5" hidden="1">{#N/A,#N/A,FALSE,"Contribution Analysis"}</definedName>
    <definedName name="wrn.contribution1" hidden="1">{#N/A,#N/A,FALSE,"Contribution Analysis"}</definedName>
    <definedName name="wrn.Cover." localSheetId="6" hidden="1">{"coverall",#N/A,FALSE,"Definitions";"cover1",#N/A,FALSE,"Definitions";"cover2",#N/A,FALSE,"Definitions";"cover3",#N/A,FALSE,"Definitions";"cover4",#N/A,FALSE,"Definitions";"cover5",#N/A,FALSE,"Definitions";"blank",#N/A,FALSE,"Definitions"}</definedName>
    <definedName name="wrn.Cover." localSheetId="5"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SC." localSheetId="6" hidden="1">{"page1",#N/A,TRUE,"CSC";"page2",#N/A,TRUE,"CSC"}</definedName>
    <definedName name="wrn.CSC." localSheetId="5" hidden="1">{"page1",#N/A,TRUE,"CSC";"page2",#N/A,TRUE,"CSC"}</definedName>
    <definedName name="wrn.CSC." hidden="1">{"page1",#N/A,TRUE,"CSC";"page2",#N/A,TRUE,"CSC"}</definedName>
    <definedName name="wrn.csc1" localSheetId="6" hidden="1">{"orixcsc",#N/A,FALSE,"ORIX CSC";"orixcsc2",#N/A,FALSE,"ORIX CSC"}</definedName>
    <definedName name="wrn.csc1" localSheetId="5" hidden="1">{"orixcsc",#N/A,FALSE,"ORIX CSC";"orixcsc2",#N/A,FALSE,"ORIX CSC"}</definedName>
    <definedName name="wrn.csc1" hidden="1">{"orixcsc",#N/A,FALSE,"ORIX CSC";"orixcsc2",#N/A,FALSE,"ORIX CSC"}</definedName>
    <definedName name="wrn.CSC2" localSheetId="6" hidden="1">{"page1",#N/A,TRUE,"CSC";"page2",#N/A,TRUE,"CSC"}</definedName>
    <definedName name="wrn.CSC2" localSheetId="5" hidden="1">{"page1",#N/A,TRUE,"CSC";"page2",#N/A,TRUE,"CSC"}</definedName>
    <definedName name="wrn.CSC2" hidden="1">{"page1",#N/A,TRUE,"CSC";"page2",#N/A,TRUE,"CSC"}</definedName>
    <definedName name="wrn.csc2." localSheetId="6" hidden="1">{#N/A,#N/A,FALSE,"ORIX CSC"}</definedName>
    <definedName name="wrn.csc2." localSheetId="5" hidden="1">{#N/A,#N/A,FALSE,"ORIX CSC"}</definedName>
    <definedName name="wrn.csc2." hidden="1">{#N/A,#N/A,FALSE,"ORIX CSC"}</definedName>
    <definedName name="wrn.csc3" localSheetId="6" hidden="1">{#N/A,#N/A,FALSE,"ORIX CSC"}</definedName>
    <definedName name="wrn.csc3" localSheetId="5" hidden="1">{#N/A,#N/A,FALSE,"ORIX CSC"}</definedName>
    <definedName name="wrn.csc3" hidden="1">{#N/A,#N/A,FALSE,"ORIX CSC"}</definedName>
    <definedName name="wrn.database." localSheetId="6" hidden="1">{"subs",#N/A,FALSE,"database ";"proportional",#N/A,FALSE,"database "}</definedName>
    <definedName name="wrn.database." localSheetId="5" hidden="1">{"subs",#N/A,FALSE,"database ";"proportional",#N/A,FALSE,"database "}</definedName>
    <definedName name="wrn.database." hidden="1">{"subs",#N/A,FALSE,"database ";"proportional",#N/A,FALSE,"database "}</definedName>
    <definedName name="wrn.dcf." localSheetId="6" hidden="1">{"mgmt forecast",#N/A,FALSE,"Mgmt Forecast";"dcf table",#N/A,FALSE,"Mgmt Forecast";"sensitivity",#N/A,FALSE,"Mgmt Forecast";"table inputs",#N/A,FALSE,"Mgmt Forecast";"calculations",#N/A,FALSE,"Mgmt Forecast"}</definedName>
    <definedName name="wrn.dcf." localSheetId="5"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III._.Report." localSheetId="6" hidden="1">{#N/A,#N/A,FALSE,"Cover";#N/A,#N/A,FALSE,"Pres ";#N/A,#N/A,FALSE,"Outputs";#N/A,#N/A,FALSE,"DCF ";#N/A,#N/A,FALSE,"CFS";#N/A,#N/A,FALSE,"BS";#N/A,#N/A,FALSE,"PL";#N/A,#N/A,FALSE,"Control (In)";#N/A,#N/A,FALSE,"Broker (In)";#N/A,#N/A,FALSE,"In-House (In)";#N/A,#N/A,FALSE,"WACC";#N/A,#N/A,FALSE,"Ass";#N/A,#N/A,FALSE,"Check"}</definedName>
    <definedName name="wrn.DCF._.III._.Report." localSheetId="5" hidden="1">{#N/A,#N/A,FALSE,"Cover";#N/A,#N/A,FALSE,"Pres ";#N/A,#N/A,FALSE,"Outputs";#N/A,#N/A,FALSE,"DCF ";#N/A,#N/A,FALSE,"CFS";#N/A,#N/A,FALSE,"BS";#N/A,#N/A,FALSE,"PL";#N/A,#N/A,FALSE,"Control (In)";#N/A,#N/A,FALSE,"Broker (In)";#N/A,#N/A,FALSE,"In-House (In)";#N/A,#N/A,FALSE,"WACC";#N/A,#N/A,FALSE,"Ass";#N/A,#N/A,FALSE,"Check"}</definedName>
    <definedName name="wrn.DCF._.III._.Report." hidden="1">{#N/A,#N/A,FALSE,"Cover";#N/A,#N/A,FALSE,"Pres ";#N/A,#N/A,FALSE,"Outputs";#N/A,#N/A,FALSE,"DCF ";#N/A,#N/A,FALSE,"CFS";#N/A,#N/A,FALSE,"BS";#N/A,#N/A,FALSE,"PL";#N/A,#N/A,FALSE,"Control (In)";#N/A,#N/A,FALSE,"Broker (In)";#N/A,#N/A,FALSE,"In-House (In)";#N/A,#N/A,FALSE,"WACC";#N/A,#N/A,FALSE,"Ass";#N/A,#N/A,FALSE,"Check"}</definedName>
    <definedName name="wrn.Detailed._.P._.and._.L." localSheetId="6" hidden="1">{"P and L Detail Page 1",#N/A,FALSE,"Data";"P and L Detail Page 2",#N/A,FALSE,"Data"}</definedName>
    <definedName name="wrn.Detailed._.P._.and._.L." localSheetId="5" hidden="1">{"P and L Detail Page 1",#N/A,FALSE,"Data";"P and L Detail Page 2",#N/A,FALSE,"Data"}</definedName>
    <definedName name="wrn.Detailed._.P._.and._.L." hidden="1">{"P and L Detail Page 1",#N/A,FALSE,"Data";"P and L Detail Page 2",#N/A,FALSE,"Data"}</definedName>
    <definedName name="wrn.dil_anal." localSheetId="6" hidden="1">{"hiden",#N/A,FALSE,"14";"hidden",#N/A,FALSE,"16";"hidden",#N/A,FALSE,"18";"hidden",#N/A,FALSE,"20"}</definedName>
    <definedName name="wrn.dil_anal." localSheetId="5" hidden="1">{"hiden",#N/A,FALSE,"14";"hidden",#N/A,FALSE,"16";"hidden",#N/A,FALSE,"18";"hidden",#N/A,FALSE,"20"}</definedName>
    <definedName name="wrn.dil_anal." hidden="1">{"hiden",#N/A,FALSE,"14";"hidden",#N/A,FALSE,"16";"hidden",#N/A,FALSE,"18";"hidden",#N/A,FALSE,"20"}</definedName>
    <definedName name="wrn.document." localSheetId="6" hidden="1">{"comp",#N/A,FALSE,"SPEC";"footnotes",#N/A,FALSE,"SPEC"}</definedName>
    <definedName name="wrn.document." localSheetId="5" hidden="1">{"comp",#N/A,FALSE,"SPEC";"footnotes",#N/A,FALSE,"SPEC"}</definedName>
    <definedName name="wrn.document." hidden="1">{"comp",#N/A,FALSE,"SPEC";"footnotes",#N/A,FALSE,"SPEC"}</definedName>
    <definedName name="wrn.documentaero." localSheetId="6" hidden="1">{"comps2",#N/A,FALSE,"AERO";"footnotes",#N/A,FALSE,"AERO"}</definedName>
    <definedName name="wrn.documentaero." localSheetId="5" hidden="1">{"comps2",#N/A,FALSE,"AERO";"footnotes",#N/A,FALSE,"AERO"}</definedName>
    <definedName name="wrn.documentaero." hidden="1">{"comps2",#N/A,FALSE,"AERO";"footnotes",#N/A,FALSE,"AERO"}</definedName>
    <definedName name="wrn.documenthand." localSheetId="6" hidden="1">{"comps",#N/A,FALSE,"HANDPACK";"footnotes",#N/A,FALSE,"HANDPACK"}</definedName>
    <definedName name="wrn.documenthand." localSheetId="5" hidden="1">{"comps",#N/A,FALSE,"HANDPACK";"footnotes",#N/A,FALSE,"HANDPACK"}</definedName>
    <definedName name="wrn.documenthand." hidden="1">{"comps",#N/A,FALSE,"HANDPACK";"footnotes",#N/A,FALSE,"HANDPACK"}</definedName>
    <definedName name="wrn.equity._.comps." localSheetId="6" hidden="1">{"equity comps",#N/A,FALSE,"CS Comps";"equity comps",#N/A,FALSE,"PS Comps";"equity comps",#N/A,FALSE,"GIC_Comps";"equity comps",#N/A,FALSE,"GIC2_Comps"}</definedName>
    <definedName name="wrn.equity._.comps." localSheetId="5" hidden="1">{"equity comps",#N/A,FALSE,"CS Comps";"equity comps",#N/A,FALSE,"PS Comps";"equity comps",#N/A,FALSE,"GIC_Comps";"equity comps",#N/A,FALSE,"GIC2_Comps"}</definedName>
    <definedName name="wrn.equity._.comps." hidden="1">{"equity comps",#N/A,FALSE,"CS Comps";"equity comps",#N/A,FALSE,"PS Comps";"equity comps",#N/A,FALSE,"GIC_Comps";"equity comps",#N/A,FALSE,"GIC2_Comps"}</definedName>
    <definedName name="wrn.Europe._.Base." localSheetId="6" hidden="1">{"Eur Base Top",#N/A,FALSE,"Europe Base";"Eur Base Bottom",#N/A,FALSE,"Europe Base"}</definedName>
    <definedName name="wrn.Europe._.Base." localSheetId="5" hidden="1">{"Eur Base Top",#N/A,FALSE,"Europe Base";"Eur Base Bottom",#N/A,FALSE,"Europe Base"}</definedName>
    <definedName name="wrn.Europe._.Base." hidden="1">{"Eur Base Top",#N/A,FALSE,"Europe Base";"Eur Base Bottom",#N/A,FALSE,"Europe Base"}</definedName>
    <definedName name="wrn.Europe._.Set." localSheetId="6" hidden="1">{"IS w Ratios",#N/A,FALSE,"Europe";"PF CF Europe",#N/A,FALSE,"Europe";"DCF Eur Matrix",#N/A,FALSE,"Europe"}</definedName>
    <definedName name="wrn.Europe._.Set." localSheetId="5" hidden="1">{"IS w Ratios",#N/A,FALSE,"Europe";"PF CF Europe",#N/A,FALSE,"Europe";"DCF Eur Matrix",#N/A,FALSE,"Europe"}</definedName>
    <definedName name="wrn.Europe._.Set." hidden="1">{"IS w Ratios",#N/A,FALSE,"Europe";"PF CF Europe",#N/A,FALSE,"Europe";"DCF Eur Matrix",#N/A,FALSE,"Europe"}</definedName>
    <definedName name="wrn.Exports." localSheetId="6" hidden="1">{#N/A,#N/A,FALSE,"Exports";#N/A,#N/A,FALSE,"Carolans";#N/A,#N/A,FALSE,"Irish Mist";#N/A,#N/A,FALSE,"Tullamore Dew";#N/A,#N/A,FALSE,"Other Brands Exports";#N/A,#N/A,FALSE,"Frangelico";#N/A,#N/A,FALSE,"Mondoro";#N/A,#N/A,FALSE,"Aperol";#N/A,#N/A,FALSE,"Others Exports"}</definedName>
    <definedName name="wrn.Exports." localSheetId="5" hidden="1">{#N/A,#N/A,FALSE,"Exports";#N/A,#N/A,FALSE,"Carolans";#N/A,#N/A,FALSE,"Irish Mist";#N/A,#N/A,FALSE,"Tullamore Dew";#N/A,#N/A,FALSE,"Other Brands Exports";#N/A,#N/A,FALSE,"Frangelico";#N/A,#N/A,FALSE,"Mondoro";#N/A,#N/A,FALSE,"Aperol";#N/A,#N/A,FALSE,"Others Exports"}</definedName>
    <definedName name="wrn.Exports." hidden="1">{#N/A,#N/A,FALSE,"Exports";#N/A,#N/A,FALSE,"Carolans";#N/A,#N/A,FALSE,"Irish Mist";#N/A,#N/A,FALSE,"Tullamore Dew";#N/A,#N/A,FALSE,"Other Brands Exports";#N/A,#N/A,FALSE,"Frangelico";#N/A,#N/A,FALSE,"Mondoro";#N/A,#N/A,FALSE,"Aperol";#N/A,#N/A,FALSE,"Others Exports"}</definedName>
    <definedName name="wrn.Far._.East._.Set." localSheetId="6" hidden="1">{"IS FE with Ratios",#N/A,FALSE,"Far East";"PF CF Far East",#N/A,FALSE,"Far East";"DCF Far East Matrix",#N/A,FALSE,"Far East"}</definedName>
    <definedName name="wrn.Far._.East._.Set." localSheetId="5" hidden="1">{"IS FE with Ratios",#N/A,FALSE,"Far East";"PF CF Far East",#N/A,FALSE,"Far East";"DCF Far East Matrix",#N/A,FALSE,"Far East"}</definedName>
    <definedName name="wrn.Far._.East._.Set." hidden="1">{"IS FE with Ratios",#N/A,FALSE,"Far East";"PF CF Far East",#N/A,FALSE,"Far East";"DCF Far East Matrix",#N/A,FALSE,"Far East"}</definedName>
    <definedName name="wrn.FE._.Sensitivity." localSheetId="6" hidden="1">{"Far East Top",#N/A,FALSE,"FE Model";"Far East Mid",#N/A,FALSE,"FE Model";"Far East Base",#N/A,FALSE,"FE Model"}</definedName>
    <definedName name="wrn.FE._.Sensitivity." localSheetId="5" hidden="1">{"Far East Top",#N/A,FALSE,"FE Model";"Far East Mid",#N/A,FALSE,"FE Model";"Far East Base",#N/A,FALSE,"FE Model"}</definedName>
    <definedName name="wrn.FE._.Sensitivity." hidden="1">{"Far East Top",#N/A,FALSE,"FE Model";"Far East Mid",#N/A,FALSE,"FE Model";"Far East Base",#N/A,FALSE,"FE Model"}</definedName>
    <definedName name="wrn.Final._.Copy." localSheetId="6" hidden="1">{#N/A,#N/A,TRUE,"Assumptions";#N/A,#N/A,TRUE,"Financial  Statements";#N/A,#N/A,TRUE,"Unl. Free CF Valuation ";#N/A,#N/A,TRUE,"Funding Schedule";#N/A,#N/A,TRUE,"High Yield &amp; Equity Schedule"}</definedName>
    <definedName name="wrn.Final._.Copy." localSheetId="5" hidden="1">{#N/A,#N/A,TRUE,"Assumptions";#N/A,#N/A,TRUE,"Financial  Statements";#N/A,#N/A,TRUE,"Unl. Free CF Valuation ";#N/A,#N/A,TRUE,"Funding Schedule";#N/A,#N/A,TRUE,"High Yield &amp; Equity Schedule"}</definedName>
    <definedName name="wrn.Final._.Copy." hidden="1">{#N/A,#N/A,TRUE,"Assumptions";#N/A,#N/A,TRUE,"Financial  Statements";#N/A,#N/A,TRUE,"Unl. Free CF Valuation ";#N/A,#N/A,TRUE,"Funding Schedule";#N/A,#N/A,TRUE,"High Yield &amp; Equity Schedule"}</definedName>
    <definedName name="wrn.financial._.model." localSheetId="6" hidden="1">{#N/A,#N/A,FALSE,"Financials";#N/A,#N/A,FALSE,"B.S.";#N/A,#N/A,FALSE,"Costs";#N/A,#N/A,FALSE,"Fixed Assets";#N/A,#N/A,FALSE,"DCF";#N/A,#N/A,FALSE,"AVP"}</definedName>
    <definedName name="wrn.financial._.model." localSheetId="5" hidden="1">{#N/A,#N/A,FALSE,"Financials";#N/A,#N/A,FALSE,"B.S.";#N/A,#N/A,FALSE,"Costs";#N/A,#N/A,FALSE,"Fixed Assets";#N/A,#N/A,FALSE,"DCF";#N/A,#N/A,FALSE,"AVP"}</definedName>
    <definedName name="wrn.financial._.model." hidden="1">{#N/A,#N/A,FALSE,"Financials";#N/A,#N/A,FALSE,"B.S.";#N/A,#N/A,FALSE,"Costs";#N/A,#N/A,FALSE,"Fixed Assets";#N/A,#N/A,FALSE,"DCF";#N/A,#N/A,FALSE,"AVP"}</definedName>
    <definedName name="wrn.Financial._.Output." localSheetId="6" hidden="1">{"P and L",#N/A,FALSE,"Financial Output";"Cashflow",#N/A,FALSE,"Financial Output";"Balance Sheet",#N/A,FALSE,"Financial Output"}</definedName>
    <definedName name="wrn.Financial._.Output." localSheetId="5"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ve._.Year._.Record." localSheetId="6" hidden="1">{"Five Year Record",#N/A,FALSE,"Front and Back"}</definedName>
    <definedName name="wrn.Five._.Year._.Record." localSheetId="5" hidden="1">{"Five Year Record",#N/A,FALSE,"Front and Back"}</definedName>
    <definedName name="wrn.Five._.Year._.Record." hidden="1">{"Five Year Record",#N/A,FALSE,"Front and Back"}</definedName>
    <definedName name="wrn.Front._.Page." localSheetId="6" hidden="1">{"Front Page",#N/A,FALSE,"Front and Back"}</definedName>
    <definedName name="wrn.Front._.Page." localSheetId="5" hidden="1">{"Front Page",#N/A,FALSE,"Front and Back"}</definedName>
    <definedName name="wrn.Front._.Page." hidden="1">{"Front Page",#N/A,FALSE,"Front and Back"}</definedName>
    <definedName name="wrn.full." localSheetId="6" hidden="1">{#N/A,#N/A,FALSE,"Cover";#N/A,#N/A,FALSE,"Pres ";#N/A,#N/A,FALSE,"Scope";#N/A,#N/A,FALSE,"Summary";#N/A,#N/A,FALSE,"Summary (2)";#N/A,#N/A,FALSE,"Control (In)";#N/A,#N/A,FALSE,"Financials (In)";#N/A,#N/A,FALSE,"Returns"}</definedName>
    <definedName name="wrn.full." localSheetId="5" hidden="1">{#N/A,#N/A,FALSE,"Cover";#N/A,#N/A,FALSE,"Pres ";#N/A,#N/A,FALSE,"Scope";#N/A,#N/A,FALSE,"Summary";#N/A,#N/A,FALSE,"Summary (2)";#N/A,#N/A,FALSE,"Control (In)";#N/A,#N/A,FALSE,"Financials (In)";#N/A,#N/A,FALSE,"Returns"}</definedName>
    <definedName name="wrn.full." hidden="1">{#N/A,#N/A,FALSE,"Cover";#N/A,#N/A,FALSE,"Pres ";#N/A,#N/A,FALSE,"Scope";#N/A,#N/A,FALSE,"Summary";#N/A,#N/A,FALSE,"Summary (2)";#N/A,#N/A,FALSE,"Control (In)";#N/A,#N/A,FALSE,"Financials (In)";#N/A,#N/A,FALSE,"Returns"}</definedName>
    <definedName name="wrn.Full._.model." localSheetId="6" hidden="1">{#N/A,#N/A,TRUE,"Cover sheet";#N/A,#N/A,TRUE,"Summary";#N/A,#N/A,TRUE,"Key Assumptions";#N/A,#N/A,TRUE,"Profit &amp; Loss";#N/A,#N/A,TRUE,"Balance Sheet";#N/A,#N/A,TRUE,"Cashflow";#N/A,#N/A,TRUE,"IRR";#N/A,#N/A,TRUE,"Ratios";#N/A,#N/A,TRUE,"Debt analysis"}</definedName>
    <definedName name="wrn.Full._.model." localSheetId="5" hidden="1">{#N/A,#N/A,TRUE,"Cover sheet";#N/A,#N/A,TRUE,"Summary";#N/A,#N/A,TRUE,"Key Assumptions";#N/A,#N/A,TRUE,"Profit &amp; Loss";#N/A,#N/A,TRUE,"Balance Sheet";#N/A,#N/A,TRUE,"Cashflow";#N/A,#N/A,TRUE,"IRR";#N/A,#N/A,TRUE,"Ratios";#N/A,#N/A,TRUE,"Debt analysis"}</definedName>
    <definedName name="wrn.Full._.model." hidden="1">{#N/A,#N/A,TRUE,"Cover sheet";#N/A,#N/A,TRUE,"Summary";#N/A,#N/A,TRUE,"Key Assumptions";#N/A,#N/A,TRUE,"Profit &amp; Loss";#N/A,#N/A,TRUE,"Balance Sheet";#N/A,#N/A,TRUE,"Cashflow";#N/A,#N/A,TRUE,"IRR";#N/A,#N/A,TRUE,"Ratios";#N/A,#N/A,TRUE,"Debt analysis"}</definedName>
    <definedName name="wrn.Full._.without._.data." localSheetId="6"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5"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Geographic._.Trends." localSheetId="6" hidden="1">{"Geographic P1",#N/A,FALSE,"Division &amp; Geog"}</definedName>
    <definedName name="wrn.Geographic._.Trends." localSheetId="5" hidden="1">{"Geographic P1",#N/A,FALSE,"Division &amp; Geog"}</definedName>
    <definedName name="wrn.Geographic._.Trends." hidden="1">{"Geographic P1",#N/A,FALSE,"Division &amp; Geog"}</definedName>
    <definedName name="wrn.Globale." localSheetId="6" hidden="1">{#N/A,#N/A,TRUE,"Scenari";#N/A,#N/A,TRUE,"Wacc";#N/A,#N/A,TRUE,"DCF";#N/A,#N/A,TRUE,"TV";#N/A,#N/A,TRUE,"Ctrl";#N/A,#N/A,TRUE,"EVA ";#N/A,#N/A,TRUE,"Mista"}</definedName>
    <definedName name="wrn.Globale." localSheetId="5" hidden="1">{#N/A,#N/A,TRUE,"Scenari";#N/A,#N/A,TRUE,"Wacc";#N/A,#N/A,TRUE,"DCF";#N/A,#N/A,TRUE,"TV";#N/A,#N/A,TRUE,"Ctrl";#N/A,#N/A,TRUE,"EVA ";#N/A,#N/A,TRUE,"Mista"}</definedName>
    <definedName name="wrn.Globale." hidden="1">{#N/A,#N/A,TRUE,"Scenari";#N/A,#N/A,TRUE,"Wacc";#N/A,#N/A,TRUE,"DCF";#N/A,#N/A,TRUE,"TV";#N/A,#N/A,TRUE,"Ctrl";#N/A,#N/A,TRUE,"EVA ";#N/A,#N/A,TRUE,"Mista"}</definedName>
    <definedName name="wrn.Income._.and._.Cogs." localSheetId="6" hidden="1">{"Income sources",#N/A,FALSE,"budget Format - Peachtree"}</definedName>
    <definedName name="wrn.Income._.and._.Cogs." localSheetId="5" hidden="1">{"Income sources",#N/A,FALSE,"budget Format - Peachtree"}</definedName>
    <definedName name="wrn.Income._.and._.Cogs." hidden="1">{"Income sources",#N/A,FALSE,"budget Format - Peachtree"}</definedName>
    <definedName name="wrn.international." localSheetId="6" hidden="1">{"sweden",#N/A,FALSE,"Sweden";"germany",#N/A,FALSE,"Germany";"portugal",#N/A,FALSE,"Portugal";"belgium",#N/A,FALSE,"Belgium";"japan",#N/A,FALSE,"Japan ";"italy",#N/A,FALSE,"Italy";"spain",#N/A,FALSE,"Spain";"korea",#N/A,FALSE,"Korea"}</definedName>
    <definedName name="wrn.international." localSheetId="5"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taly." localSheetId="6" hidden="1">{#N/A,#N/A,FALSE,"Italy";#N/A,#N/A,FALSE,"Aperol Italy";#N/A,#N/A,FALSE,"Aperol Soda Italy";#N/A,#N/A,FALSE,"Spumanti";#N/A,#N/A,FALSE,"Barbieri Liqueur Italy";#N/A,#N/A,FALSE,"Others Italy"}</definedName>
    <definedName name="wrn.Italy." localSheetId="5" hidden="1">{#N/A,#N/A,FALSE,"Italy";#N/A,#N/A,FALSE,"Aperol Italy";#N/A,#N/A,FALSE,"Aperol Soda Italy";#N/A,#N/A,FALSE,"Spumanti";#N/A,#N/A,FALSE,"Barbieri Liqueur Italy";#N/A,#N/A,FALSE,"Others Italy"}</definedName>
    <definedName name="wrn.Italy." hidden="1">{#N/A,#N/A,FALSE,"Italy";#N/A,#N/A,FALSE,"Aperol Italy";#N/A,#N/A,FALSE,"Aperol Soda Italy";#N/A,#N/A,FALSE,"Spumanti";#N/A,#N/A,FALSE,"Barbieri Liqueur Italy";#N/A,#N/A,FALSE,"Others Italy"}</definedName>
    <definedName name="wrn.JG._.FE._.Dollar." localSheetId="6" hidden="1">{"JG FE Top",#N/A,FALSE,"JG FE $";"JG FE Bottom",#N/A,FALSE,"JG FE $"}</definedName>
    <definedName name="wrn.JG._.FE._.Dollar." localSheetId="5" hidden="1">{"JG FE Top",#N/A,FALSE,"JG FE $";"JG FE Bottom",#N/A,FALSE,"JG FE $"}</definedName>
    <definedName name="wrn.JG._.FE._.Dollar." hidden="1">{"JG FE Top",#N/A,FALSE,"JG FE $";"JG FE Bottom",#N/A,FALSE,"JG FE $"}</definedName>
    <definedName name="wrn.JG._.FE._.Yen." localSheetId="6" hidden="1">{"JG FE Top",#N/A,FALSE,"JG FE ¥";"JG FE Bottom",#N/A,FALSE,"JG FE ¥"}</definedName>
    <definedName name="wrn.JG._.FE._.Yen." localSheetId="5" hidden="1">{"JG FE Top",#N/A,FALSE,"JG FE ¥";"JG FE Bottom",#N/A,FALSE,"JG FE ¥"}</definedName>
    <definedName name="wrn.JG._.FE._.Yen." hidden="1">{"JG FE Top",#N/A,FALSE,"JG FE ¥";"JG FE Bottom",#N/A,FALSE,"JG FE ¥"}</definedName>
    <definedName name="wrn.lbo." localSheetId="6" hidden="1">{"a",#N/A,FALSE,"LBO - 100%, No Sales";"aa",#N/A,FALSE,"LBO - 100%, No Sales";"aaa",#N/A,FALSE,"LBO - 100%, No Sales";"aaaa",#N/A,FALSE,"LBO - 100%, No Sales";"aaaaa",#N/A,FALSE,"LBO - 100%, No Sales";"aaaaaa",#N/A,FALSE,"LBO - 100%, No Sales";"aaaaaaa",#N/A,FALSE,"LBO - 100%, No Sales";"aaaaaaaa",#N/A,FALSE,"LBO - 100%, No Sales"}</definedName>
    <definedName name="wrn.lbo." localSheetId="5" hidden="1">{"a",#N/A,FALSE,"LBO - 100%, No Sales";"aa",#N/A,FALSE,"LBO - 100%, No Sales";"aaa",#N/A,FALSE,"LBO - 100%, No Sales";"aaaa",#N/A,FALSE,"LBO - 100%, No Sales";"aaaaa",#N/A,FALSE,"LBO - 100%, No Sales";"aaaaaa",#N/A,FALSE,"LBO - 100%, No Sales";"aaaaaaa",#N/A,FALSE,"LBO - 100%, No Sales";"aaaaaaaa",#N/A,FALSE,"LBO - 100%, No Sales"}</definedName>
    <definedName name="wrn.lbo." hidden="1">{"a",#N/A,FALSE,"LBO - 100%, No Sales";"aa",#N/A,FALSE,"LBO - 100%, No Sales";"aaa",#N/A,FALSE,"LBO - 100%, No Sales";"aaaa",#N/A,FALSE,"LBO - 100%, No Sales";"aaaaa",#N/A,FALSE,"LBO - 100%, No Sales";"aaaaaa",#N/A,FALSE,"LBO - 100%, No Sales";"aaaaaaa",#N/A,FALSE,"LBO - 100%, No Sales";"aaaaaaaa",#N/A,FALSE,"LBO - 100%, No Sales"}</definedName>
    <definedName name="wrn.lbo2." localSheetId="6"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localSheetId="5"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3." localSheetId="6" hidden="1">{"a",#N/A,FALSE,"LBO - 100%, Sell C,CT 98......";"aa",#N/A,FALSE,"LBO - 100%, Sell C,CT 98......";"aaa",#N/A,FALSE,"LBO - 100%, Sell C,CT 98......";"aaaa",#N/A,FALSE,"LBO - 100%, Sell C,CT 98......";"aaaaa",#N/A,FALSE,"LBO - 100%, Sell C,CT 98......";"aaaaaa",#N/A,FALSE,"LBO - 100%, Sell C,CT 98......"}</definedName>
    <definedName name="wrn.lbo3." localSheetId="5" hidden="1">{"a",#N/A,FALSE,"LBO - 100%, Sell C,CT 98......";"aa",#N/A,FALSE,"LBO - 100%, Sell C,CT 98......";"aaa",#N/A,FALSE,"LBO - 100%, Sell C,CT 98......";"aaaa",#N/A,FALSE,"LBO - 100%, Sell C,CT 98......";"aaaaa",#N/A,FALSE,"LBO - 100%, Sell C,CT 98......";"aaaaaa",#N/A,FALSE,"LBO - 100%, Sell C,CT 98......"}</definedName>
    <definedName name="wrn.lbo3." hidden="1">{"a",#N/A,FALSE,"LBO - 100%, Sell C,CT 98......";"aa",#N/A,FALSE,"LBO - 100%, Sell C,CT 98......";"aaa",#N/A,FALSE,"LBO - 100%, Sell C,CT 98......";"aaaa",#N/A,FALSE,"LBO - 100%, Sell C,CT 98......";"aaaaa",#N/A,FALSE,"LBO - 100%, Sell C,CT 98......";"aaaaaa",#N/A,FALSE,"LBO - 100%, Sell C,CT 98......"}</definedName>
    <definedName name="wrn.Main._.Report._.All._.Sections." localSheetId="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erger." localSheetId="6"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5"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PLANS." localSheetId="6" hidden="1">{"Assumptions1",#N/A,FALSE,"Assumptions";"MergerPlans1","20yearamort",FALSE,"MergerPlans";"MergerPlans1","40yearamort",FALSE,"MergerPlans";"MergerPlans2",#N/A,FALSE,"MergerPlans";"inputs",#N/A,FALSE,"MergerPlans"}</definedName>
    <definedName name="wrn.MERGER._.PLANS." localSheetId="5" hidden="1">{"Assumptions1",#N/A,FALSE,"Assumptions";"MergerPlans1","20yearamort",FALSE,"MergerPlans";"MergerPlans1","40yearamort",FALSE,"MergerPlans";"MergerPlans2",#N/A,FALSE,"MergerPlans";"inputs",#N/A,FALSE,"MergerPlans"}</definedName>
    <definedName name="wrn.MERGER._.PLANS." hidden="1">{"Assumptions1",#N/A,FALSE,"Assumptions";"MergerPlans1","20yearamort",FALSE,"MergerPlans";"MergerPlans1","40yearamort",FALSE,"MergerPlans";"MergerPlans2",#N/A,FALSE,"MergerPlans";"inputs",#N/A,FALSE,"MergerPlans"}</definedName>
    <definedName name="wrn.MLP." localSheetId="6"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wrn.MLP." localSheetId="5"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wrn.MLP."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wrn.MLP._.scenarier." localSheetId="6" hidden="1">{#N/A,#N/A,FALSE,"Scen Kjøp sk.mynt 1";#N/A,#N/A,FALSE,"Scen-Salg sk-mynt 1";#N/A,#N/A,FALSE,"Scenario-Sjekk andre banker";#N/A,#N/A,FALSE,"Scenario - innløsning";#N/A,#N/A,FALSE,"Scenario -Giro_m_kvittering";#N/A,#N/A,FALSE,"Scenario-Giro_u_kvitt";#N/A,#N/A,FALSE,"Scenario - uttak skranke";#N/A,#N/A,FALSE,"Scenario - bedriftsinnskudd"}</definedName>
    <definedName name="wrn.MLP._.scenarier." localSheetId="5" hidden="1">{#N/A,#N/A,FALSE,"Scen Kjøp sk.mynt 1";#N/A,#N/A,FALSE,"Scen-Salg sk-mynt 1";#N/A,#N/A,FALSE,"Scenario-Sjekk andre banker";#N/A,#N/A,FALSE,"Scenario - innløsning";#N/A,#N/A,FALSE,"Scenario -Giro_m_kvittering";#N/A,#N/A,FALSE,"Scenario-Giro_u_kvitt";#N/A,#N/A,FALSE,"Scenario - uttak skranke";#N/A,#N/A,FALSE,"Scenario - bedriftsinnskudd"}</definedName>
    <definedName name="wrn.MLP._.scenarier." hidden="1">{#N/A,#N/A,FALSE,"Scen Kjøp sk.mynt 1";#N/A,#N/A,FALSE,"Scen-Salg sk-mynt 1";#N/A,#N/A,FALSE,"Scenario-Sjekk andre banker";#N/A,#N/A,FALSE,"Scenario - innløsning";#N/A,#N/A,FALSE,"Scenario -Giro_m_kvittering";#N/A,#N/A,FALSE,"Scenario-Giro_u_kvitt";#N/A,#N/A,FALSE,"Scenario - uttak skranke";#N/A,#N/A,FALSE,"Scenario - bedriftsinnskudd"}</definedName>
    <definedName name="wrn.NA._.Model._.T._.and._.B." localSheetId="6" hidden="1">{"NA Top",#N/A,FALSE,"NA Model";"NA Bottom",#N/A,FALSE,"NA Model"}</definedName>
    <definedName name="wrn.NA._.Model._.T._.and._.B." localSheetId="5" hidden="1">{"NA Top",#N/A,FALSE,"NA Model";"NA Bottom",#N/A,FALSE,"NA Model"}</definedName>
    <definedName name="wrn.NA._.Model._.T._.and._.B." hidden="1">{"NA Top",#N/A,FALSE,"NA Model";"NA Bottom",#N/A,FALSE,"NA Model"}</definedName>
    <definedName name="wrn.NA_ULV._.Tand._.B." localSheetId="6" hidden="1">{"NA Top",#N/A,FALSE,"NA-ULV";"NA Bottom",#N/A,FALSE,"NA-ULV"}</definedName>
    <definedName name="wrn.NA_ULV._.Tand._.B." localSheetId="5" hidden="1">{"NA Top",#N/A,FALSE,"NA-ULV";"NA Bottom",#N/A,FALSE,"NA-ULV"}</definedName>
    <definedName name="wrn.NA_ULV._.Tand._.B." hidden="1">{"NA Top",#N/A,FALSE,"NA-ULV";"NA Bottom",#N/A,FALSE,"NA-ULV"}</definedName>
    <definedName name="wrn.North._.America._.Set." localSheetId="6" hidden="1">{"NA Is w Ratios",#N/A,FALSE,"North America";"PF CFlow NA",#N/A,FALSE,"North America";"NA DCF Matrix",#N/A,FALSE,"North America"}</definedName>
    <definedName name="wrn.North._.America._.Set." localSheetId="5" hidden="1">{"NA Is w Ratios",#N/A,FALSE,"North America";"PF CFlow NA",#N/A,FALSE,"North America";"NA DCF Matrix",#N/A,FALSE,"North America"}</definedName>
    <definedName name="wrn.North._.America._.Set." hidden="1">{"NA Is w Ratios",#N/A,FALSE,"North America";"PF CFlow NA",#N/A,FALSE,"North America";"NA DCF Matrix",#N/A,FALSE,"North America"}</definedName>
    <definedName name="wrn.Output." localSheetId="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lbscf." localSheetId="6" hidden="1">{"p_l",#N/A,FALSE,"Summary Accounts"}</definedName>
    <definedName name="wrn.plbscf." localSheetId="5" hidden="1">{"p_l",#N/A,FALSE,"Summary Accounts"}</definedName>
    <definedName name="wrn.plbscf." hidden="1">{"p_l",#N/A,FALSE,"Summary Accounts"}</definedName>
    <definedName name="wrn.PrimeCo." localSheetId="6" hidden="1">{"print 1",#N/A,FALSE,"PrimeCo PCS";"print 2",#N/A,FALSE,"PrimeCo PCS";"valuation",#N/A,FALSE,"PrimeCo PCS"}</definedName>
    <definedName name="wrn.PrimeCo." localSheetId="5" hidden="1">{"print 1",#N/A,FALSE,"PrimeCo PCS";"print 2",#N/A,FALSE,"PrimeCo PCS";"valuation",#N/A,FALSE,"PrimeCo PCS"}</definedName>
    <definedName name="wrn.PrimeCo." hidden="1">{"print 1",#N/A,FALSE,"PrimeCo PCS";"print 2",#N/A,FALSE,"PrimeCo PCS";"valuation",#N/A,FALSE,"PrimeCo PCS"}</definedName>
    <definedName name="wrn.print." localSheetId="6" hidden="1">{#N/A,#N/A,FALSE,"FCF Corporate Services";#N/A,#N/A,FALSE,"FCF Assum Corporate Services";#N/A,#N/A,FALSE,"DCF Corp. Services Sensitivity";#N/A,#N/A,FALSE,"AVP Corporate Services";"FCF in percent",#N/A,FALSE,"FCF Corporate Services"}</definedName>
    <definedName name="wrn.print." localSheetId="5" hidden="1">{#N/A,#N/A,FALSE,"FCF Corporate Services";#N/A,#N/A,FALSE,"FCF Assum Corporate Services";#N/A,#N/A,FALSE,"DCF Corp. Services Sensitivity";#N/A,#N/A,FALSE,"AVP Corporate Services";"FCF in percent",#N/A,FALSE,"FCF Corporate Services"}</definedName>
    <definedName name="wrn.print." hidden="1">{#N/A,#N/A,FALSE,"FCF Corporate Services";#N/A,#N/A,FALSE,"FCF Assum Corporate Services";#N/A,#N/A,FALSE,"DCF Corp. Services Sensitivity";#N/A,#N/A,FALSE,"AVP Corporate Services";"FCF in percent",#N/A,FALSE,"FCF Corporate Services"}</definedName>
    <definedName name="wrn.print._.all." localSheetId="6" hidden="1">{"sum of the parts",#N/A,FALSE,"Sum-of-the-Parts";"LBO analysis",#N/A,FALSE,"LBO P&amp;L";"p&amp;L",#N/A,FALSE,"LBO P&amp;L";"cash flow",#N/A,FALSE,"CF";"cap struct",#N/A,FALSE,"LBO P&amp;L";"equity return",#N/A,FALSE,"return"}</definedName>
    <definedName name="wrn.print._.all." localSheetId="5" hidden="1">{"sum of the parts",#N/A,FALSE,"Sum-of-the-Parts";"LBO analysis",#N/A,FALSE,"LBO P&amp;L";"p&amp;L",#N/A,FALSE,"LBO P&amp;L";"cash flow",#N/A,FALSE,"CF";"cap struct",#N/A,FALSE,"LBO P&amp;L";"equity return",#N/A,FALSE,"return"}</definedName>
    <definedName name="wrn.print._.all." hidden="1">{"sum of the parts",#N/A,FALSE,"Sum-of-the-Parts";"LBO analysis",#N/A,FALSE,"LBO P&amp;L";"p&amp;L",#N/A,FALSE,"LBO P&amp;L";"cash flow",#N/A,FALSE,"CF";"cap struct",#N/A,FALSE,"LBO P&amp;L";"equity return",#N/A,FALSE,"return"}</definedName>
    <definedName name="wrn.Print._.Europe._.TandB." localSheetId="6" hidden="1">{"Print Top",#N/A,FALSE,"Europe Model";"Print Bottom",#N/A,FALSE,"Europe Model"}</definedName>
    <definedName name="wrn.Print._.Europe._.TandB." localSheetId="5" hidden="1">{"Print Top",#N/A,FALSE,"Europe Model";"Print Bottom",#N/A,FALSE,"Europe Model"}</definedName>
    <definedName name="wrn.Print._.Europe._.TandB." hidden="1">{"Print Top",#N/A,FALSE,"Europe Model";"Print Bottom",#N/A,FALSE,"Europe Model"}</definedName>
    <definedName name="wrn.Print._.FE._.T._.and._.B." localSheetId="6" hidden="1">{"Far East Top",#N/A,FALSE,"FE Model";"Far East Bottom",#N/A,FALSE,"FE Model"}</definedName>
    <definedName name="wrn.Print._.FE._.T._.and._.B." localSheetId="5" hidden="1">{"Far East Top",#N/A,FALSE,"FE Model";"Far East Bottom",#N/A,FALSE,"FE Model"}</definedName>
    <definedName name="wrn.Print._.FE._.T._.and._.B." hidden="1">{"Far East Top",#N/A,FALSE,"FE Model";"Far East Bottom",#N/A,FALSE,"FE Model"}</definedName>
    <definedName name="wrn.print._.pages." localSheetId="6" hidden="1">{#N/A,#N/A,FALSE,"Spain MKT";#N/A,#N/A,FALSE,"Assumptions";#N/A,#N/A,FALSE,"Adve";#N/A,#N/A,FALSE,"E-Commerce";#N/A,#N/A,FALSE,"Opex";#N/A,#N/A,FALSE,"P&amp;L";#N/A,#N/A,FALSE,"FCF &amp; DCF"}</definedName>
    <definedName name="wrn.print._.pages." localSheetId="5" hidden="1">{#N/A,#N/A,FALSE,"Spain MKT";#N/A,#N/A,FALSE,"Assumptions";#N/A,#N/A,FALSE,"Adve";#N/A,#N/A,FALSE,"E-Commerce";#N/A,#N/A,FALSE,"Opex";#N/A,#N/A,FALSE,"P&amp;L";#N/A,#N/A,FALSE,"FCF &amp; DCF"}</definedName>
    <definedName name="wrn.print._.pages." hidden="1">{#N/A,#N/A,FALSE,"Spain MKT";#N/A,#N/A,FALSE,"Assumptions";#N/A,#N/A,FALSE,"Adve";#N/A,#N/A,FALSE,"E-Commerce";#N/A,#N/A,FALSE,"Opex";#N/A,#N/A,FALSE,"P&amp;L";#N/A,#N/A,FALSE,"FCF &amp; DCF"}</definedName>
    <definedName name="wrn.print._.pages2." localSheetId="6" hidden="1">{#N/A,#N/A,FALSE,"Spain MKT";#N/A,#N/A,FALSE,"Assumptions";#N/A,#N/A,FALSE,"Adve";#N/A,#N/A,FALSE,"E-Commerce";#N/A,#N/A,FALSE,"Opex";#N/A,#N/A,FALSE,"P&amp;L";#N/A,#N/A,FALSE,"FCF &amp; DCF"}</definedName>
    <definedName name="wrn.print._.pages2." localSheetId="5" hidden="1">{#N/A,#N/A,FALSE,"Spain MKT";#N/A,#N/A,FALSE,"Assumptions";#N/A,#N/A,FALSE,"Adve";#N/A,#N/A,FALSE,"E-Commerce";#N/A,#N/A,FALSE,"Opex";#N/A,#N/A,FALSE,"P&amp;L";#N/A,#N/A,FALSE,"FCF &amp; DCF"}</definedName>
    <definedName name="wrn.print._.pages2." hidden="1">{#N/A,#N/A,FALSE,"Spain MKT";#N/A,#N/A,FALSE,"Assumptions";#N/A,#N/A,FALSE,"Adve";#N/A,#N/A,FALSE,"E-Commerce";#N/A,#N/A,FALSE,"Opex";#N/A,#N/A,FALSE,"P&amp;L";#N/A,#N/A,FALSE,"FCF &amp; DCF"}</definedName>
    <definedName name="wrn.print._.standalone." localSheetId="6" hidden="1">{"standalone1",#N/A,FALSE,"DCFBase";"standalone2",#N/A,FALSE,"DCFBase"}</definedName>
    <definedName name="wrn.print._.standalone." localSheetId="5" hidden="1">{"standalone1",#N/A,FALSE,"DCFBase";"standalone2",#N/A,FALSE,"DCFBase"}</definedName>
    <definedName name="wrn.print._.standalone." hidden="1">{"standalone1",#N/A,FALSE,"DCFBase";"standalone2",#N/A,FALSE,"DCFBase"}</definedName>
    <definedName name="wrn.Print_CSC." localSheetId="6" hidden="1">{"CSC_1",#N/A,FALSE,"CSC Outputs";"CSC_2",#N/A,FALSE,"CSC Outputs"}</definedName>
    <definedName name="wrn.Print_CSC." localSheetId="5" hidden="1">{"CSC_1",#N/A,FALSE,"CSC Outputs";"CSC_2",#N/A,FALSE,"CSC Outputs"}</definedName>
    <definedName name="wrn.Print_CSC." hidden="1">{"CSC_1",#N/A,FALSE,"CSC Outputs";"CSC_2",#N/A,FALSE,"CSC Outputs"}</definedName>
    <definedName name="wrn.Print_CSC2" localSheetId="6" hidden="1">{"CSC_1",#N/A,FALSE,"CSC Outputs";"CSC_2",#N/A,FALSE,"CSC Outputs"}</definedName>
    <definedName name="wrn.Print_CSC2" localSheetId="5" hidden="1">{"CSC_1",#N/A,FALSE,"CSC Outputs";"CSC_2",#N/A,FALSE,"CSC Outputs"}</definedName>
    <definedName name="wrn.Print_CSC2" hidden="1">{"CSC_1",#N/A,FALSE,"CSC Outputs";"CSC_2",#N/A,FALSE,"CSC Outputs"}</definedName>
    <definedName name="wrn.printall." localSheetId="6" hidden="1">{"projections1",#N/A,FALSE,"projections";"dcf2",#N/A,FALSE,"dcf";"dcf no profit sharing",#N/A,FALSE,"dcf no profit sharing";"avp1",#N/A,FALSE,"avp"}</definedName>
    <definedName name="wrn.printall." localSheetId="5" hidden="1">{"projections1",#N/A,FALSE,"projections";"dcf2",#N/A,FALSE,"dcf";"dcf no profit sharing",#N/A,FALSE,"dcf no profit sharing";"avp1",#N/A,FALSE,"avp"}</definedName>
    <definedName name="wrn.printall." hidden="1">{"projections1",#N/A,FALSE,"projections";"dcf2",#N/A,FALSE,"dcf";"dcf no profit sharing",#N/A,FALSE,"dcf no profit sharing";"avp1",#N/A,FALSE,"avp"}</definedName>
    <definedName name="wrn.PRo._.Forma." localSheetId="6" hidden="1">{"Pro Forma",#N/A,FALSE,"budget Format - Peachtree"}</definedName>
    <definedName name="wrn.PRo._.Forma." localSheetId="5" hidden="1">{"Pro Forma",#N/A,FALSE,"budget Format - Peachtree"}</definedName>
    <definedName name="wrn.PRo._.Forma." hidden="1">{"Pro Forma",#N/A,FALSE,"budget Format - Peachtree"}</definedName>
    <definedName name="wrn.ratios." localSheetId="6" hidden="1">{"ratios",#N/A,FALSE,"Summary Accounts"}</definedName>
    <definedName name="wrn.ratios." localSheetId="5" hidden="1">{"ratios",#N/A,FALSE,"Summary Accounts"}</definedName>
    <definedName name="wrn.ratios." hidden="1">{"ratios",#N/A,FALSE,"Summary Accounts"}</definedName>
    <definedName name="wrn.sensitivity." localSheetId="6" hidden="1">{"sensitivity",#N/A,FALSE,"Sensitivity"}</definedName>
    <definedName name="wrn.sensitivity." localSheetId="5" hidden="1">{"sensitivity",#N/A,FALSE,"Sensitivity"}</definedName>
    <definedName name="wrn.sensitivity." hidden="1">{"sensitivity",#N/A,FALSE,"Sensitivity"}</definedName>
    <definedName name="wrn.SKSCS1." localSheetId="6" hidden="1">{#N/A,#N/A,FALSE,"Antony Financials";#N/A,#N/A,FALSE,"Cowboy Financials";#N/A,#N/A,FALSE,"Combined";#N/A,#N/A,FALSE,"Valuematrix";#N/A,#N/A,FALSE,"DCFAntony";#N/A,#N/A,FALSE,"DCFCowboy";#N/A,#N/A,FALSE,"DCFCombined"}</definedName>
    <definedName name="wrn.SKSCS1." localSheetId="5"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oft._.Drinks." localSheetId="6" hidden="1">{#N/A,#N/A,FALSE,"Soft Drinks";#N/A,#N/A,FALSE,"Club Soft";#N/A,#N/A,FALSE,"Club Mixers";#N/A,#N/A,FALSE,"TK";#N/A,#N/A,FALSE,"Cidona";#N/A,#N/A,FALSE,"Britvic";#N/A,#N/A,FALSE,"Mi Wadi";#N/A,#N/A,FALSE,"Pepsi";#N/A,#N/A,FALSE,"7UP";#N/A,#N/A,FALSE,"Schweppes";#N/A,#N/A,FALSE,"Wholesale";#N/A,#N/A,FALSE,"Other Soft Drinks"}</definedName>
    <definedName name="wrn.Soft._.Drinks." localSheetId="5" hidden="1">{#N/A,#N/A,FALSE,"Soft Drinks";#N/A,#N/A,FALSE,"Club Soft";#N/A,#N/A,FALSE,"Club Mixers";#N/A,#N/A,FALSE,"TK";#N/A,#N/A,FALSE,"Cidona";#N/A,#N/A,FALSE,"Britvic";#N/A,#N/A,FALSE,"Mi Wadi";#N/A,#N/A,FALSE,"Pepsi";#N/A,#N/A,FALSE,"7UP";#N/A,#N/A,FALSE,"Schweppes";#N/A,#N/A,FALSE,"Wholesale";#N/A,#N/A,FALSE,"Other Soft Drinks"}</definedName>
    <definedName name="wrn.Soft._.Drinks." hidden="1">{#N/A,#N/A,FALSE,"Soft Drinks";#N/A,#N/A,FALSE,"Club Soft";#N/A,#N/A,FALSE,"Club Mixers";#N/A,#N/A,FALSE,"TK";#N/A,#N/A,FALSE,"Cidona";#N/A,#N/A,FALSE,"Britvic";#N/A,#N/A,FALSE,"Mi Wadi";#N/A,#N/A,FALSE,"Pepsi";#N/A,#N/A,FALSE,"7UP";#N/A,#N/A,FALSE,"Schweppes";#N/A,#N/A,FALSE,"Wholesale";#N/A,#N/A,FALSE,"Other Soft Drinks"}</definedName>
    <definedName name="wrn.Standard." localSheetId="6" hidden="1">{"Financials",#N/A,FALSE,"Financials";"AVP",#N/A,FALSE,"AVP";"DCF",#N/A,FALSE,"DCF";"CSC",#N/A,FALSE,"CSC";"Deal_Comp",#N/A,FALSE,"DealComp"}</definedName>
    <definedName name="wrn.Standard." localSheetId="5" hidden="1">{"Financials",#N/A,FALSE,"Financials";"AVP",#N/A,FALSE,"AVP";"DCF",#N/A,FALSE,"DCF";"CSC",#N/A,FALSE,"CSC";"Deal_Comp",#N/A,FALSE,"DealComp"}</definedName>
    <definedName name="wrn.Standard." hidden="1">{"Financials",#N/A,FALSE,"Financials";"AVP",#N/A,FALSE,"AVP";"DCF",#N/A,FALSE,"DCF";"CSC",#N/A,FALSE,"CSC";"Deal_Comp",#N/A,FALSE,"DealComp"}</definedName>
    <definedName name="wrn.Summary." localSheetId="6" hidden="1">{"Print Summary",#N/A,FALSE,"Bal_Graphs";"Print Summary",#N/A,FALSE,"DCF";"Print Summary",#N/A,FALSE,"Graphs";"Print Summary",#N/A,FALSE,"Summary"}</definedName>
    <definedName name="wrn.Summary." localSheetId="5" hidden="1">{"Print Summary",#N/A,FALSE,"Bal_Graphs";"Print Summary",#N/A,FALSE,"DCF";"Print Summary",#N/A,FALSE,"Graphs";"Print Summary",#N/A,FALSE,"Summary"}</definedName>
    <definedName name="wrn.Summary." hidden="1">{"Print Summary",#N/A,FALSE,"Bal_Graphs";"Print Summary",#N/A,FALSE,"DCF";"Print Summary",#N/A,FALSE,"Graphs";"Print Summary",#N/A,FALSE,"Summary"}</definedName>
    <definedName name="wrn.SummaryPgs." localSheetId="6" hidden="1">{#N/A,#N/A,FALSE,"CreditStat";#N/A,#N/A,FALSE,"SPbrkup";#N/A,#N/A,FALSE,"MerSPsyn";#N/A,#N/A,FALSE,"MerSPwKCsyn";#N/A,#N/A,FALSE,"MerSPwKCsyn (2)";#N/A,#N/A,FALSE,"CreditStat (2)"}</definedName>
    <definedName name="wrn.SummaryPgs." localSheetId="5"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test." localSheetId="6" hidden="1">{"test2",#N/A,TRUE,"Prices"}</definedName>
    <definedName name="wrn.test." localSheetId="5" hidden="1">{"test2",#N/A,TRUE,"Prices"}</definedName>
    <definedName name="wrn.test." hidden="1">{"test2",#N/A,TRUE,"Prices"}</definedName>
    <definedName name="wrn.Total._.Pack." localSheetId="6"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 localSheetId="5"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comp." localSheetId="6" hidden="1">{"comp1",#N/A,FALSE,"COMPS";"footnotes",#N/A,FALSE,"COMPS"}</definedName>
    <definedName name="wrn.totalcomp." localSheetId="5" hidden="1">{"comp1",#N/A,FALSE,"COMPS";"footnotes",#N/A,FALSE,"COMPS"}</definedName>
    <definedName name="wrn.totalcomp." hidden="1">{"comp1",#N/A,FALSE,"COMPS";"footnotes",#N/A,FALSE,"COMPS"}</definedName>
    <definedName name="wrn.Tweety." localSheetId="6" hidden="1">{#N/A,#N/A,FALSE,"A&amp;E";#N/A,#N/A,FALSE,"HighTop";#N/A,#N/A,FALSE,"JG";#N/A,#N/A,FALSE,"RI";#N/A,#N/A,FALSE,"woHT";#N/A,#N/A,FALSE,"woHT&amp;JG"}</definedName>
    <definedName name="wrn.Tweety." localSheetId="5" hidden="1">{#N/A,#N/A,FALSE,"A&amp;E";#N/A,#N/A,FALSE,"HighTop";#N/A,#N/A,FALSE,"JG";#N/A,#N/A,FALSE,"RI";#N/A,#N/A,FALSE,"woHT";#N/A,#N/A,FALSE,"woHT&amp;JG"}</definedName>
    <definedName name="wrn.Tweety." hidden="1">{#N/A,#N/A,FALSE,"A&amp;E";#N/A,#N/A,FALSE,"HighTop";#N/A,#N/A,FALSE,"JG";#N/A,#N/A,FALSE,"RI";#N/A,#N/A,FALSE,"woHT";#N/A,#N/A,FALSE,"woHT&amp;JG"}</definedName>
    <definedName name="wrn.up." localSheetId="6" hidden="1">{"up stand alones",#N/A,FALSE,"Acquiror"}</definedName>
    <definedName name="wrn.up." localSheetId="5" hidden="1">{"up stand alones",#N/A,FALSE,"Acquiror"}</definedName>
    <definedName name="wrn.up." hidden="1">{"up stand alones",#N/A,FALSE,"Acquiror"}</definedName>
    <definedName name="wrn.UTL._.Position." localSheetId="6" hidden="1">{"UTL effect",#N/A,FALSE,"Sensitivity"}</definedName>
    <definedName name="wrn.UTL._.Position." localSheetId="5" hidden="1">{"UTL effect",#N/A,FALSE,"Sensitivity"}</definedName>
    <definedName name="wrn.UTL._.Position." hidden="1">{"UTL effect",#N/A,FALSE,"Sensitivity"}</definedName>
    <definedName name="wrn.uy." localSheetId="6" hidden="1">{"yyyy",#N/A,FALSE,"A&amp;M (2)";"uuu",#N/A,FALSE,"A&amp;M (2)"}</definedName>
    <definedName name="wrn.uy." localSheetId="5" hidden="1">{"yyyy",#N/A,FALSE,"A&amp;M (2)";"uuu",#N/A,FALSE,"A&amp;M (2)"}</definedName>
    <definedName name="wrn.uy." hidden="1">{"yyyy",#N/A,FALSE,"A&amp;M (2)";"uuu",#N/A,FALSE,"A&amp;M (2)"}</definedName>
    <definedName name="wrn.valderrama." localSheetId="6" hidden="1">{"valderrama1",#N/A,FALSE,"Pro Forma";"valderrama",#N/A,FALSE,"Pro Forma"}</definedName>
    <definedName name="wrn.valderrama." localSheetId="5" hidden="1">{"valderrama1",#N/A,FALSE,"Pro Forma";"valderrama",#N/A,FALSE,"Pro Forma"}</definedName>
    <definedName name="wrn.valderrama." hidden="1">{"valderrama1",#N/A,FALSE,"Pro Forma";"valderrama",#N/A,FALSE,"Pro Forma"}</definedName>
    <definedName name="wrn.Valuation._.Package._.1." localSheetId="6"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5"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Water." localSheetId="6" hidden="1">{#N/A,#N/A,FALSE,"Water";#N/A,#N/A,FALSE,"Ballygowan";#N/A,#N/A,FALSE,"Volvic"}</definedName>
    <definedName name="wrn.Water." localSheetId="5" hidden="1">{#N/A,#N/A,FALSE,"Water";#N/A,#N/A,FALSE,"Ballygowan";#N/A,#N/A,FALSE,"Volvic"}</definedName>
    <definedName name="wrn.Water." hidden="1">{#N/A,#N/A,FALSE,"Water";#N/A,#N/A,FALSE,"Ballygowan";#N/A,#N/A,FALSE,"Volvic"}</definedName>
    <definedName name="wrn.whole._.document." localSheetId="6" hidden="1">{"page 1",#N/A,FALSE,"A";"page 2",#N/A,FALSE,"A";"page 3",#N/A,FALSE,"A";"page 4",#N/A,FALSE,"A";"page 5",#N/A,FALSE,"A";"page 6",#N/A,FALSE,"A";"page 7",#N/A,FALSE,"A";"page 8",#N/A,FALSE,"A";"page 9",#N/A,FALSE,"A";"page 10",#N/A,FALSE,"A";"page 11",#N/A,FALSE,"A";"page 12",#N/A,FALSE,"A";"page 13",#N/A,FALSE,"A";"page 14",#N/A,FALSE,"A"}</definedName>
    <definedName name="wrn.whole._.document." localSheetId="5"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6"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neSpirits." localSheetId="6" hidden="1">{#N/A,#N/A,FALSE,"W&amp;Spirits";#N/A,#N/A,FALSE,"Grants";#N/A,#N/A,FALSE,"CCB"}</definedName>
    <definedName name="wrn.WineSpirits." localSheetId="5" hidden="1">{#N/A,#N/A,FALSE,"W&amp;Spirits";#N/A,#N/A,FALSE,"Grants";#N/A,#N/A,FALSE,"CCB"}</definedName>
    <definedName name="wrn.WineSpirits." hidden="1">{#N/A,#N/A,FALSE,"W&amp;Spirits";#N/A,#N/A,FALSE,"Grants";#N/A,#N/A,FALSE,"CCB"}</definedName>
    <definedName name="wrn.מאזן_בוחן_כללי." localSheetId="6" hidden="1">{#N/A,#N/A,FALSE,"מאזן בוחן";"כל_מאזן_בוחן",#N/A,FALSE,"מאזן בוחן"}</definedName>
    <definedName name="wrn.מאזן_בוחן_כללי." localSheetId="5" hidden="1">{#N/A,#N/A,FALSE,"מאזן בוחן";"כל_מאזן_בוחן",#N/A,FALSE,"מאזן בוחן"}</definedName>
    <definedName name="wrn.מאזן_בוחן_כללי." hidden="1">{#N/A,#N/A,FALSE,"מאזן בוחן";"כל_מאזן_בוחן",#N/A,FALSE,"מאזן בוחן"}</definedName>
    <definedName name="wrn.סעיפי_מאזן_בוחן." localSheetId="6"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segferw" localSheetId="6" hidden="1">{#N/A,#N/A,FALSE,"מאזן";#N/A,#N/A,FALSE,"רווהפ";#N/A,#N/A,FALSE,"שינויים בהון";#N/A,#N/A,FALSE,"תזרים";#N/A,#N/A,FALSE,"נספח - התאמות";#N/A,#N/A,FALSE,"ני""ע לתזרים";#N/A,#N/A,FALSE,"פירוטים לדוחות"}</definedName>
    <definedName name="wsegferw" localSheetId="5" hidden="1">{#N/A,#N/A,FALSE,"מאזן";#N/A,#N/A,FALSE,"רווהפ";#N/A,#N/A,FALSE,"שינויים בהון";#N/A,#N/A,FALSE,"תזרים";#N/A,#N/A,FALSE,"נספח - התאמות";#N/A,#N/A,FALSE,"ני""ע לתזרים";#N/A,#N/A,FALSE,"פירוטים לדוחות"}</definedName>
    <definedName name="wsegferw" hidden="1">{#N/A,#N/A,FALSE,"מאזן";#N/A,#N/A,FALSE,"רווהפ";#N/A,#N/A,FALSE,"שינויים בהון";#N/A,#N/A,FALSE,"תזרים";#N/A,#N/A,FALSE,"נספח - התאמות";#N/A,#N/A,FALSE,"ני""ע לתזרים";#N/A,#N/A,FALSE,"פירוטים לדוחות"}</definedName>
    <definedName name="wvu.FULL." localSheetId="6" hidden="1">{TRUE,TRUE,1,1,600,351,FALSE,FALSE,TRUE,TRUE,0,5,#N/A,1,#N/A,12.7708333333333,25.3333333333333,1,FALSE,FALSE,1,TRUE,1,FALSE,90,"Swvu.FULL.","ACwvu.FULL.",1,FALSE,FALSE,0.393700787401575,0.393700787401575,0.196850393700787,0.196850393700787,1,"&amp;F","Page &amp;P",FALSE,FALSE,FALSE,FALSE,1,85,#N/A,#N/A,"=R1C23:R53C41","=R1:R6",#N/A,#N/A,FALSE,FALSE}</definedName>
    <definedName name="wvu.FULL." localSheetId="5" hidden="1">{TRUE,TRUE,1,1,600,351,FALSE,FALSE,TRUE,TRUE,0,5,#N/A,1,#N/A,12.7708333333333,25.3333333333333,1,FALSE,FALSE,1,TRUE,1,FALSE,90,"Swvu.FULL.","ACwvu.FULL.",1,FALSE,FALSE,0.393700787401575,0.393700787401575,0.196850393700787,0.196850393700787,1,"&amp;F","Page &amp;P",FALSE,FALSE,FALSE,FALSE,1,85,#N/A,#N/A,"=R1C23:R53C41","=R1:R6",#N/A,#N/A,FALSE,FALSE}</definedName>
    <definedName name="wvu.FULL." hidden="1">{TRUE,TRUE,1,1,600,351,FALSE,FALSE,TRUE,TRUE,0,5,#N/A,1,#N/A,12.7708333333333,25.3333333333333,1,FALSE,FALSE,1,TRUE,1,FALSE,90,"Swvu.FULL.","ACwvu.FULL.",1,FALSE,FALSE,0.393700787401575,0.393700787401575,0.196850393700787,0.196850393700787,1,"&amp;F","Page &amp;P",FALSE,FALSE,FALSE,FALSE,1,85,#N/A,#N/A,"=R1C23:R53C41","=R1:R6",#N/A,#N/A,FALSE,FALSE}</definedName>
    <definedName name="wvu.MLAIM._.PER._.THUM." localSheetId="6" hidden="1">{TRUE,TRUE,1,1,600,351,FALSE,FALSE,TRUE,TRUE,0,31,#N/A,70,#N/A,15.2567567567568,23.1,1,FALSE,FALSE,1,TRUE,1,FALSE,90,"Swvu.MLAIM._.PER._.THUM.","ACwvu.MLAIM._.PER._.THUM.",1,FALSE,FALSE,0.393700787401575,0.393700787401575,0.393700787401575,0.393700787401575,2,"&amp;F","&amp;CPage &amp;P&amp;R&amp;D&amp;T",TRUE,TRUE,FALSE,FALSE,1,85,#N/A,#N/A,"=R81C24:R109C38",FALSE,"Rwvu.MLAIM._.PER._.THUM.",#N/A,FALSE,FALSE,FALSE,1,300,300,FALSE,FALSE,TRUE,TRUE,TRUE}</definedName>
    <definedName name="wvu.MLAIM._.PER._.THUM." localSheetId="5" hidden="1">{TRUE,TRUE,1,1,600,351,FALSE,FALSE,TRUE,TRUE,0,31,#N/A,70,#N/A,15.2567567567568,23.1,1,FALSE,FALSE,1,TRUE,1,FALSE,90,"Swvu.MLAIM._.PER._.THUM.","ACwvu.MLAIM._.PER._.THUM.",1,FALSE,FALSE,0.393700787401575,0.393700787401575,0.393700787401575,0.393700787401575,2,"&amp;F","&amp;CPage &amp;P&amp;R&amp;D&amp;T",TRUE,TRUE,FALSE,FALSE,1,85,#N/A,#N/A,"=R81C24:R109C38",FALSE,"Rwvu.MLAIM._.PER._.THUM.",#N/A,FALSE,FALSE,FALSE,1,300,300,FALSE,FALSE,TRUE,TRUE,TRUE}</definedName>
    <definedName name="wvu.MLAIM._.PER._.THUM." hidden="1">{TRUE,TRUE,1,1,600,351,FALSE,FALSE,TRUE,TRUE,0,31,#N/A,70,#N/A,15.2567567567568,23.1,1,FALSE,FALSE,1,TRUE,1,FALSE,90,"Swvu.MLAIM._.PER._.THUM.","ACwvu.MLAIM._.PER._.THUM.",1,FALSE,FALSE,0.393700787401575,0.393700787401575,0.393700787401575,0.393700787401575,2,"&amp;F","&amp;CPage &amp;P&amp;R&amp;D&amp;T",TRUE,TRUE,FALSE,FALSE,1,85,#N/A,#N/A,"=R81C24:R109C38",FALSE,"Rwvu.MLAIM._.PER._.THUM.",#N/A,FALSE,FALSE,FALSE,1,300,300,FALSE,FALSE,TRUE,TRUE,TRUE}</definedName>
    <definedName name="wvu.PROJECTS._.INV_ADV." localSheetId="6" hidden="1">{TRUE,TRUE,1,1,600,351,FALSE,FALSE,TRUE,TRUE,0,19,#N/A,1,#N/A,25.6086956521739,42.7777777777778,1,FALSE,FALSE,1,TRUE,1,FALSE,50,"Swvu.PROJECTS._.INV_ADV.","ACwvu.PROJECTS._.INV_ADV.",1,FALSE,FALSE,0.393700787401575,0.393700787401575,0.196850393700787,0.590551181102362,2,"&amp;F","Page &amp;P",FALSE,FALSE,FALSE,FALSE,1,85,#N/A,#N/A,"=R1C20:R61C36","=R1:R6",#N/A,#N/A,FALSE,FALSE}</definedName>
    <definedName name="wvu.PROJECTS._.INV_ADV." localSheetId="5" hidden="1">{TRUE,TRUE,1,1,600,351,FALSE,FALSE,TRUE,TRUE,0,19,#N/A,1,#N/A,25.6086956521739,42.7777777777778,1,FALSE,FALSE,1,TRUE,1,FALSE,50,"Swvu.PROJECTS._.INV_ADV.","ACwvu.PROJECTS._.INV_ADV.",1,FALSE,FALSE,0.393700787401575,0.393700787401575,0.196850393700787,0.590551181102362,2,"&amp;F","Page &amp;P",FALSE,FALSE,FALSE,FALSE,1,85,#N/A,#N/A,"=R1C20:R61C36","=R1:R6",#N/A,#N/A,FALSE,FALSE}</definedName>
    <definedName name="wvu.PROJECTS._.INV_ADV." hidden="1">{TRUE,TRUE,1,1,600,351,FALSE,FALSE,TRUE,TRUE,0,19,#N/A,1,#N/A,25.6086956521739,42.7777777777778,1,FALSE,FALSE,1,TRUE,1,FALSE,50,"Swvu.PROJECTS._.INV_ADV.","ACwvu.PROJECTS._.INV_ADV.",1,FALSE,FALSE,0.393700787401575,0.393700787401575,0.196850393700787,0.590551181102362,2,"&amp;F","Page &amp;P",FALSE,FALSE,FALSE,FALSE,1,85,#N/A,#N/A,"=R1C20:R61C36","=R1:R6",#N/A,#N/A,FALSE,FALSE}</definedName>
    <definedName name="wvu.QUARTERLY._.PROFITS." localSheetId="6" hidden="1">{TRUE,TRUE,1,1,600,351,FALSE,FALSE,TRUE,TRUE,0,28,#N/A,1,#N/A,27.875,42.7777777777778,1,FALSE,FALSE,1,TRUE,1,FALSE,50,"Swvu.QUARTERLY._.PROFITS.","ACwvu.QUARTERLY._.PROFITS.",1,FALSE,FALSE,0.393700787401575,0.393700787401575,0.196850393700787,0.590551181102362,2,"&amp;F","Page &amp;P",FALSE,FALSE,FALSE,FALSE,1,90,#N/A,#N/A,"=R1C39:R62C52","=R1:R6",#N/A,#N/A,FALSE,FALSE}</definedName>
    <definedName name="wvu.QUARTERLY._.PROFITS." localSheetId="5" hidden="1">{TRUE,TRUE,1,1,600,351,FALSE,FALSE,TRUE,TRUE,0,28,#N/A,1,#N/A,27.875,42.7777777777778,1,FALSE,FALSE,1,TRUE,1,FALSE,50,"Swvu.QUARTERLY._.PROFITS.","ACwvu.QUARTERLY._.PROFITS.",1,FALSE,FALSE,0.393700787401575,0.393700787401575,0.196850393700787,0.590551181102362,2,"&amp;F","Page &amp;P",FALSE,FALSE,FALSE,FALSE,1,90,#N/A,#N/A,"=R1C39:R62C52","=R1:R6",#N/A,#N/A,FALSE,FALSE}</definedName>
    <definedName name="wvu.QUARTERLY._.PROFITS." hidden="1">{TRUE,TRUE,1,1,600,351,FALSE,FALSE,TRUE,TRUE,0,28,#N/A,1,#N/A,27.875,42.7777777777778,1,FALSE,FALSE,1,TRUE,1,FALSE,50,"Swvu.QUARTERLY._.PROFITS.","ACwvu.QUARTERLY._.PROFITS.",1,FALSE,FALSE,0.393700787401575,0.393700787401575,0.196850393700787,0.590551181102362,2,"&amp;F","Page &amp;P",FALSE,FALSE,FALSE,FALSE,1,90,#N/A,#N/A,"=R1C39:R62C52","=R1:R6",#N/A,#N/A,FALSE,FALSE}</definedName>
    <definedName name="wvu.REGULAR." localSheetId="6" hidden="1">{TRUE,TRUE,-0.8,-17,618,378,FALSE,FALSE,TRUE,TRUE,0,1,#N/A,4,10,18.6111111111111,6,3,FALSE,TRUE,3,TRUE,1,TRUE,90,"Swvu.REGULAR.","ACwvu.REGULAR.",1,FALSE,FALSE,0.393700787401575,0.393700787401575,0.393700787401575,0.393700787401575,2,"&amp;F","&amp;CPage &amp;P&amp;R&amp;D&amp;T",TRUE,TRUE,FALSE,FALSE,1,85,#N/A,#N/A,"=R5C1:R54C56","=R8:R9","Rwvu.REGULAR.",#N/A,FALSE,FALSE,FALSE,1,300,300,FALSE,FALSE,TRUE,TRUE,TRUE}</definedName>
    <definedName name="wvu.REGULAR." localSheetId="5" hidden="1">{TRUE,TRUE,-0.8,-17,618,378,FALSE,FALSE,TRUE,TRUE,0,1,#N/A,4,10,18.6111111111111,6,3,FALSE,TRUE,3,TRUE,1,TRUE,90,"Swvu.REGULAR.","ACwvu.REGULAR.",1,FALSE,FALSE,0.393700787401575,0.393700787401575,0.393700787401575,0.393700787401575,2,"&amp;F","&amp;CPage &amp;P&amp;R&amp;D&amp;T",TRUE,TRUE,FALSE,FALSE,1,85,#N/A,#N/A,"=R5C1:R54C56","=R8:R9","Rwvu.REGULAR.",#N/A,FALSE,FALSE,FALSE,1,300,300,FALSE,FALSE,TRUE,TRUE,TRUE}</definedName>
    <definedName name="wvu.REGULAR." hidden="1">{TRUE,TRUE,-0.8,-17,618,378,FALSE,FALSE,TRUE,TRUE,0,1,#N/A,4,10,18.6111111111111,6,3,FALSE,TRUE,3,TRUE,1,TRUE,90,"Swvu.REGULAR.","ACwvu.REGULAR.",1,FALSE,FALSE,0.393700787401575,0.393700787401575,0.393700787401575,0.393700787401575,2,"&amp;F","&amp;CPage &amp;P&amp;R&amp;D&amp;T",TRUE,TRUE,FALSE,FALSE,1,85,#N/A,#N/A,"=R5C1:R54C56","=R8:R9","Rwvu.REGULAR.",#N/A,FALSE,FALSE,FALSE,1,300,300,FALSE,FALSE,TRUE,TRUE,TRUE}</definedName>
    <definedName name="wvu.טוביה." localSheetId="6" hidden="1">{TRUE,TRUE,-0.8,-17,618,378,FALSE,FALSE,TRUE,TRUE,0,24,#N/A,4,119,14.3333333333333,6,3,FALSE,TRUE,3,TRUE,1,TRUE,90,"Swvu.טוביה.","ACwvu.טוביה.",1,FALSE,FALSE,0.393700787401575,0.393700787401575,0.393700787401575,0.393700787401575,2,"&amp;F","&amp;CPage &amp;P&amp;R&amp;D&amp;T",TRUE,TRUE,FALSE,FALSE,1,#N/A,1,1,"=R122C25:R152C37","=R8:R9","Rwvu.טוביה.",#N/A,FALSE,FALSE,FALSE,1,300,300,FALSE,FALSE,TRUE,TRUE,TRUE}</definedName>
    <definedName name="wvu.טוביה." localSheetId="5" hidden="1">{TRUE,TRUE,-0.8,-17,618,378,FALSE,FALSE,TRUE,TRUE,0,24,#N/A,4,119,14.3333333333333,6,3,FALSE,TRUE,3,TRUE,1,TRUE,90,"Swvu.טוביה.","ACwvu.טוביה.",1,FALSE,FALSE,0.393700787401575,0.393700787401575,0.393700787401575,0.393700787401575,2,"&amp;F","&amp;CPage &amp;P&amp;R&amp;D&amp;T",TRUE,TRUE,FALSE,FALSE,1,#N/A,1,1,"=R122C25:R152C37","=R8:R9","Rwvu.טוביה.",#N/A,FALSE,FALSE,FALSE,1,300,300,FALSE,FALSE,TRUE,TRUE,TRUE}</definedName>
    <definedName name="wvu.טוביה." hidden="1">{TRUE,TRUE,-0.8,-17,618,378,FALSE,FALSE,TRUE,TRUE,0,24,#N/A,4,119,14.3333333333333,6,3,FALSE,TRUE,3,TRUE,1,TRUE,90,"Swvu.טוביה.","ACwvu.טוביה.",1,FALSE,FALSE,0.393700787401575,0.393700787401575,0.393700787401575,0.393700787401575,2,"&amp;F","&amp;CPage &amp;P&amp;R&amp;D&amp;T",TRUE,TRUE,FALSE,FALSE,1,#N/A,1,1,"=R122C25:R152C37","=R8:R9","Rwvu.טוביה.",#N/A,FALSE,FALSE,FALSE,1,300,300,FALSE,FALSE,TRUE,TRUE,TRUE}</definedName>
    <definedName name="ww" localSheetId="6" hidden="1">{#N/A,#N/A,FALSE,"מאזן";#N/A,#N/A,FALSE,"רווהפ";#N/A,#N/A,FALSE,"שינויים בהון";#N/A,#N/A,FALSE,"תזרים";#N/A,#N/A,FALSE,"נספח - התאמות";#N/A,#N/A,FALSE,"ני""ע לתזרים";#N/A,#N/A,FALSE,"פירוטים לדוחות"}</definedName>
    <definedName name="ww" localSheetId="5" hidden="1">{#N/A,#N/A,FALSE,"מאזן";#N/A,#N/A,FALSE,"רווהפ";#N/A,#N/A,FALSE,"שינויים בהון";#N/A,#N/A,FALSE,"תזרים";#N/A,#N/A,FALSE,"נספח - התאמות";#N/A,#N/A,FALSE,"ני""ע לתזרים";#N/A,#N/A,FALSE,"פירוטים לדוחות"}</definedName>
    <definedName name="ww" hidden="1">{#N/A,#N/A,FALSE,"מאזן";#N/A,#N/A,FALSE,"רווהפ";#N/A,#N/A,FALSE,"שינויים בהון";#N/A,#N/A,FALSE,"תזרים";#N/A,#N/A,FALSE,"נספח - התאמות";#N/A,#N/A,FALSE,"ני""ע לתזרים";#N/A,#N/A,FALSE,"פירוטים לדוחות"}</definedName>
    <definedName name="wwww" localSheetId="6" hidden="1">{#N/A,#N/A,FALSE,"מאזן";#N/A,#N/A,FALSE,"רווהפ";#N/A,#N/A,FALSE,"שינויים בהון";#N/A,#N/A,FALSE,"תזרים";#N/A,#N/A,FALSE,"נספח - התאמות";#N/A,#N/A,FALSE,"ני""ע לתזרים";#N/A,#N/A,FALSE,"פירוטים לדוחות"}</definedName>
    <definedName name="wwww" localSheetId="5" hidden="1">{#N/A,#N/A,FALSE,"מאזן";#N/A,#N/A,FALSE,"רווהפ";#N/A,#N/A,FALSE,"שינויים בהון";#N/A,#N/A,FALSE,"תזרים";#N/A,#N/A,FALSE,"נספח - התאמות";#N/A,#N/A,FALSE,"ני""ע לתזרים";#N/A,#N/A,FALSE,"פירוטים לדוחות"}</definedName>
    <definedName name="wwww" hidden="1">{#N/A,#N/A,FALSE,"מאזן";#N/A,#N/A,FALSE,"רווהפ";#N/A,#N/A,FALSE,"שינויים בהון";#N/A,#N/A,FALSE,"תזרים";#N/A,#N/A,FALSE,"נספח - התאמות";#N/A,#N/A,FALSE,"ני""ע לתזרים";#N/A,#N/A,FALSE,"פירוטים לדוחות"}</definedName>
    <definedName name="x" localSheetId="6" hidden="1">{#N/A,#N/A,FALSE,"מאזן";#N/A,#N/A,FALSE,"רווהפ";#N/A,#N/A,FALSE,"שינויים בהון";#N/A,#N/A,FALSE,"תזרים";#N/A,#N/A,FALSE,"נספח - התאמות";#N/A,#N/A,FALSE,"ני""ע לתזרים";#N/A,#N/A,FALSE,"פירוטים לדוחות"}</definedName>
    <definedName name="x" localSheetId="5" hidden="1">{#N/A,#N/A,FALSE,"מאזן";#N/A,#N/A,FALSE,"רווהפ";#N/A,#N/A,FALSE,"שינויים בהון";#N/A,#N/A,FALSE,"תזרים";#N/A,#N/A,FALSE,"נספח - התאמות";#N/A,#N/A,FALSE,"ני""ע לתזרים";#N/A,#N/A,FALSE,"פירוטים לדוחות"}</definedName>
    <definedName name="x" hidden="1">{#N/A,#N/A,FALSE,"מאזן";#N/A,#N/A,FALSE,"רווהפ";#N/A,#N/A,FALSE,"שינויים בהון";#N/A,#N/A,FALSE,"תזרים";#N/A,#N/A,FALSE,"נספח - התאמות";#N/A,#N/A,FALSE,"ני""ע לתזרים";#N/A,#N/A,FALSE,"פירוטים לדוחות"}</definedName>
    <definedName name="xc" localSheetId="6" hidden="1">Main.SAPF4Help()</definedName>
    <definedName name="xc" localSheetId="5" hidden="1">Main.SAPF4Help()</definedName>
    <definedName name="xc" hidden="1">Main.SAPF4Help()</definedName>
    <definedName name="XRefCopy1" localSheetId="6" hidden="1">#REF!</definedName>
    <definedName name="XRefCopy1" localSheetId="5" hidden="1">#REF!</definedName>
    <definedName name="XRefCopy1" hidden="1">#REF!</definedName>
    <definedName name="XRefCopyRangeCount" hidden="1">1</definedName>
    <definedName name="xx" localSheetId="6" hidden="1">{#N/A,#N/A,FALSE,"מאזן";#N/A,#N/A,FALSE,"רווהפ";#N/A,#N/A,FALSE,"שינויים בהון";#N/A,#N/A,FALSE,"תזרים";#N/A,#N/A,FALSE,"נספח - התאמות";#N/A,#N/A,FALSE,"ני""ע לתזרים";#N/A,#N/A,FALSE,"פירוטים לדוחות"}</definedName>
    <definedName name="xx" localSheetId="5" hidden="1">{#N/A,#N/A,FALSE,"מאזן";#N/A,#N/A,FALSE,"רווהפ";#N/A,#N/A,FALSE,"שינויים בהון";#N/A,#N/A,FALSE,"תזרים";#N/A,#N/A,FALSE,"נספח - התאמות";#N/A,#N/A,FALSE,"ני""ע לתזרים";#N/A,#N/A,FALSE,"פירוטים לדוחות"}</definedName>
    <definedName name="xx" hidden="1">{#N/A,#N/A,FALSE,"מאזן";#N/A,#N/A,FALSE,"רווהפ";#N/A,#N/A,FALSE,"שינויים בהון";#N/A,#N/A,FALSE,"תזרים";#N/A,#N/A,FALSE,"נספח - התאמות";#N/A,#N/A,FALSE,"ני""ע לתזרים";#N/A,#N/A,FALSE,"פירוטים לדוחות"}</definedName>
    <definedName name="xxx" localSheetId="6" hidden="1">{#N/A,#N/A,FALSE,"מאזן";#N/A,#N/A,FALSE,"רווהפ";#N/A,#N/A,FALSE,"שינויים בהון";#N/A,#N/A,FALSE,"תזרים";#N/A,#N/A,FALSE,"נספח - התאמות";#N/A,#N/A,FALSE,"ני""ע לתזרים";#N/A,#N/A,FALSE,"פירוטים לדוחות"}</definedName>
    <definedName name="xxx" localSheetId="5" hidden="1">{#N/A,#N/A,FALSE,"מאזן";#N/A,#N/A,FALSE,"רווהפ";#N/A,#N/A,FALSE,"שינויים בהון";#N/A,#N/A,FALSE,"תזרים";#N/A,#N/A,FALSE,"נספח - התאמות";#N/A,#N/A,FALSE,"ני""ע לתזרים";#N/A,#N/A,FALSE,"פירוטים לדוחות"}</definedName>
    <definedName name="xxx" hidden="1">{#N/A,#N/A,FALSE,"מאזן";#N/A,#N/A,FALSE,"רווהפ";#N/A,#N/A,FALSE,"שינויים בהון";#N/A,#N/A,FALSE,"תזרים";#N/A,#N/A,FALSE,"נספח - התאמות";#N/A,#N/A,FALSE,"ני""ע לתזרים";#N/A,#N/A,FALSE,"פירוטים לדוחות"}</definedName>
    <definedName name="xxxx" localSheetId="6" hidden="1">{#N/A,#N/A,FALSE,"מאזן";#N/A,#N/A,FALSE,"רווהפ";#N/A,#N/A,FALSE,"שינויים בהון";#N/A,#N/A,FALSE,"תזרים";#N/A,#N/A,FALSE,"נספח - התאמות";#N/A,#N/A,FALSE,"ני""ע לתזרים";#N/A,#N/A,FALSE,"פירוטים לדוחות"}</definedName>
    <definedName name="xxxx" localSheetId="5" hidden="1">{#N/A,#N/A,FALSE,"מאזן";#N/A,#N/A,FALSE,"רווהפ";#N/A,#N/A,FALSE,"שינויים בהון";#N/A,#N/A,FALSE,"תזרים";#N/A,#N/A,FALSE,"נספח - התאמות";#N/A,#N/A,FALSE,"ני""ע לתזרים";#N/A,#N/A,FALSE,"פירוטים לדוחות"}</definedName>
    <definedName name="xxxx" hidden="1">{#N/A,#N/A,FALSE,"מאזן";#N/A,#N/A,FALSE,"רווהפ";#N/A,#N/A,FALSE,"שינויים בהון";#N/A,#N/A,FALSE,"תזרים";#N/A,#N/A,FALSE,"נספח - התאמות";#N/A,#N/A,FALSE,"ני""ע לתזרים";#N/A,#N/A,FALSE,"פירוטים לדוחות"}</definedName>
    <definedName name="xxxxx" localSheetId="6" hidden="1">{#N/A,#N/A,FALSE,"מאזן";#N/A,#N/A,FALSE,"רווהפ";#N/A,#N/A,FALSE,"שינויים בהון";#N/A,#N/A,FALSE,"תזרים";#N/A,#N/A,FALSE,"נספח - התאמות";#N/A,#N/A,FALSE,"ני""ע לתזרים";#N/A,#N/A,FALSE,"פירוטים לדוחות"}</definedName>
    <definedName name="xxxxx" localSheetId="5" hidden="1">{#N/A,#N/A,FALSE,"מאזן";#N/A,#N/A,FALSE,"רווהפ";#N/A,#N/A,FALSE,"שינויים בהון";#N/A,#N/A,FALSE,"תזרים";#N/A,#N/A,FALSE,"נספח - התאמות";#N/A,#N/A,FALSE,"ני""ע לתזרים";#N/A,#N/A,FALSE,"פירוטים לדוחות"}</definedName>
    <definedName name="xxxxx" hidden="1">{#N/A,#N/A,FALSE,"מאזן";#N/A,#N/A,FALSE,"רווהפ";#N/A,#N/A,FALSE,"שינויים בהון";#N/A,#N/A,FALSE,"תזרים";#N/A,#N/A,FALSE,"נספח - התאמות";#N/A,#N/A,FALSE,"ני""ע לתזרים";#N/A,#N/A,FALSE,"פירוטים לדוחות"}</definedName>
    <definedName name="xxxxxx" localSheetId="6" hidden="1">{"10yp graphs",#N/A,FALSE,"Market Data"}</definedName>
    <definedName name="xxxxxx" localSheetId="5" hidden="1">{"10yp graphs",#N/A,FALSE,"Market Data"}</definedName>
    <definedName name="xxxxxx" hidden="1">{"10yp graphs",#N/A,FALSE,"Market Data"}</definedName>
    <definedName name="xxxxxxxxxxxxxxxxxxxxxx" localSheetId="6" hidden="1">{"Geographic P1",#N/A,FALSE,"Division &amp; Geog"}</definedName>
    <definedName name="xxxxxxxxxxxxxxxxxxxxxx" localSheetId="5" hidden="1">{"Geographic P1",#N/A,FALSE,"Division &amp; Geog"}</definedName>
    <definedName name="xxxxxxxxxxxxxxxxxxxxxx" hidden="1">{"Geographic P1",#N/A,FALSE,"Division &amp; Geog"}</definedName>
    <definedName name="xxxxxxxxxxxxxxxxxxxxxxx" localSheetId="6" hidden="1">{"EUUTI","COMPANIES",TRUE}</definedName>
    <definedName name="xxxxxxxxxxxxxxxxxxxxxxx" localSheetId="5" hidden="1">{"EUUTI","COMPANIES",TRUE}</definedName>
    <definedName name="xxxxxxxxxxxxxxxxxxxxxxx" hidden="1">{"EUUTI","COMPANIES",TRUE}</definedName>
    <definedName name="y" hidden="1">#N/A</definedName>
    <definedName name="yhg" hidden="1">2</definedName>
    <definedName name="yuk" localSheetId="6" hidden="1">{#N/A,#N/A,FALSE,"מאזן";#N/A,#N/A,FALSE,"רווהפ";#N/A,#N/A,FALSE,"שינויים בהון";#N/A,#N/A,FALSE,"תזרים";#N/A,#N/A,FALSE,"נספח - התאמות";#N/A,#N/A,FALSE,"ני""ע לתזרים";#N/A,#N/A,FALSE,"פירוטים לדוחות"}</definedName>
    <definedName name="yuk" localSheetId="5" hidden="1">{#N/A,#N/A,FALSE,"מאזן";#N/A,#N/A,FALSE,"רווהפ";#N/A,#N/A,FALSE,"שינויים בהון";#N/A,#N/A,FALSE,"תזרים";#N/A,#N/A,FALSE,"נספח - התאמות";#N/A,#N/A,FALSE,"ני""ע לתזרים";#N/A,#N/A,FALSE,"פירוטים לדוחות"}</definedName>
    <definedName name="yuk" hidden="1">{#N/A,#N/A,FALSE,"מאזן";#N/A,#N/A,FALSE,"רווהפ";#N/A,#N/A,FALSE,"שינויים בהון";#N/A,#N/A,FALSE,"תזרים";#N/A,#N/A,FALSE,"נספח - התאמות";#N/A,#N/A,FALSE,"ני""ע לתזרים";#N/A,#N/A,FALSE,"פירוטים לדוחות"}</definedName>
    <definedName name="yuuuuuuu" localSheetId="6" hidden="1">{"ratios",#N/A,FALSE,"Summary Accounts"}</definedName>
    <definedName name="yuuuuuuu" localSheetId="5" hidden="1">{"ratios",#N/A,FALSE,"Summary Accounts"}</definedName>
    <definedName name="yuuuuuuu" hidden="1">{"ratios",#N/A,FALSE,"Summary Accounts"}</definedName>
    <definedName name="yy" localSheetId="6" hidden="1">{#N/A,#N/A,TRUE,"Cover sheet";#N/A,#N/A,TRUE,"Summary";#N/A,#N/A,TRUE,"Key Assumptions";#N/A,#N/A,TRUE,"Profit &amp; Loss";#N/A,#N/A,TRUE,"Balance Sheet";#N/A,#N/A,TRUE,"Cashflow";#N/A,#N/A,TRUE,"IRR";#N/A,#N/A,TRUE,"Ratios";#N/A,#N/A,TRUE,"Debt analysis"}</definedName>
    <definedName name="yy" localSheetId="5" hidden="1">{#N/A,#N/A,TRUE,"Cover sheet";#N/A,#N/A,TRUE,"Summary";#N/A,#N/A,TRUE,"Key Assumptions";#N/A,#N/A,TRUE,"Profit &amp; Loss";#N/A,#N/A,TRUE,"Balance Sheet";#N/A,#N/A,TRUE,"Cashflow";#N/A,#N/A,TRUE,"IRR";#N/A,#N/A,TRUE,"Ratios";#N/A,#N/A,TRUE,"Debt analysis"}</definedName>
    <definedName name="yy" hidden="1">{#N/A,#N/A,TRUE,"Cover sheet";#N/A,#N/A,TRUE,"Summary";#N/A,#N/A,TRUE,"Key Assumptions";#N/A,#N/A,TRUE,"Profit &amp; Loss";#N/A,#N/A,TRUE,"Balance Sheet";#N/A,#N/A,TRUE,"Cashflow";#N/A,#N/A,TRUE,"IRR";#N/A,#N/A,TRUE,"Ratios";#N/A,#N/A,TRUE,"Debt analysis"}</definedName>
    <definedName name="yyyyyy" localSheetId="6" hidden="1">{"p_l",#N/A,FALSE,"Summary Accounts"}</definedName>
    <definedName name="yyyyyy" localSheetId="5" hidden="1">{"p_l",#N/A,FALSE,"Summary Accounts"}</definedName>
    <definedName name="yyyyyy" hidden="1">{"p_l",#N/A,FALSE,"Summary Accounts"}</definedName>
    <definedName name="Z_244163D3_F428_11D2_BFCF_00C0F00527C6_.wvu.Cols" localSheetId="6" hidden="1">#REF!</definedName>
    <definedName name="Z_244163D3_F428_11D2_BFCF_00C0F00527C6_.wvu.Cols" localSheetId="5" hidden="1">#REF!</definedName>
    <definedName name="Z_244163D3_F428_11D2_BFCF_00C0F00527C6_.wvu.Cols" hidden="1">#REF!</definedName>
    <definedName name="Z_244163D6_F428_11D2_BFCF_00C0F00527C6_.wvu.Cols" localSheetId="6" hidden="1">#REF!</definedName>
    <definedName name="Z_244163D6_F428_11D2_BFCF_00C0F00527C6_.wvu.Cols" localSheetId="5" hidden="1">#REF!</definedName>
    <definedName name="Z_244163D6_F428_11D2_BFCF_00C0F00527C6_.wvu.Cols" hidden="1">#REF!</definedName>
    <definedName name="Z_244163D7_F428_11D2_BFCF_00C0F00527C6_.wvu.Cols" localSheetId="6" hidden="1">#REF!</definedName>
    <definedName name="Z_244163D7_F428_11D2_BFCF_00C0F00527C6_.wvu.Cols" localSheetId="5" hidden="1">#REF!</definedName>
    <definedName name="Z_244163D7_F428_11D2_BFCF_00C0F00527C6_.wvu.Cols" hidden="1">#REF!</definedName>
    <definedName name="Z_E8DE89F3_F4FC_11D2_BFCF_00C0F00527C6_.wvu.Cols" localSheetId="6" hidden="1">#REF!</definedName>
    <definedName name="Z_E8DE89F3_F4FC_11D2_BFCF_00C0F00527C6_.wvu.Cols" localSheetId="5" hidden="1">#REF!</definedName>
    <definedName name="Z_E8DE89F3_F4FC_11D2_BFCF_00C0F00527C6_.wvu.Cols" hidden="1">#REF!</definedName>
    <definedName name="Z_E8DE89F6_F4FC_11D2_BFCF_00C0F00527C6_.wvu.Cols" localSheetId="6" hidden="1">#REF!</definedName>
    <definedName name="Z_E8DE89F6_F4FC_11D2_BFCF_00C0F00527C6_.wvu.Cols" localSheetId="5" hidden="1">#REF!</definedName>
    <definedName name="Z_E8DE89F6_F4FC_11D2_BFCF_00C0F00527C6_.wvu.Cols" hidden="1">#REF!</definedName>
    <definedName name="Z_E8DE89F7_F4FC_11D2_BFCF_00C0F00527C6_.wvu.Cols" localSheetId="6" hidden="1">#REF!</definedName>
    <definedName name="Z_E8DE89F7_F4FC_11D2_BFCF_00C0F00527C6_.wvu.Cols" localSheetId="5" hidden="1">#REF!</definedName>
    <definedName name="Z_E8DE89F7_F4FC_11D2_BFCF_00C0F00527C6_.wvu.Cols" hidden="1">#REF!</definedName>
    <definedName name="Z_F9458233_F4AC_11D2_BFCF_00C0F00527C6_.wvu.Cols" localSheetId="6" hidden="1">#REF!</definedName>
    <definedName name="Z_F9458233_F4AC_11D2_BFCF_00C0F00527C6_.wvu.Cols" localSheetId="5" hidden="1">#REF!</definedName>
    <definedName name="Z_F9458233_F4AC_11D2_BFCF_00C0F00527C6_.wvu.Cols" hidden="1">#REF!</definedName>
    <definedName name="Z_F9458236_F4AC_11D2_BFCF_00C0F00527C6_.wvu.Cols" localSheetId="6" hidden="1">#REF!</definedName>
    <definedName name="Z_F9458236_F4AC_11D2_BFCF_00C0F00527C6_.wvu.Cols" localSheetId="5" hidden="1">#REF!</definedName>
    <definedName name="Z_F9458236_F4AC_11D2_BFCF_00C0F00527C6_.wvu.Cols" hidden="1">#REF!</definedName>
    <definedName name="Z_F9458237_F4AC_11D2_BFCF_00C0F00527C6_.wvu.Cols" localSheetId="6" hidden="1">#REF!</definedName>
    <definedName name="Z_F9458237_F4AC_11D2_BFCF_00C0F00527C6_.wvu.Cols" localSheetId="5" hidden="1">#REF!</definedName>
    <definedName name="Z_F9458237_F4AC_11D2_BFCF_00C0F00527C6_.wvu.Cols" hidden="1">#REF!</definedName>
    <definedName name="ZZ" localSheetId="6">#REF!</definedName>
    <definedName name="ZZ" localSheetId="5">#REF!</definedName>
    <definedName name="ZZ">#REF!</definedName>
    <definedName name="zzzz" localSheetId="6" hidden="1">{"EUUTI","COMPANIES",TRUE}</definedName>
    <definedName name="zzzz" localSheetId="5" hidden="1">{"EUUTI","COMPANIES",TRUE}</definedName>
    <definedName name="zzzz" hidden="1">{"EUUTI","COMPANIES",TRUE}</definedName>
    <definedName name="zzzzz" localSheetId="6" hidden="1">{"EUUTI","COMPANIES",TRUE}</definedName>
    <definedName name="zzzzz" localSheetId="5" hidden="1">{"EUUTI","COMPANIES",TRUE}</definedName>
    <definedName name="zzzzz" hidden="1">{"EUUTI","COMPANIES",TRUE}</definedName>
    <definedName name="אאא" localSheetId="6" hidden="1">{#N/A,#N/A,FALSE,"מאזן בוחן";"כל_מאזן_בוחן",#N/A,FALSE,"מאזן בוחן"}</definedName>
    <definedName name="אאא" localSheetId="5" hidden="1">{#N/A,#N/A,FALSE,"מאזן בוחן";"כל_מאזן_בוחן",#N/A,FALSE,"מאזן בוחן"}</definedName>
    <definedName name="אאא" hidden="1">{#N/A,#N/A,FALSE,"מאזן בוחן";"כל_מאזן_בוחן",#N/A,FALSE,"מאזן בוחן"}</definedName>
    <definedName name="אאא1" localSheetId="6" hidden="1">{#N/A,#N/A,FALSE,"מאזן בוחן";"כל_מאזן_בוחן",#N/A,FALSE,"מאזן בוחן"}</definedName>
    <definedName name="אאא1" localSheetId="5" hidden="1">{#N/A,#N/A,FALSE,"מאזן בוחן";"כל_מאזן_בוחן",#N/A,FALSE,"מאזן בוחן"}</definedName>
    <definedName name="אאא1" hidden="1">{#N/A,#N/A,FALSE,"מאזן בוחן";"כל_מאזן_בוחן",#N/A,FALSE,"מאזן בוחן"}</definedName>
    <definedName name="אגרוזן">#REF!</definedName>
    <definedName name="אוגוסט">[38]index!$B$9</definedName>
    <definedName name="אוקטובר" localSheetId="6">'[39]תעודה א'!#REF!</definedName>
    <definedName name="אוקטובר" localSheetId="5">'[40]תעודה א'!#REF!</definedName>
    <definedName name="אוקטובר">'[39]תעודה א'!#REF!</definedName>
    <definedName name="אפריל">[38]index!$B$5</definedName>
    <definedName name="באור_זכאים" localSheetId="6">#REF!</definedName>
    <definedName name="באור_זכאים" localSheetId="5">#REF!</definedName>
    <definedName name="באור_זכאים">#REF!</definedName>
    <definedName name="באורים">#REF!</definedName>
    <definedName name="בחירה" localSheetId="6">#REF!</definedName>
    <definedName name="בחירה" localSheetId="5">#REF!</definedName>
    <definedName name="בחירה">#REF!</definedName>
    <definedName name="בככ" localSheetId="6"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localSheetId="6"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ג300">#REF!</definedName>
    <definedName name="ג311" localSheetId="5">#REF!</definedName>
    <definedName name="ג311">#REF!</definedName>
    <definedName name="גשא14" localSheetId="6">#REF!</definedName>
    <definedName name="גשא14" localSheetId="5">#REF!</definedName>
    <definedName name="גשא14">#REF!</definedName>
    <definedName name="דוח_רווח_והפסד" localSheetId="6">#REF!</definedName>
    <definedName name="דוח_רווח_והפסד" localSheetId="5">#REF!</definedName>
    <definedName name="דוח_רווח_והפסד">#REF!</definedName>
    <definedName name="דוח_תאום_שממ" localSheetId="6">#REF!</definedName>
    <definedName name="דוח_תאום_שממ" localSheetId="5">#REF!</definedName>
    <definedName name="דוח_תאום_שממ">#REF!</definedName>
    <definedName name="דוח_תזרים_הגשה">#REF!</definedName>
    <definedName name="דולר">[41]פרטים!$D$5</definedName>
    <definedName name="דיווח_עודפות">'[42]שמ"מ מ"ה'!#REF!</definedName>
    <definedName name="דצמבר">[38]index!$B$13</definedName>
    <definedName name="דצמברשנהקודמת">[38]index!$B$1</definedName>
    <definedName name="ה72" localSheetId="5">#REF!</definedName>
    <definedName name="ה72">#REF!</definedName>
    <definedName name="הוצאות" localSheetId="6">#REF!</definedName>
    <definedName name="הוצאות" localSheetId="5">#REF!</definedName>
    <definedName name="הוצאות">#REF!</definedName>
    <definedName name="הוצאות_הנהלה">'[43]הנה"כ'!$A$1:$X$37,'[43]הנה"כ'!$A$46:$H$57</definedName>
    <definedName name="הוצאות_הנהלה_נומינליות" localSheetId="6">#REF!</definedName>
    <definedName name="הוצאות_הנהלה_נומינליות" localSheetId="5">#REF!</definedName>
    <definedName name="הוצאות_הנהלה_נומינליות">#REF!</definedName>
    <definedName name="הוצאות_מימון_95" localSheetId="6">[44]דוחות!#REF!</definedName>
    <definedName name="הוצאות_מימון_95" localSheetId="5">[44]דוחות!#REF!</definedName>
    <definedName name="הוצאות_מימון_95">[44]דוחות!#REF!</definedName>
    <definedName name="הוצאות_מכירה">'[43]מכירה - 1996'!$A$1:$AA$46,'[43]מכירה - 1996'!$A$50:$J$65</definedName>
    <definedName name="הוצאות_מכירה_נומינליות" localSheetId="6">#REF!,#REF!,#REF!,#REF!,#REF!,#REF!,#REF!,#REF!,#REF!,#REF!,#REF!</definedName>
    <definedName name="הוצאות_מכירה_נומינליות" localSheetId="5">#REF!,#REF!,#REF!,#REF!,#REF!,#REF!,#REF!,#REF!,#REF!,#REF!,#REF!</definedName>
    <definedName name="הוצאות_מכירה_נומינליות">#REF!,#REF!,#REF!,#REF!,#REF!,#REF!,#REF!,#REF!,#REF!,#REF!,#REF!</definedName>
    <definedName name="הכנסות" localSheetId="6">#REF!</definedName>
    <definedName name="הכנסות" localSheetId="5">#REF!</definedName>
    <definedName name="הכנסות">#REF!</definedName>
    <definedName name="הנהלה_1997" localSheetId="6">#REF!,#REF!</definedName>
    <definedName name="הנהלה_1997" localSheetId="5">#REF!,#REF!</definedName>
    <definedName name="הנהלה_1997">#REF!,#REF!</definedName>
    <definedName name="הצגת_פעולות_נוספות" localSheetId="6">#REF!</definedName>
    <definedName name="הצגת_פעולות_נוספות" localSheetId="5">#REF!</definedName>
    <definedName name="הצגת_פעולות_נוספות">#REF!</definedName>
    <definedName name="הרכבה" localSheetId="6">#REF!,#REF!</definedName>
    <definedName name="הרכבה" localSheetId="5">#REF!,#REF!</definedName>
    <definedName name="הרכבה">#REF!,#REF!</definedName>
    <definedName name="השקעה" localSheetId="6">#REF!</definedName>
    <definedName name="השקעה" localSheetId="5">#REF!</definedName>
    <definedName name="השקעה">#REF!</definedName>
    <definedName name="התאמס2" localSheetId="6">#REF!</definedName>
    <definedName name="התאמס2" localSheetId="5">#REF!</definedName>
    <definedName name="התאמס2">#REF!</definedName>
    <definedName name="התאמת_יתרות_פתיחה" localSheetId="6">#REF!</definedName>
    <definedName name="התאמת_יתרות_פתיחה" localSheetId="5">#REF!</definedName>
    <definedName name="התאמת_יתרות_פתיחה">#REF!</definedName>
    <definedName name="חוז_מס" localSheetId="6">#REF!</definedName>
    <definedName name="חוז_מס" localSheetId="5">#REF!</definedName>
    <definedName name="חוז_מס">#REF!</definedName>
    <definedName name="חח" localSheetId="6" hidden="1">{#N/A,#N/A,FALSE,"מאזן בוחן";"כל_מאזן_בוחן",#N/A,FALSE,"מאזן בוחן"}</definedName>
    <definedName name="חח" localSheetId="5" hidden="1">{#N/A,#N/A,FALSE,"מאזן בוחן";"כל_מאזן_בוחן",#N/A,FALSE,"מאזן בוחן"}</definedName>
    <definedName name="חח" hidden="1">{#N/A,#N/A,FALSE,"מאזן בוחן";"כל_מאזן_בוחן",#N/A,FALSE,"מאזן בוחן"}</definedName>
    <definedName name="טור_איחוד">#REF!</definedName>
    <definedName name="טטט" localSheetId="6">#REF!</definedName>
    <definedName name="טטט" localSheetId="5">#REF!</definedName>
    <definedName name="טטט">#REF!</definedName>
    <definedName name="יולי">[38]index!$B$8</definedName>
    <definedName name="יוני" localSheetId="6">'[39]תעודה א'!#REF!</definedName>
    <definedName name="יוני" localSheetId="5">'[40]תעודה א'!#REF!</definedName>
    <definedName name="יוני">'[39]תעודה א'!#REF!</definedName>
    <definedName name="ינואר" localSheetId="6">'[39]תעודה א'!#REF!</definedName>
    <definedName name="ינואר" localSheetId="5">'[40]תעודה א'!#REF!</definedName>
    <definedName name="ינואר">'[39]תעודה א'!#REF!</definedName>
    <definedName name="ככ" localSheetId="6" hidden="1">{#N/A,#N/A,FALSE,"מאזן בוחן";"כל_מאזן_בוחן",#N/A,FALSE,"מאזן בוחן"}</definedName>
    <definedName name="ככ" localSheetId="5" hidden="1">{#N/A,#N/A,FALSE,"מאזן בוחן";"כל_מאזן_בוחן",#N/A,FALSE,"מאזן בוחן"}</definedName>
    <definedName name="ככ" hidden="1">{#N/A,#N/A,FALSE,"מאזן בוחן";"כל_מאזן_בוחן",#N/A,FALSE,"מאזן בוחן"}</definedName>
    <definedName name="כללי" localSheetId="5">'[45]שמ"מ מ"ה'!#REF!</definedName>
    <definedName name="כללי">'[46]שמ"מ מ"ה'!#REF!</definedName>
    <definedName name="להדפסהטוביה_ישן" localSheetId="6">#REF!</definedName>
    <definedName name="להדפסהטוביה_ישן" localSheetId="5">#REF!</definedName>
    <definedName name="להדפסהטוביה_ישן">#REF!</definedName>
    <definedName name="להפדפסה_סה_חדש" localSheetId="6">#REF!</definedName>
    <definedName name="להפדפסה_סה_חדש" localSheetId="5">#REF!</definedName>
    <definedName name="להפדפסה_סה_חדש">#REF!</definedName>
    <definedName name="לחחו" localSheetId="6">#REF!</definedName>
    <definedName name="לחחו" localSheetId="5">#REF!</definedName>
    <definedName name="לחחו">#REF!</definedName>
    <definedName name="לל" localSheetId="6" hidden="1">{#N/A,#N/A,FALSE,"מאזן בוחן";"כל_מאזן_בוחן",#N/A,FALSE,"מאזן בוחן"}</definedName>
    <definedName name="לל" localSheetId="5" hidden="1">{#N/A,#N/A,FALSE,"מאזן בוחן";"כל_מאזן_בוחן",#N/A,FALSE,"מאזן בוחן"}</definedName>
    <definedName name="לל" hidden="1">{#N/A,#N/A,FALSE,"מאזן בוחן";"כל_מאזן_בוחן",#N/A,FALSE,"מאזן בוחן"}</definedName>
    <definedName name="מ" localSheetId="6"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אזן" localSheetId="6">#REF!</definedName>
    <definedName name="מאזן" localSheetId="5">#REF!</definedName>
    <definedName name="מאזן">#REF!</definedName>
    <definedName name="מאזן_אקטיב" localSheetId="6">#REF!</definedName>
    <definedName name="מאזן_אקטיב" localSheetId="5">#REF!</definedName>
    <definedName name="מאזן_אקטיב">#REF!</definedName>
    <definedName name="מאזן_אקטיב_הגשה">#REF!</definedName>
    <definedName name="מאזן_בוחן_כללי_1" localSheetId="6" hidden="1">{#N/A,#N/A,FALSE,"מאזן בוחן";"כל_מאזן_בוחן",#N/A,FALSE,"מאזן בוחן"}</definedName>
    <definedName name="מאזן_בוחן_כללי_1" localSheetId="5" hidden="1">{#N/A,#N/A,FALSE,"מאזן בוחן";"כל_מאזן_בוחן",#N/A,FALSE,"מאזן בוחן"}</definedName>
    <definedName name="מאזן_בוחן_כללי_1" hidden="1">{#N/A,#N/A,FALSE,"מאזן בוחן";"כל_מאזן_בוחן",#N/A,FALSE,"מאזן בוחן"}</definedName>
    <definedName name="מאזן_בוחן_כללי1" localSheetId="6" hidden="1">{#N/A,#N/A,FALSE,"מאזן בוחן";"כל_מאזן_בוחן",#N/A,FALSE,"מאזן בוחן"}</definedName>
    <definedName name="מאזן_בוחן_כללי1" localSheetId="5" hidden="1">{#N/A,#N/A,FALSE,"מאזן בוחן";"כל_מאזן_בוחן",#N/A,FALSE,"מאזן בוחן"}</definedName>
    <definedName name="מאזן_בוחן_כללי1" hidden="1">{#N/A,#N/A,FALSE,"מאזן בוחן";"כל_מאזן_בוחן",#N/A,FALSE,"מאזן בוחן"}</definedName>
    <definedName name="מאזן_בוחן_סופי">'[47]פקודות נוספות קדנט בע"מ'!$W$4:$W$150</definedName>
    <definedName name="מאזן_פאסיב" localSheetId="6">#REF!</definedName>
    <definedName name="מאזן_פאסיב" localSheetId="5">#REF!</definedName>
    <definedName name="מאזן_פאסיב">#REF!</definedName>
    <definedName name="מאזן_פאסיב_הגשה">#REF!</definedName>
    <definedName name="מאי" localSheetId="6">'[39]תעודה א'!#REF!</definedName>
    <definedName name="מאי" localSheetId="5">'[40]תעודה א'!#REF!</definedName>
    <definedName name="מאי">'[39]תעודה א'!#REF!</definedName>
    <definedName name="מכירה" localSheetId="6">#REF!</definedName>
    <definedName name="מכירה" localSheetId="5">#REF!</definedName>
    <definedName name="מכירה">#REF!</definedName>
    <definedName name="מכירה_מותאם" localSheetId="6">#REF!</definedName>
    <definedName name="מכירה_מותאם" localSheetId="5">#REF!</definedName>
    <definedName name="מכירה_מותאם">#REF!</definedName>
    <definedName name="מלאי_בסניפים" localSheetId="6">#REF!,#REF!,#REF!,#REF!</definedName>
    <definedName name="מלאי_בסניפים" localSheetId="5">#REF!,#REF!,#REF!,#REF!</definedName>
    <definedName name="מלאי_בסניפים">#REF!,#REF!,#REF!,#REF!</definedName>
    <definedName name="מלאים" localSheetId="6">#REF!</definedName>
    <definedName name="מלאים" localSheetId="5">#REF!</definedName>
    <definedName name="מלאים">#REF!</definedName>
    <definedName name="מסצפוי">'[15]מס צפוי2000'!$A$1:$J$29,'[15]מס צפוי2000'!$A$30:$L$59,'[15]מס צפוי2000'!$A$60:$K$76</definedName>
    <definedName name="מע09" localSheetId="6">#REF!</definedName>
    <definedName name="מע09" localSheetId="5">#REF!</definedName>
    <definedName name="מע09">#REF!</definedName>
    <definedName name="מעגל_בק_מס" localSheetId="6">#REF!</definedName>
    <definedName name="מעגל_בק_מס" localSheetId="5">#REF!</definedName>
    <definedName name="מעגל_בק_מס">#REF!</definedName>
    <definedName name="מקדם_התאמה_מכירה_והנהלה" localSheetId="6">#REF!</definedName>
    <definedName name="מקדם_התאמה_מכירה_והנהלה" localSheetId="5">#REF!</definedName>
    <definedName name="מקדם_התאמה_מכירה_והנהלה">#REF!</definedName>
    <definedName name="מקדם_התאמה_מכירות" localSheetId="6">#REF!</definedName>
    <definedName name="מקדם_התאמה_מכירות" localSheetId="5">#REF!</definedName>
    <definedName name="מקדם_התאמה_מכירות">#REF!</definedName>
    <definedName name="מקדם_התאמה_קניות" localSheetId="6">#REF!</definedName>
    <definedName name="מקדם_התאמה_קניות" localSheetId="5">#REF!</definedName>
    <definedName name="מקדם_התאמה_קניות">#REF!</definedName>
    <definedName name="מקדמות" localSheetId="6">#REF!</definedName>
    <definedName name="מקדמות" localSheetId="5">#REF!</definedName>
    <definedName name="מקדמות">#REF!</definedName>
    <definedName name="מרץ" localSheetId="6">'[39]תעודה א'!#REF!</definedName>
    <definedName name="מרץ" localSheetId="5">'[40]תעודה א'!#REF!</definedName>
    <definedName name="מרץ">'[39]תעודה א'!#REF!</definedName>
    <definedName name="נובמבר" localSheetId="6">'[39]תעודה א'!#REF!</definedName>
    <definedName name="נובמבר" localSheetId="5">'[40]תעודה א'!#REF!</definedName>
    <definedName name="נובמבר">'[39]תעודה א'!#REF!</definedName>
    <definedName name="ניכוי_במקור" localSheetId="6">#REF!</definedName>
    <definedName name="ניכוי_במקור" localSheetId="5">#REF!</definedName>
    <definedName name="ניכוי_במקור">#REF!</definedName>
    <definedName name="נספח_4" localSheetId="6">#REF!</definedName>
    <definedName name="נספח_4" localSheetId="5">#REF!</definedName>
    <definedName name="נספח_4">#REF!</definedName>
    <definedName name="נספח_6_שממ" localSheetId="6">#REF!</definedName>
    <definedName name="נספח_6_שממ" localSheetId="5">#REF!</definedName>
    <definedName name="נספח_6_שממ">#REF!</definedName>
    <definedName name="נספח_7_חישוב_הון_שממ" localSheetId="6">#REF!</definedName>
    <definedName name="נספח_7_חישוב_הון_שממ" localSheetId="5">#REF!</definedName>
    <definedName name="נספח_7_חישוב_הון_שממ">#REF!</definedName>
    <definedName name="נספח_7_נכס_קבוע_שממ" localSheetId="6">#REF!</definedName>
    <definedName name="נספח_7_נכס_קבוע_שממ" localSheetId="5">#REF!</definedName>
    <definedName name="נספח_7_נכס_קבוע_שממ">#REF!</definedName>
    <definedName name="נספח_7_סיכום_הון_שממ" localSheetId="6">#REF!</definedName>
    <definedName name="נספח_7_סיכום_הון_שממ" localSheetId="5">#REF!</definedName>
    <definedName name="נספח_7_סיכום_הון_שממ">#REF!</definedName>
    <definedName name="נספח_7_שינויים_שממ" localSheetId="6">#REF!</definedName>
    <definedName name="נספח_7_שינויים_שממ" localSheetId="5">#REF!</definedName>
    <definedName name="נספח_7_שינויים_שממ">#REF!</definedName>
    <definedName name="נספח_7_תאומי_הון_שממ" localSheetId="6">#REF!</definedName>
    <definedName name="נספח_7_תאומי_הון_שממ" localSheetId="5">#REF!</definedName>
    <definedName name="נספח_7_תאומי_הון_שממ">#REF!</definedName>
    <definedName name="נספח_מקדמות" localSheetId="6">'[42]שמ"מ מ"ה'!#REF!</definedName>
    <definedName name="נספח_מקדמות" localSheetId="5">'[42]שמ"מ מ"ה'!#REF!</definedName>
    <definedName name="נספח_מקדמות">'[42]שמ"מ מ"ה'!#REF!</definedName>
    <definedName name="נספח_ניכוי_במקור" localSheetId="6">'[42]שמ"מ מ"ה'!#REF!</definedName>
    <definedName name="נספח_ניכוי_במקור" localSheetId="5">'[42]שמ"מ מ"ה'!#REF!</definedName>
    <definedName name="נספח_ניכוי_במקור">'[42]שמ"מ מ"ה'!#REF!</definedName>
    <definedName name="נספח_עודפות" localSheetId="6">'[42]שמ"מ מ"ה'!#REF!</definedName>
    <definedName name="נספח_עודפות" localSheetId="5">'[42]שמ"מ מ"ה'!#REF!</definedName>
    <definedName name="נספח_עודפות">'[42]שמ"מ מ"ה'!#REF!</definedName>
    <definedName name="נת" localSheetId="6" hidden="1">{#N/A,#N/A,FALSE,"Aging Summary";#N/A,#N/A,FALSE,"Ratio Analysis";#N/A,#N/A,FALSE,"Test 120 Day Accts";#N/A,#N/A,FALSE,"Tickmarks"}</definedName>
    <definedName name="נת" localSheetId="5" hidden="1">{#N/A,#N/A,FALSE,"Aging Summary";#N/A,#N/A,FALSE,"Ratio Analysis";#N/A,#N/A,FALSE,"Test 120 Day Accts";#N/A,#N/A,FALSE,"Tickmarks"}</definedName>
    <definedName name="נת" hidden="1">{#N/A,#N/A,FALSE,"Aging Summary";#N/A,#N/A,FALSE,"Ratio Analysis";#N/A,#N/A,FALSE,"Test 120 Day Accts";#N/A,#N/A,FALSE,"Tickmarks"}</definedName>
    <definedName name="סעיפי_מאזן_בוחן_1" localSheetId="6"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עיפי_מאזן_בוחן_1" localSheetId="5"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עיפי_מאזן_בוחן_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פטמבר" localSheetId="5">'[40]תעודה א'!#REF!</definedName>
    <definedName name="ספטמבר">'[39]תעודה א'!#REF!</definedName>
    <definedName name="ע6">[48]FSA!#REF!</definedName>
    <definedName name="עמוד_אינדקס" localSheetId="5">#REF!</definedName>
    <definedName name="עמוד_אינדקס">#REF!</definedName>
    <definedName name="עמוד_פתיחה" localSheetId="5">#REF!</definedName>
    <definedName name="עמוד_פתיחה">#REF!</definedName>
    <definedName name="עמלות_זכיינים_ברווהפ" localSheetId="6">#REF!</definedName>
    <definedName name="עמלות_זכיינים_ברווהפ" localSheetId="5">#REF!</definedName>
    <definedName name="עמלות_זכיינים_ברווהפ">#REF!</definedName>
    <definedName name="פ12" localSheetId="6">#REF!</definedName>
    <definedName name="פ12" localSheetId="5">#REF!</definedName>
    <definedName name="פ12">#REF!</definedName>
    <definedName name="פברואר" localSheetId="6">'[39]תעודה א'!#REF!</definedName>
    <definedName name="פברואר" localSheetId="5">'[40]תעודה א'!#REF!</definedName>
    <definedName name="פברואר">'[39]תעודה א'!#REF!</definedName>
    <definedName name="פחת_וניכוי" localSheetId="6">#REF!</definedName>
    <definedName name="פחת_וניכוי" localSheetId="5">#REF!</definedName>
    <definedName name="פחת_וניכוי">#REF!</definedName>
    <definedName name="פיצויים" localSheetId="6">#REF!</definedName>
    <definedName name="פיצויים" localSheetId="5">#REF!</definedName>
    <definedName name="פיצויים">#REF!</definedName>
    <definedName name="פרופורמת_מס" localSheetId="6">#REF!</definedName>
    <definedName name="פרופורמת_מס" localSheetId="5">#REF!</definedName>
    <definedName name="פרופורמת_מס">#REF!</definedName>
    <definedName name="רווהפ" localSheetId="6">#REF!</definedName>
    <definedName name="רווהפ" localSheetId="5">#REF!</definedName>
    <definedName name="רווהפ">#REF!</definedName>
    <definedName name="רווח_גלמי_97" localSheetId="6">#REF!,#REF!</definedName>
    <definedName name="רווח_גלמי_97" localSheetId="5">#REF!,#REF!</definedName>
    <definedName name="רווח_גלמי_97">#REF!,#REF!</definedName>
    <definedName name="רווח_גלמי_נומינלי_עד_1996" localSheetId="6">#REF!,#REF!,#REF!,#REF!</definedName>
    <definedName name="רווח_גלמי_נומינלי_עד_1996" localSheetId="5">#REF!,#REF!,#REF!,#REF!</definedName>
    <definedName name="רווח_גלמי_נומינלי_עד_1996">#REF!,#REF!,#REF!,#REF!</definedName>
    <definedName name="רווח_הון" localSheetId="6">#REF!</definedName>
    <definedName name="רווח_הון" localSheetId="5">#REF!</definedName>
    <definedName name="רווח_הון">#REF!</definedName>
    <definedName name="רווח_והפסד" localSheetId="6">#REF!</definedName>
    <definedName name="רווח_והפסד" localSheetId="5">#REF!</definedName>
    <definedName name="רווח_והפסד">#REF!</definedName>
    <definedName name="רווח_והפסד_הגשה">#REF!</definedName>
    <definedName name="רכוטשקבוע" localSheetId="6">'[49]רכוש קבוע-SAP'!#REF!</definedName>
    <definedName name="רכוטשקבוע" localSheetId="5">'[49]רכוש קבוע-SAP'!#REF!</definedName>
    <definedName name="רכוטשקבוע">'[49]רכוש קבוע-SAP'!#REF!</definedName>
    <definedName name="רכושקבוע" localSheetId="6">#REF!</definedName>
    <definedName name="רכושקבוע" localSheetId="5">#REF!</definedName>
    <definedName name="רכושקבוע">#REF!</definedName>
    <definedName name="ש" localSheetId="5">[37]Salaries!#REF!</definedName>
    <definedName name="ש">[37]Salaries!#REF!</definedName>
    <definedName name="ש1" localSheetId="5">#REF!</definedName>
    <definedName name="ש1">#REF!</definedName>
    <definedName name="ש200" localSheetId="5">#REF!</definedName>
    <definedName name="ש200">#REF!</definedName>
    <definedName name="ש346" localSheetId="5">#REF!</definedName>
    <definedName name="ש346">#REF!</definedName>
    <definedName name="ש5">#REF!</definedName>
    <definedName name="שונה" localSheetId="6">[27]TRAVEL96!#REF!</definedName>
    <definedName name="שונה" localSheetId="5">[26]TRAVEL96!#REF!</definedName>
    <definedName name="שונה">[27]TRAVEL96!#REF!</definedName>
    <definedName name="שחיקת_מקדמות" localSheetId="6">#REF!</definedName>
    <definedName name="שחיקת_מקדמות" localSheetId="5">#REF!</definedName>
    <definedName name="שחיקת_מקדמות">#REF!</definedName>
    <definedName name="שכור" localSheetId="6">#REF!</definedName>
    <definedName name="שכור" localSheetId="5">#REF!</definedName>
    <definedName name="שכור">#REF!</definedName>
    <definedName name="שליטה" localSheetId="6">#REF!</definedName>
    <definedName name="שליטה" localSheetId="5">#REF!</definedName>
    <definedName name="שליטה">#REF!</definedName>
    <definedName name="שערוך">'[50]הוצאות לשלם'!$L$1</definedName>
    <definedName name="תאריך">[41]פרטים!$D$3</definedName>
    <definedName name="תוכן_עניינים" localSheetId="6">#REF!</definedName>
    <definedName name="תוכן_עניינים" localSheetId="5">#REF!</definedName>
    <definedName name="תוכן_עניינים">#REF!</definedName>
    <definedName name="תזרים" localSheetId="6">#REF!</definedName>
    <definedName name="תזרים" localSheetId="5">#REF!</definedName>
    <definedName name="תזרים">#REF!</definedName>
    <definedName name="תעודה_א" localSheetId="6">#REF!</definedName>
    <definedName name="תעודה_א" localSheetId="5">#REF!</definedName>
    <definedName name="תעודה_א">#REF!</definedName>
    <definedName name="תעודה_ב" localSheetId="6">#REF!</definedName>
    <definedName name="תעודה_ב" localSheetId="5">#REF!</definedName>
    <definedName name="תעודה_ב">#REF!</definedName>
    <definedName name="תקופה">[41]פרטים!$D$9</definedName>
    <definedName name="תקרת_אשל_ליום___ללא_לינה" localSheetId="6">#REF!</definedName>
    <definedName name="תקרת_אשל_ליום___ללא_לינה" localSheetId="5">#REF!</definedName>
    <definedName name="תקרת_אשל_ליום___ללא_לינה">#REF!</definedName>
    <definedName name="תקרת_אשל_ליום___ללא_לינה25" localSheetId="6">#REF!</definedName>
    <definedName name="תקרת_אשל_ליום___ללא_לינה25" localSheetId="5">#REF!</definedName>
    <definedName name="תקרת_אשל_ליום___ללא_לינה25">#REF!</definedName>
    <definedName name="תקרת_אשל_ליום___עם_לינה" localSheetId="6">#REF!</definedName>
    <definedName name="תקרת_אשל_ליום___עם_לינה" localSheetId="5">#REF!</definedName>
    <definedName name="תקרת_אשל_ליום___עם_לינה">#REF!</definedName>
    <definedName name="תקרת_אשל_ליום___עם_לינה25" localSheetId="6">#REF!</definedName>
    <definedName name="תקרת_אשל_ליום___עם_לינה25" localSheetId="5">#REF!</definedName>
    <definedName name="תקרת_אשל_ליום___עם_לינה25">#REF!</definedName>
    <definedName name="תקרת_מלון_גבוה" localSheetId="6">#REF!</definedName>
    <definedName name="תקרת_מלון_גבוה" localSheetId="5">#REF!</definedName>
    <definedName name="תקרת_מלון_גבוה">#REF!</definedName>
    <definedName name="תקרת_מלון_גבוה25" localSheetId="6">#REF!</definedName>
    <definedName name="תקרת_מלון_גבוה25" localSheetId="5">#REF!</definedName>
    <definedName name="תקרת_מלון_גבוה25">#REF!</definedName>
    <definedName name="תקרת_מלון_ל___7_ראשונים" localSheetId="6">#REF!</definedName>
    <definedName name="תקרת_מלון_ל___7_ראשונים" localSheetId="5">#REF!</definedName>
    <definedName name="תקרת_מלון_ל___7_ראשונים">#REF!</definedName>
    <definedName name="תקרת_מלון_ל___7_ראשונים25" localSheetId="6">#REF!</definedName>
    <definedName name="תקרת_מלון_ל___7_ראשונים25" localSheetId="5">#REF!</definedName>
    <definedName name="תקרת_מלון_ל___7_ראשונים25">#REF!</definedName>
    <definedName name="תקרת_מלון_לימים_מעבר_ל___7" localSheetId="6">[27]TRAVEL96!#REF!</definedName>
    <definedName name="תקרת_מלון_לימים_מעבר_ל___7" localSheetId="5">[26]TRAVEL96!#REF!</definedName>
    <definedName name="תקרת_מלון_לימים_מעבר_ל___7">[27]TRAVEL96!#REF!</definedName>
    <definedName name="תקרת_מלון_נמוכה" localSheetId="6">#REF!</definedName>
    <definedName name="תקרת_מלון_נמוכה" localSheetId="5">#REF!</definedName>
    <definedName name="תקרת_מלון_נמוכה">#REF!</definedName>
    <definedName name="תקרת_מלון_נמוכה25" localSheetId="6">#REF!</definedName>
    <definedName name="תקרת_מלון_נמוכה25" localSheetId="5">#REF!</definedName>
    <definedName name="תקרת_מלון_נמוכה2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9" i="11" l="1"/>
  <c r="C9" i="11"/>
  <c r="J8" i="10" l="1"/>
  <c r="J6" i="10"/>
  <c r="D34" i="4" l="1"/>
  <c r="C22" i="2"/>
  <c r="C23" i="2"/>
  <c r="A29" i="9"/>
  <c r="G28" i="2" l="1"/>
  <c r="C30" i="4"/>
  <c r="C27" i="4"/>
  <c r="C53" i="11" l="1"/>
  <c r="I14" i="11"/>
  <c r="F14" i="11" s="1"/>
  <c r="I13" i="11"/>
  <c r="F13" i="11" s="1"/>
  <c r="C48" i="11" l="1"/>
  <c r="J6" i="11"/>
  <c r="K6" i="11" s="1"/>
  <c r="N6" i="10"/>
  <c r="F6" i="10"/>
  <c r="C31" i="9" s="1"/>
  <c r="L6" i="10" l="1"/>
  <c r="C5" i="14"/>
  <c r="C23" i="9" l="1"/>
  <c r="C22" i="9"/>
  <c r="C20" i="13"/>
  <c r="C16" i="13"/>
  <c r="C10" i="13"/>
  <c r="C13" i="13" l="1"/>
  <c r="C11" i="13"/>
  <c r="C14" i="13" s="1"/>
  <c r="C20" i="9"/>
  <c r="C19" i="9"/>
  <c r="D21" i="4"/>
  <c r="C21" i="4"/>
  <c r="J9" i="10" l="1"/>
  <c r="D9" i="10"/>
  <c r="L9" i="10" s="1"/>
  <c r="C9" i="10"/>
  <c r="C11" i="10" s="1"/>
  <c r="L8" i="10"/>
  <c r="J7" i="10"/>
  <c r="H7" i="10"/>
  <c r="C32" i="9" s="1"/>
  <c r="G7" i="10"/>
  <c r="F11" i="12"/>
  <c r="E11" i="12"/>
  <c r="D18" i="12"/>
  <c r="E18" i="12"/>
  <c r="F18" i="12"/>
  <c r="C18" i="12"/>
  <c r="D11" i="12"/>
  <c r="C11" i="12"/>
  <c r="D17" i="12" l="1"/>
  <c r="F17" i="12" s="1"/>
  <c r="D16" i="12"/>
  <c r="F16" i="12" s="1"/>
  <c r="F8" i="12"/>
  <c r="D7" i="12"/>
  <c r="F7" i="12" s="1"/>
  <c r="D8" i="12"/>
  <c r="D9" i="12"/>
  <c r="F9" i="12" s="1"/>
  <c r="D10" i="12"/>
  <c r="F10" i="12" s="1"/>
  <c r="F4" i="12"/>
  <c r="D5" i="12"/>
  <c r="F5" i="12" s="1"/>
  <c r="D6" i="12"/>
  <c r="F6" i="12" s="1"/>
  <c r="D4" i="12"/>
  <c r="D1" i="8" l="1"/>
  <c r="B22" i="8" l="1"/>
  <c r="D18" i="4"/>
  <c r="C18" i="4"/>
  <c r="C13" i="9"/>
  <c r="A13" i="9"/>
  <c r="B56" i="8" l="1"/>
  <c r="B4" i="8"/>
  <c r="B5" i="8"/>
  <c r="B6" i="8"/>
  <c r="B7" i="8"/>
  <c r="B8" i="8"/>
  <c r="B9" i="8"/>
  <c r="B10" i="8"/>
  <c r="B11" i="8"/>
  <c r="B12" i="8"/>
  <c r="B13" i="8"/>
  <c r="B14" i="8"/>
  <c r="B15" i="8"/>
  <c r="B16" i="8"/>
  <c r="B17" i="8"/>
  <c r="B18" i="8"/>
  <c r="B19" i="8"/>
  <c r="B20" i="8"/>
  <c r="B21" i="8"/>
  <c r="B23" i="8"/>
  <c r="B24" i="8"/>
  <c r="B25" i="8"/>
  <c r="B26" i="8"/>
  <c r="B27" i="8"/>
  <c r="B28" i="8"/>
  <c r="B29" i="8"/>
  <c r="B30" i="8"/>
  <c r="B31" i="8"/>
  <c r="B32" i="8"/>
  <c r="B33" i="8"/>
  <c r="B34" i="8"/>
  <c r="B35" i="8"/>
  <c r="B36" i="8"/>
  <c r="B37" i="8"/>
  <c r="B38" i="8"/>
  <c r="B39" i="8"/>
  <c r="B40" i="8"/>
  <c r="B41" i="8"/>
  <c r="B42" i="8"/>
  <c r="B43" i="8"/>
  <c r="B44" i="8"/>
  <c r="B45" i="8"/>
  <c r="B46" i="8"/>
  <c r="B47" i="8"/>
  <c r="B48" i="8"/>
  <c r="B49" i="8"/>
  <c r="B3" i="8"/>
  <c r="D16" i="4" l="1"/>
  <c r="E77" i="8" l="1"/>
  <c r="F77" i="8" s="1"/>
  <c r="E78" i="8"/>
  <c r="F78" i="8" s="1"/>
  <c r="E79" i="8"/>
  <c r="F79" i="8" s="1"/>
  <c r="E60" i="8"/>
  <c r="F60" i="8" s="1"/>
  <c r="E62" i="8"/>
  <c r="F62" i="8" s="1"/>
  <c r="E63" i="8"/>
  <c r="F63" i="8" s="1"/>
  <c r="D24" i="2" s="1"/>
  <c r="E64" i="8"/>
  <c r="F64" i="8" s="1"/>
  <c r="E65" i="8"/>
  <c r="F65" i="8" s="1"/>
  <c r="E66" i="8"/>
  <c r="F66" i="8" s="1"/>
  <c r="E67" i="8"/>
  <c r="F67" i="8" s="1"/>
  <c r="E68" i="8"/>
  <c r="F68" i="8" s="1"/>
  <c r="E69" i="8"/>
  <c r="F69" i="8" s="1"/>
  <c r="E70" i="8"/>
  <c r="F70" i="8" s="1"/>
  <c r="E71" i="8"/>
  <c r="F71" i="8" s="1"/>
  <c r="E72" i="8"/>
  <c r="F72" i="8" s="1"/>
  <c r="E73" i="8"/>
  <c r="F73" i="8" s="1"/>
  <c r="E74" i="8"/>
  <c r="F74" i="8" s="1"/>
  <c r="E75" i="8"/>
  <c r="F75" i="8" s="1"/>
  <c r="E76" i="8"/>
  <c r="F76" i="8" s="1"/>
  <c r="F56" i="8"/>
  <c r="F57" i="8"/>
  <c r="D23" i="2" l="1"/>
  <c r="E23" i="2" s="1"/>
  <c r="C60" i="11"/>
  <c r="D21" i="11"/>
  <c r="I20" i="11"/>
  <c r="J20" i="11" s="1"/>
  <c r="K20" i="11" s="1"/>
  <c r="J15" i="11"/>
  <c r="K15" i="11" s="1"/>
  <c r="J14" i="11"/>
  <c r="J12" i="11"/>
  <c r="G21" i="11"/>
  <c r="J13" i="11" l="1"/>
  <c r="K14" i="11"/>
  <c r="B21" i="11"/>
  <c r="K13" i="11" l="1"/>
  <c r="H11" i="10" l="1"/>
  <c r="G11" i="10"/>
  <c r="D11" i="10"/>
  <c r="C30" i="9" s="1"/>
  <c r="E11" i="10"/>
  <c r="A10" i="9"/>
  <c r="C29" i="9" l="1"/>
  <c r="E61" i="8"/>
  <c r="F61" i="8" s="1"/>
  <c r="D22" i="2" s="1"/>
  <c r="E22" i="2" s="1"/>
  <c r="E58" i="8"/>
  <c r="F58" i="8" s="1"/>
  <c r="E59" i="8"/>
  <c r="F59" i="8" s="1"/>
  <c r="F8" i="10"/>
  <c r="D36" i="2"/>
  <c r="D37" i="2"/>
  <c r="D40" i="2"/>
  <c r="D18" i="2"/>
  <c r="D19" i="2"/>
  <c r="D21" i="2"/>
  <c r="D28" i="2"/>
  <c r="D12" i="2"/>
  <c r="E37" i="8"/>
  <c r="F37" i="8" s="1"/>
  <c r="E38" i="8"/>
  <c r="F38" i="8" s="1"/>
  <c r="E39" i="8"/>
  <c r="F39" i="8" s="1"/>
  <c r="E40" i="8"/>
  <c r="F40" i="8" s="1"/>
  <c r="E41" i="8"/>
  <c r="F41" i="8" s="1"/>
  <c r="E42" i="8"/>
  <c r="F42" i="8" s="1"/>
  <c r="E43" i="8"/>
  <c r="F43" i="8" s="1"/>
  <c r="E44" i="8"/>
  <c r="F44" i="8" s="1"/>
  <c r="E45" i="8"/>
  <c r="F45" i="8" s="1"/>
  <c r="E46" i="8"/>
  <c r="F46" i="8" s="1"/>
  <c r="E47" i="8"/>
  <c r="F47" i="8" s="1"/>
  <c r="E48" i="8"/>
  <c r="F48" i="8" s="1"/>
  <c r="E49" i="8"/>
  <c r="F49" i="8" s="1"/>
  <c r="E50" i="8"/>
  <c r="F50" i="8" s="1"/>
  <c r="E51" i="8"/>
  <c r="F51" i="8" s="1"/>
  <c r="E52" i="8"/>
  <c r="F52" i="8" s="1"/>
  <c r="E53" i="8"/>
  <c r="F53" i="8" s="1"/>
  <c r="E54" i="8"/>
  <c r="F54" i="8" s="1"/>
  <c r="E55" i="8"/>
  <c r="F55" i="8" s="1"/>
  <c r="F11" i="10" l="1"/>
  <c r="J11" i="10"/>
  <c r="D41" i="2"/>
  <c r="D42" i="2"/>
  <c r="E213" i="1" l="1"/>
  <c r="F213" i="1" s="1"/>
  <c r="H213" i="1"/>
  <c r="I213" i="1" s="1"/>
  <c r="E214" i="1"/>
  <c r="F214" i="1" s="1"/>
  <c r="H214" i="1"/>
  <c r="I214" i="1" s="1"/>
  <c r="E215" i="1"/>
  <c r="F215" i="1" s="1"/>
  <c r="H215" i="1"/>
  <c r="I215" i="1" s="1"/>
  <c r="E216" i="1"/>
  <c r="F216" i="1" s="1"/>
  <c r="H216" i="1"/>
  <c r="I216" i="1" s="1"/>
  <c r="E217" i="1"/>
  <c r="F217" i="1" s="1"/>
  <c r="H217" i="1"/>
  <c r="I217" i="1" s="1"/>
  <c r="E218" i="1"/>
  <c r="F218" i="1" s="1"/>
  <c r="H218" i="1"/>
  <c r="I218" i="1" s="1"/>
  <c r="E219" i="1"/>
  <c r="F219" i="1" s="1"/>
  <c r="H219" i="1"/>
  <c r="I219" i="1" s="1"/>
  <c r="E220" i="1"/>
  <c r="F220" i="1" s="1"/>
  <c r="H220" i="1"/>
  <c r="I220" i="1" s="1"/>
  <c r="E221" i="1"/>
  <c r="F221" i="1" s="1"/>
  <c r="H221" i="1"/>
  <c r="I221" i="1" s="1"/>
  <c r="E222" i="1"/>
  <c r="F222" i="1" s="1"/>
  <c r="H222" i="1"/>
  <c r="I222" i="1" s="1"/>
  <c r="C10" i="9" l="1"/>
  <c r="C7" i="4"/>
  <c r="C9" i="4" s="1"/>
  <c r="C8" i="4"/>
  <c r="C6" i="4"/>
  <c r="D9" i="4"/>
  <c r="C6" i="9" s="1"/>
  <c r="C7" i="9" s="1"/>
  <c r="E22" i="8" l="1"/>
  <c r="F22" i="8" s="1"/>
  <c r="D27" i="2" s="1"/>
  <c r="D4" i="4"/>
  <c r="C4" i="4"/>
  <c r="H6" i="3"/>
  <c r="E35" i="1" l="1"/>
  <c r="F35" i="1" s="1"/>
  <c r="H35" i="1"/>
  <c r="I35" i="1" s="1"/>
  <c r="P35" i="1"/>
  <c r="G1" i="1"/>
  <c r="P10" i="6" l="1"/>
  <c r="H237" i="1"/>
  <c r="I237" i="1" s="1"/>
  <c r="E237" i="1"/>
  <c r="F237" i="1" s="1"/>
  <c r="E36" i="8"/>
  <c r="F36" i="8" s="1"/>
  <c r="K38" i="6"/>
  <c r="H236" i="1" l="1"/>
  <c r="I236" i="1" s="1"/>
  <c r="E236" i="1"/>
  <c r="F236" i="1" s="1"/>
  <c r="E235" i="1" l="1"/>
  <c r="F235" i="1" s="1"/>
  <c r="H235" i="1"/>
  <c r="I235" i="1" s="1"/>
  <c r="R14" i="7"/>
  <c r="Q14" i="7"/>
  <c r="P14" i="7"/>
  <c r="O31" i="7" l="1"/>
  <c r="N31" i="7"/>
  <c r="M31" i="7"/>
  <c r="L31" i="7"/>
  <c r="O21" i="7"/>
  <c r="N21" i="7"/>
  <c r="M21" i="7"/>
  <c r="L21" i="7"/>
  <c r="E35" i="8"/>
  <c r="F35" i="8" s="1"/>
  <c r="S4" i="1" l="1"/>
  <c r="T4" i="1" s="1"/>
  <c r="S5" i="1"/>
  <c r="T5" i="1" s="1"/>
  <c r="S6" i="1"/>
  <c r="T6" i="1" s="1"/>
  <c r="S7" i="1"/>
  <c r="T7" i="1" s="1"/>
  <c r="S8" i="1"/>
  <c r="T8" i="1" s="1"/>
  <c r="S9" i="1"/>
  <c r="T9" i="1" s="1"/>
  <c r="S10" i="1"/>
  <c r="T10" i="1" s="1"/>
  <c r="S11" i="1"/>
  <c r="T11" i="1" s="1"/>
  <c r="S12" i="1"/>
  <c r="T12" i="1" s="1"/>
  <c r="S13" i="1"/>
  <c r="T13" i="1" s="1"/>
  <c r="S14" i="1"/>
  <c r="T14" i="1" s="1"/>
  <c r="S15" i="1"/>
  <c r="T15" i="1" s="1"/>
  <c r="S16" i="1"/>
  <c r="T16" i="1" s="1"/>
  <c r="S17" i="1"/>
  <c r="T17" i="1" s="1"/>
  <c r="S18" i="1"/>
  <c r="T18" i="1" s="1"/>
  <c r="S19" i="1"/>
  <c r="T19" i="1" s="1"/>
  <c r="S20" i="1"/>
  <c r="T20" i="1" s="1"/>
  <c r="S21" i="1"/>
  <c r="T21" i="1" s="1"/>
  <c r="S22" i="1"/>
  <c r="T22" i="1" s="1"/>
  <c r="S23" i="1"/>
  <c r="T23" i="1" s="1"/>
  <c r="S24" i="1"/>
  <c r="T24" i="1" s="1"/>
  <c r="S25" i="1"/>
  <c r="T25" i="1" s="1"/>
  <c r="S26" i="1"/>
  <c r="T26" i="1" s="1"/>
  <c r="S27" i="1"/>
  <c r="T27" i="1" s="1"/>
  <c r="S28" i="1"/>
  <c r="T28" i="1" s="1"/>
  <c r="S29" i="1"/>
  <c r="T29" i="1" s="1"/>
  <c r="S30" i="1"/>
  <c r="T30" i="1" s="1"/>
  <c r="S31" i="1"/>
  <c r="T31" i="1" s="1"/>
  <c r="S32" i="1"/>
  <c r="T32" i="1" s="1"/>
  <c r="S33" i="1"/>
  <c r="T33" i="1" s="1"/>
  <c r="S34" i="1"/>
  <c r="T34" i="1" s="1"/>
  <c r="S36" i="1"/>
  <c r="T36" i="1" s="1"/>
  <c r="S37" i="1"/>
  <c r="T37" i="1" s="1"/>
  <c r="S38" i="1"/>
  <c r="T38" i="1" s="1"/>
  <c r="S39" i="1"/>
  <c r="T39" i="1" s="1"/>
  <c r="S40" i="1"/>
  <c r="T40" i="1" s="1"/>
  <c r="S41" i="1"/>
  <c r="T41" i="1" s="1"/>
  <c r="S42" i="1"/>
  <c r="T42" i="1" s="1"/>
  <c r="S43" i="1"/>
  <c r="T43" i="1" s="1"/>
  <c r="S44" i="1"/>
  <c r="T44" i="1" s="1"/>
  <c r="S45" i="1"/>
  <c r="T45" i="1" s="1"/>
  <c r="S46" i="1"/>
  <c r="T46" i="1" s="1"/>
  <c r="S47" i="1"/>
  <c r="T47" i="1" s="1"/>
  <c r="S48" i="1"/>
  <c r="T48" i="1" s="1"/>
  <c r="S49" i="1"/>
  <c r="T49" i="1" s="1"/>
  <c r="S50" i="1"/>
  <c r="T50" i="1" s="1"/>
  <c r="S51" i="1"/>
  <c r="T51" i="1" s="1"/>
  <c r="S52" i="1"/>
  <c r="T52" i="1" s="1"/>
  <c r="S53" i="1"/>
  <c r="T53" i="1" s="1"/>
  <c r="S54" i="1"/>
  <c r="T54" i="1" s="1"/>
  <c r="S55" i="1"/>
  <c r="T55" i="1" s="1"/>
  <c r="S56" i="1"/>
  <c r="T56" i="1" s="1"/>
  <c r="S57" i="1"/>
  <c r="T57" i="1" s="1"/>
  <c r="S58" i="1"/>
  <c r="T58" i="1" s="1"/>
  <c r="S59" i="1"/>
  <c r="T59" i="1" s="1"/>
  <c r="S60" i="1"/>
  <c r="T60" i="1" s="1"/>
  <c r="S61" i="1"/>
  <c r="T61" i="1" s="1"/>
  <c r="S62" i="1"/>
  <c r="T62" i="1" s="1"/>
  <c r="S63" i="1"/>
  <c r="T63" i="1" s="1"/>
  <c r="S64" i="1"/>
  <c r="T64" i="1" s="1"/>
  <c r="S65" i="1"/>
  <c r="T65" i="1" s="1"/>
  <c r="S66" i="1"/>
  <c r="T66" i="1" s="1"/>
  <c r="S67" i="1"/>
  <c r="T67" i="1" s="1"/>
  <c r="S68" i="1"/>
  <c r="T68" i="1" s="1"/>
  <c r="S69" i="1"/>
  <c r="T69" i="1" s="1"/>
  <c r="S70" i="1"/>
  <c r="T70" i="1" s="1"/>
  <c r="S71" i="1"/>
  <c r="T71" i="1" s="1"/>
  <c r="S72" i="1"/>
  <c r="T72" i="1" s="1"/>
  <c r="S73" i="1"/>
  <c r="T73" i="1" s="1"/>
  <c r="S74" i="1"/>
  <c r="T74" i="1" s="1"/>
  <c r="S75" i="1"/>
  <c r="T75" i="1" s="1"/>
  <c r="S76" i="1"/>
  <c r="T76" i="1" s="1"/>
  <c r="S77" i="1"/>
  <c r="T77" i="1" s="1"/>
  <c r="S78" i="1"/>
  <c r="T78" i="1" s="1"/>
  <c r="S79" i="1"/>
  <c r="T79" i="1" s="1"/>
  <c r="S80" i="1"/>
  <c r="T80" i="1" s="1"/>
  <c r="S81" i="1"/>
  <c r="T81" i="1" s="1"/>
  <c r="S82" i="1"/>
  <c r="T82" i="1" s="1"/>
  <c r="S83" i="1"/>
  <c r="T83" i="1" s="1"/>
  <c r="S84" i="1"/>
  <c r="T84" i="1" s="1"/>
  <c r="S85" i="1"/>
  <c r="T85" i="1" s="1"/>
  <c r="S86" i="1"/>
  <c r="T86" i="1" s="1"/>
  <c r="S87" i="1"/>
  <c r="T87" i="1" s="1"/>
  <c r="S88" i="1"/>
  <c r="T88" i="1" s="1"/>
  <c r="S89" i="1"/>
  <c r="T89" i="1" s="1"/>
  <c r="S90" i="1"/>
  <c r="T90" i="1" s="1"/>
  <c r="S91" i="1"/>
  <c r="T91" i="1" s="1"/>
  <c r="S92" i="1"/>
  <c r="T92" i="1" s="1"/>
  <c r="S93" i="1"/>
  <c r="T93" i="1" s="1"/>
  <c r="S94" i="1"/>
  <c r="T94" i="1" s="1"/>
  <c r="S95" i="1"/>
  <c r="T95" i="1" s="1"/>
  <c r="S96" i="1"/>
  <c r="T96" i="1" s="1"/>
  <c r="S97" i="1"/>
  <c r="T97" i="1" s="1"/>
  <c r="S98" i="1"/>
  <c r="T98" i="1" s="1"/>
  <c r="S99" i="1"/>
  <c r="T99" i="1" s="1"/>
  <c r="S100" i="1"/>
  <c r="T100" i="1" s="1"/>
  <c r="S101" i="1"/>
  <c r="T101" i="1" s="1"/>
  <c r="S102" i="1"/>
  <c r="T102" i="1" s="1"/>
  <c r="S103" i="1"/>
  <c r="T103" i="1" s="1"/>
  <c r="S104" i="1"/>
  <c r="T104" i="1" s="1"/>
  <c r="S105" i="1"/>
  <c r="T105" i="1" s="1"/>
  <c r="S106" i="1"/>
  <c r="T106" i="1" s="1"/>
  <c r="S107" i="1"/>
  <c r="T107" i="1" s="1"/>
  <c r="S108" i="1"/>
  <c r="T108" i="1" s="1"/>
  <c r="S109" i="1"/>
  <c r="T109" i="1" s="1"/>
  <c r="S110" i="1"/>
  <c r="T110" i="1" s="1"/>
  <c r="S111" i="1"/>
  <c r="T111" i="1" s="1"/>
  <c r="S112" i="1"/>
  <c r="T112" i="1" s="1"/>
  <c r="S113" i="1"/>
  <c r="T113" i="1" s="1"/>
  <c r="S114" i="1"/>
  <c r="T114" i="1" s="1"/>
  <c r="S115" i="1"/>
  <c r="T115" i="1" s="1"/>
  <c r="S116" i="1"/>
  <c r="T116" i="1" s="1"/>
  <c r="S117" i="1"/>
  <c r="T117" i="1" s="1"/>
  <c r="S118" i="1"/>
  <c r="T118" i="1" s="1"/>
  <c r="S119" i="1"/>
  <c r="T119" i="1" s="1"/>
  <c r="S120" i="1"/>
  <c r="T120" i="1" s="1"/>
  <c r="S121" i="1"/>
  <c r="T121" i="1" s="1"/>
  <c r="S122" i="1"/>
  <c r="T122" i="1" s="1"/>
  <c r="S123" i="1"/>
  <c r="T123" i="1" s="1"/>
  <c r="S124" i="1"/>
  <c r="T124" i="1" s="1"/>
  <c r="S125" i="1"/>
  <c r="T125" i="1" s="1"/>
  <c r="S126" i="1"/>
  <c r="T126" i="1" s="1"/>
  <c r="S127" i="1"/>
  <c r="T127" i="1" s="1"/>
  <c r="S128" i="1"/>
  <c r="T128" i="1" s="1"/>
  <c r="S129" i="1"/>
  <c r="T129" i="1" s="1"/>
  <c r="S130" i="1"/>
  <c r="T130" i="1" s="1"/>
  <c r="S131" i="1"/>
  <c r="T131" i="1" s="1"/>
  <c r="S132" i="1"/>
  <c r="T132" i="1" s="1"/>
  <c r="S133" i="1"/>
  <c r="T133" i="1" s="1"/>
  <c r="S134" i="1"/>
  <c r="T134" i="1" s="1"/>
  <c r="S135" i="1"/>
  <c r="T135" i="1" s="1"/>
  <c r="S136" i="1"/>
  <c r="T136" i="1" s="1"/>
  <c r="S137" i="1"/>
  <c r="T137" i="1" s="1"/>
  <c r="S138" i="1"/>
  <c r="T138" i="1" s="1"/>
  <c r="S139" i="1"/>
  <c r="T139" i="1" s="1"/>
  <c r="S140" i="1"/>
  <c r="T140" i="1" s="1"/>
  <c r="S141" i="1"/>
  <c r="T141" i="1" s="1"/>
  <c r="S142" i="1"/>
  <c r="T142" i="1" s="1"/>
  <c r="S143" i="1"/>
  <c r="T143" i="1" s="1"/>
  <c r="S144" i="1"/>
  <c r="T144" i="1" s="1"/>
  <c r="S145" i="1"/>
  <c r="T145" i="1" s="1"/>
  <c r="S146" i="1"/>
  <c r="T146" i="1" s="1"/>
  <c r="S147" i="1"/>
  <c r="T147" i="1" s="1"/>
  <c r="S148" i="1"/>
  <c r="T148" i="1" s="1"/>
  <c r="S149" i="1"/>
  <c r="T149" i="1" s="1"/>
  <c r="S150" i="1"/>
  <c r="T150" i="1" s="1"/>
  <c r="S151" i="1"/>
  <c r="T151" i="1" s="1"/>
  <c r="S152" i="1"/>
  <c r="T152" i="1" s="1"/>
  <c r="S153" i="1"/>
  <c r="T153" i="1" s="1"/>
  <c r="S154" i="1"/>
  <c r="T154" i="1" s="1"/>
  <c r="S155" i="1"/>
  <c r="T155" i="1" s="1"/>
  <c r="S156" i="1"/>
  <c r="T156" i="1" s="1"/>
  <c r="S157" i="1"/>
  <c r="T157" i="1" s="1"/>
  <c r="S158" i="1"/>
  <c r="T158" i="1" s="1"/>
  <c r="S159" i="1"/>
  <c r="T159" i="1" s="1"/>
  <c r="S160" i="1"/>
  <c r="T160" i="1" s="1"/>
  <c r="S161" i="1"/>
  <c r="T161" i="1" s="1"/>
  <c r="S162" i="1"/>
  <c r="T162" i="1" s="1"/>
  <c r="S163" i="1"/>
  <c r="T163" i="1" s="1"/>
  <c r="S164" i="1"/>
  <c r="T164" i="1" s="1"/>
  <c r="S165" i="1"/>
  <c r="T165" i="1" s="1"/>
  <c r="S166" i="1"/>
  <c r="T166" i="1" s="1"/>
  <c r="S167" i="1"/>
  <c r="T167" i="1" s="1"/>
  <c r="S168" i="1"/>
  <c r="T168" i="1" s="1"/>
  <c r="S169" i="1"/>
  <c r="T169" i="1" s="1"/>
  <c r="S170" i="1"/>
  <c r="T170" i="1" s="1"/>
  <c r="S171" i="1"/>
  <c r="T171" i="1" s="1"/>
  <c r="S172" i="1"/>
  <c r="T172" i="1" s="1"/>
  <c r="S173" i="1"/>
  <c r="T173" i="1" s="1"/>
  <c r="S174" i="1"/>
  <c r="T174" i="1" s="1"/>
  <c r="S175" i="1"/>
  <c r="T175" i="1" s="1"/>
  <c r="S176" i="1"/>
  <c r="T176" i="1" s="1"/>
  <c r="S177" i="1"/>
  <c r="T177" i="1" s="1"/>
  <c r="S178" i="1"/>
  <c r="T178" i="1" s="1"/>
  <c r="S179" i="1"/>
  <c r="T179" i="1" s="1"/>
  <c r="S180" i="1"/>
  <c r="T180" i="1" s="1"/>
  <c r="S181" i="1"/>
  <c r="T181" i="1" s="1"/>
  <c r="S182" i="1"/>
  <c r="T182" i="1" s="1"/>
  <c r="S183" i="1"/>
  <c r="T183" i="1" s="1"/>
  <c r="S184" i="1"/>
  <c r="T184" i="1" s="1"/>
  <c r="S185" i="1"/>
  <c r="T185" i="1" s="1"/>
  <c r="S186" i="1"/>
  <c r="T186" i="1" s="1"/>
  <c r="S187" i="1"/>
  <c r="T187" i="1" s="1"/>
  <c r="S188" i="1"/>
  <c r="T188" i="1" s="1"/>
  <c r="S189" i="1"/>
  <c r="T189" i="1" s="1"/>
  <c r="S190" i="1"/>
  <c r="T190" i="1" s="1"/>
  <c r="S191" i="1"/>
  <c r="T191" i="1" s="1"/>
  <c r="S192" i="1"/>
  <c r="T192" i="1" s="1"/>
  <c r="S193" i="1"/>
  <c r="T193" i="1" s="1"/>
  <c r="S194" i="1"/>
  <c r="T194" i="1" s="1"/>
  <c r="S195" i="1"/>
  <c r="T195" i="1" s="1"/>
  <c r="S196" i="1"/>
  <c r="T196" i="1" s="1"/>
  <c r="S197" i="1"/>
  <c r="T197" i="1" s="1"/>
  <c r="S198" i="1"/>
  <c r="T198" i="1" s="1"/>
  <c r="S199" i="1"/>
  <c r="T199" i="1" s="1"/>
  <c r="S200" i="1"/>
  <c r="T200" i="1" s="1"/>
  <c r="S201" i="1"/>
  <c r="T201" i="1" s="1"/>
  <c r="S202" i="1"/>
  <c r="T202" i="1" s="1"/>
  <c r="S203" i="1"/>
  <c r="T203" i="1" s="1"/>
  <c r="S204" i="1"/>
  <c r="T204" i="1" s="1"/>
  <c r="S205" i="1"/>
  <c r="T205" i="1" s="1"/>
  <c r="S206" i="1"/>
  <c r="T206" i="1" s="1"/>
  <c r="S207" i="1"/>
  <c r="T207" i="1" s="1"/>
  <c r="S208" i="1"/>
  <c r="T208" i="1" s="1"/>
  <c r="S209" i="1"/>
  <c r="T209" i="1" s="1"/>
  <c r="S210" i="1"/>
  <c r="T210" i="1" s="1"/>
  <c r="S211" i="1"/>
  <c r="T211" i="1" s="1"/>
  <c r="S212" i="1"/>
  <c r="T212" i="1" s="1"/>
  <c r="S213" i="1"/>
  <c r="T213" i="1" s="1"/>
  <c r="S214" i="1"/>
  <c r="T214" i="1" s="1"/>
  <c r="S215" i="1"/>
  <c r="T215" i="1" s="1"/>
  <c r="S216" i="1"/>
  <c r="T216" i="1" s="1"/>
  <c r="S217" i="1"/>
  <c r="T217" i="1" s="1"/>
  <c r="S218" i="1"/>
  <c r="T218" i="1" s="1"/>
  <c r="S219" i="1"/>
  <c r="T219" i="1" s="1"/>
  <c r="S220" i="1"/>
  <c r="T220" i="1" s="1"/>
  <c r="S221" i="1"/>
  <c r="T221" i="1" s="1"/>
  <c r="S222" i="1"/>
  <c r="T222" i="1" s="1"/>
  <c r="S223" i="1"/>
  <c r="T223" i="1" s="1"/>
  <c r="S224" i="1"/>
  <c r="T224" i="1" s="1"/>
  <c r="S225" i="1"/>
  <c r="T225" i="1" s="1"/>
  <c r="S226" i="1"/>
  <c r="T226" i="1" s="1"/>
  <c r="S227" i="1"/>
  <c r="T227" i="1" s="1"/>
  <c r="S228" i="1"/>
  <c r="T228" i="1" s="1"/>
  <c r="S229" i="1"/>
  <c r="T229" i="1" s="1"/>
  <c r="S230" i="1"/>
  <c r="T230" i="1" s="1"/>
  <c r="S231" i="1"/>
  <c r="T231" i="1" s="1"/>
  <c r="S232" i="1"/>
  <c r="T232" i="1" s="1"/>
  <c r="S233" i="1"/>
  <c r="T233" i="1" s="1"/>
  <c r="S234" i="1"/>
  <c r="T234" i="1" s="1"/>
  <c r="S235" i="1"/>
  <c r="T235" i="1" s="1"/>
  <c r="S236" i="1"/>
  <c r="T236" i="1" s="1"/>
  <c r="S237" i="1"/>
  <c r="T237" i="1" s="1"/>
  <c r="S238" i="1"/>
  <c r="T238" i="1" s="1"/>
  <c r="S239" i="1"/>
  <c r="T239" i="1" s="1"/>
  <c r="S240" i="1"/>
  <c r="T240" i="1" s="1"/>
  <c r="S241" i="1"/>
  <c r="T241" i="1" s="1"/>
  <c r="S242" i="1"/>
  <c r="T242" i="1" s="1"/>
  <c r="S243" i="1"/>
  <c r="T243" i="1" s="1"/>
  <c r="S244" i="1"/>
  <c r="T244" i="1" s="1"/>
  <c r="S245" i="1"/>
  <c r="T245" i="1" s="1"/>
  <c r="S246" i="1"/>
  <c r="T246" i="1" s="1"/>
  <c r="S247" i="1"/>
  <c r="T247" i="1" s="1"/>
  <c r="S248" i="1"/>
  <c r="T248" i="1" s="1"/>
  <c r="S249" i="1"/>
  <c r="T249" i="1" s="1"/>
  <c r="S250" i="1"/>
  <c r="T250" i="1" s="1"/>
  <c r="S251" i="1"/>
  <c r="T251" i="1" s="1"/>
  <c r="S252" i="1"/>
  <c r="T252" i="1" s="1"/>
  <c r="S253" i="1"/>
  <c r="T253" i="1" s="1"/>
  <c r="S254" i="1"/>
  <c r="T254" i="1" s="1"/>
  <c r="S255" i="1"/>
  <c r="T255" i="1" s="1"/>
  <c r="S256" i="1"/>
  <c r="T256" i="1" s="1"/>
  <c r="S257" i="1"/>
  <c r="T257" i="1" s="1"/>
  <c r="S258" i="1"/>
  <c r="T258" i="1" s="1"/>
  <c r="S259" i="1"/>
  <c r="T259" i="1" s="1"/>
  <c r="S260" i="1"/>
  <c r="T260" i="1" s="1"/>
  <c r="S261" i="1"/>
  <c r="T261" i="1" s="1"/>
  <c r="S262" i="1"/>
  <c r="T262" i="1" s="1"/>
  <c r="S263" i="1"/>
  <c r="T263" i="1" s="1"/>
  <c r="S264" i="1"/>
  <c r="T264" i="1" s="1"/>
  <c r="S265" i="1"/>
  <c r="T265" i="1" s="1"/>
  <c r="S266" i="1"/>
  <c r="T266" i="1" s="1"/>
  <c r="S267" i="1"/>
  <c r="T267" i="1" s="1"/>
  <c r="S268" i="1"/>
  <c r="T268" i="1" s="1"/>
  <c r="S269" i="1"/>
  <c r="T269" i="1" s="1"/>
  <c r="S270" i="1"/>
  <c r="T270" i="1" s="1"/>
  <c r="S271" i="1"/>
  <c r="T271" i="1" s="1"/>
  <c r="S272" i="1"/>
  <c r="T272" i="1" s="1"/>
  <c r="S273" i="1"/>
  <c r="T273" i="1" s="1"/>
  <c r="S274" i="1"/>
  <c r="T274" i="1" s="1"/>
  <c r="S275" i="1"/>
  <c r="T275" i="1" s="1"/>
  <c r="S276" i="1"/>
  <c r="T276" i="1" s="1"/>
  <c r="S277" i="1"/>
  <c r="T277" i="1" s="1"/>
  <c r="S278" i="1"/>
  <c r="T278" i="1" s="1"/>
  <c r="S279" i="1"/>
  <c r="T279" i="1" s="1"/>
  <c r="S280" i="1"/>
  <c r="T280" i="1" s="1"/>
  <c r="S3" i="1"/>
  <c r="P214" i="1"/>
  <c r="P215" i="1"/>
  <c r="P216" i="1"/>
  <c r="P217" i="1"/>
  <c r="P218" i="1"/>
  <c r="P219" i="1"/>
  <c r="P220" i="1"/>
  <c r="P221" i="1"/>
  <c r="P222" i="1"/>
  <c r="P223" i="1"/>
  <c r="P224" i="1"/>
  <c r="P225" i="1"/>
  <c r="P226" i="1"/>
  <c r="P227" i="1"/>
  <c r="P205" i="1"/>
  <c r="P206" i="1"/>
  <c r="P207" i="1"/>
  <c r="P208" i="1"/>
  <c r="P209" i="1"/>
  <c r="P210" i="1"/>
  <c r="P211" i="1"/>
  <c r="P212" i="1"/>
  <c r="P213"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144" i="1"/>
  <c r="P145" i="1"/>
  <c r="P146" i="1"/>
  <c r="P147" i="1"/>
  <c r="P148" i="1"/>
  <c r="P149" i="1"/>
  <c r="P150" i="1"/>
  <c r="P151" i="1"/>
  <c r="P152" i="1"/>
  <c r="P153" i="1"/>
  <c r="P154" i="1"/>
  <c r="P155" i="1"/>
  <c r="P156" i="1"/>
  <c r="P157" i="1"/>
  <c r="P158" i="1"/>
  <c r="P159" i="1"/>
  <c r="P160" i="1"/>
  <c r="P161" i="1"/>
  <c r="P162" i="1"/>
  <c r="P163" i="1"/>
  <c r="P164" i="1"/>
  <c r="P165" i="1"/>
  <c r="P166" i="1"/>
  <c r="P126" i="1"/>
  <c r="P127" i="1"/>
  <c r="P128" i="1"/>
  <c r="P129" i="1"/>
  <c r="P130" i="1"/>
  <c r="P131" i="1"/>
  <c r="P132" i="1"/>
  <c r="P133" i="1"/>
  <c r="P134" i="1"/>
  <c r="P135" i="1"/>
  <c r="P136" i="1"/>
  <c r="P137" i="1"/>
  <c r="P138" i="1"/>
  <c r="P139" i="1"/>
  <c r="P140" i="1"/>
  <c r="P141" i="1"/>
  <c r="P142" i="1"/>
  <c r="P143" i="1"/>
  <c r="P113" i="1"/>
  <c r="P114" i="1"/>
  <c r="P115" i="1"/>
  <c r="P116" i="1"/>
  <c r="P117" i="1"/>
  <c r="P118" i="1"/>
  <c r="P119" i="1"/>
  <c r="P120" i="1"/>
  <c r="P121" i="1"/>
  <c r="P122" i="1"/>
  <c r="P123" i="1"/>
  <c r="P124" i="1"/>
  <c r="P125" i="1"/>
  <c r="P108" i="1"/>
  <c r="P109" i="1"/>
  <c r="P110" i="1"/>
  <c r="P111" i="1"/>
  <c r="P112" i="1"/>
  <c r="P100" i="1"/>
  <c r="P101" i="1"/>
  <c r="P102" i="1"/>
  <c r="P103" i="1"/>
  <c r="P104" i="1"/>
  <c r="P105" i="1"/>
  <c r="P106" i="1"/>
  <c r="P107" i="1"/>
  <c r="O1" i="1"/>
  <c r="N1" i="1"/>
  <c r="P75" i="1"/>
  <c r="P76" i="1"/>
  <c r="P77" i="1"/>
  <c r="P78" i="1"/>
  <c r="P79" i="1"/>
  <c r="P80" i="1"/>
  <c r="P81" i="1"/>
  <c r="P82" i="1"/>
  <c r="P83" i="1"/>
  <c r="P84" i="1"/>
  <c r="P85" i="1"/>
  <c r="P86" i="1"/>
  <c r="P87" i="1"/>
  <c r="P88" i="1"/>
  <c r="P89" i="1"/>
  <c r="P90" i="1"/>
  <c r="P91" i="1"/>
  <c r="P92" i="1"/>
  <c r="P93" i="1"/>
  <c r="P94" i="1"/>
  <c r="P95" i="1"/>
  <c r="P96" i="1"/>
  <c r="P97" i="1"/>
  <c r="P98" i="1"/>
  <c r="P99" i="1"/>
  <c r="P69" i="1"/>
  <c r="P70" i="1"/>
  <c r="P71" i="1"/>
  <c r="P72" i="1"/>
  <c r="P73" i="1"/>
  <c r="P74" i="1"/>
  <c r="P61" i="1"/>
  <c r="P62" i="1"/>
  <c r="P63" i="1"/>
  <c r="P64" i="1"/>
  <c r="P65" i="1"/>
  <c r="P66" i="1"/>
  <c r="P67" i="1"/>
  <c r="P68" i="1"/>
  <c r="P59" i="1"/>
  <c r="P60" i="1"/>
  <c r="P57" i="1"/>
  <c r="P58" i="1"/>
  <c r="P51" i="1"/>
  <c r="P52" i="1"/>
  <c r="P53" i="1"/>
  <c r="P54" i="1"/>
  <c r="P55" i="1"/>
  <c r="P56" i="1"/>
  <c r="P48" i="1"/>
  <c r="P49" i="1"/>
  <c r="P50" i="1"/>
  <c r="P42" i="1"/>
  <c r="P43" i="1"/>
  <c r="P44" i="1"/>
  <c r="P45" i="1"/>
  <c r="P46" i="1"/>
  <c r="P47" i="1"/>
  <c r="P40" i="1"/>
  <c r="P41" i="1"/>
  <c r="P37" i="1"/>
  <c r="P38" i="1"/>
  <c r="P39" i="1"/>
  <c r="P34" i="1"/>
  <c r="P36" i="1"/>
  <c r="P33" i="1"/>
  <c r="P30" i="1"/>
  <c r="P31" i="1"/>
  <c r="P32" i="1"/>
  <c r="P6" i="1"/>
  <c r="P7" i="1"/>
  <c r="P8" i="1"/>
  <c r="P9" i="1"/>
  <c r="P10" i="1"/>
  <c r="P11" i="1"/>
  <c r="P12" i="1"/>
  <c r="P13" i="1"/>
  <c r="P14" i="1"/>
  <c r="P15" i="1"/>
  <c r="P16" i="1"/>
  <c r="P17" i="1"/>
  <c r="P18" i="1"/>
  <c r="P19" i="1"/>
  <c r="P20" i="1"/>
  <c r="P21" i="1"/>
  <c r="P22" i="1"/>
  <c r="P23" i="1"/>
  <c r="P24" i="1"/>
  <c r="P25" i="1"/>
  <c r="P26" i="1"/>
  <c r="P27" i="1"/>
  <c r="P28" i="1"/>
  <c r="P29" i="1"/>
  <c r="P5" i="1"/>
  <c r="P4" i="1"/>
  <c r="P3" i="1"/>
  <c r="S1" i="1" l="1"/>
  <c r="T3" i="1"/>
  <c r="T1" i="1" s="1"/>
  <c r="P1" i="1"/>
  <c r="R10" i="6" l="1"/>
  <c r="W38" i="6"/>
  <c r="W32" i="6"/>
  <c r="X38" i="6"/>
  <c r="X45" i="6" s="1"/>
  <c r="X35" i="6"/>
  <c r="X43" i="6" s="1"/>
  <c r="K32" i="6"/>
  <c r="L38" i="6"/>
  <c r="L45" i="6" s="1"/>
  <c r="L35" i="6"/>
  <c r="L43" i="6" s="1"/>
  <c r="W44" i="6" l="1"/>
  <c r="W45" i="6" s="1"/>
  <c r="F23" i="7"/>
  <c r="H23" i="7" s="1"/>
  <c r="E665" i="5"/>
  <c r="C665" i="5"/>
  <c r="E646" i="5"/>
  <c r="C646" i="5"/>
  <c r="E624" i="5"/>
  <c r="C624" i="5"/>
  <c r="E599" i="5"/>
  <c r="C599" i="5"/>
  <c r="G545" i="5"/>
  <c r="C545" i="5"/>
  <c r="E504" i="5"/>
  <c r="C504" i="5"/>
  <c r="E490" i="5"/>
  <c r="C490" i="5"/>
  <c r="E182" i="5"/>
  <c r="C182" i="5"/>
  <c r="E145" i="5"/>
  <c r="C145" i="5"/>
  <c r="E84" i="5"/>
  <c r="C84" i="5"/>
  <c r="G41" i="5"/>
  <c r="E41" i="5"/>
  <c r="P23" i="7" l="1"/>
  <c r="R23" i="7" s="1"/>
  <c r="K44" i="6"/>
  <c r="E31" i="8" l="1"/>
  <c r="F31" i="8" s="1"/>
  <c r="E32" i="8"/>
  <c r="F32" i="8" s="1"/>
  <c r="E33" i="8"/>
  <c r="F33" i="8" s="1"/>
  <c r="E34" i="8"/>
  <c r="F34" i="8" s="1"/>
  <c r="E4" i="8"/>
  <c r="F4" i="8" s="1"/>
  <c r="E5" i="8"/>
  <c r="F5" i="8" s="1"/>
  <c r="E6" i="8"/>
  <c r="F6" i="8" s="1"/>
  <c r="E7" i="8"/>
  <c r="F7" i="8" s="1"/>
  <c r="E8" i="8"/>
  <c r="E9" i="8"/>
  <c r="E10" i="8"/>
  <c r="F10" i="8" s="1"/>
  <c r="D9" i="2" s="1"/>
  <c r="E12" i="8"/>
  <c r="E13" i="8"/>
  <c r="E14" i="8"/>
  <c r="F14" i="8" s="1"/>
  <c r="E15" i="8"/>
  <c r="F15" i="8" s="1"/>
  <c r="E16" i="8"/>
  <c r="F16" i="8" s="1"/>
  <c r="E17" i="8"/>
  <c r="E18" i="8"/>
  <c r="E19" i="8"/>
  <c r="E20" i="8"/>
  <c r="E21" i="8"/>
  <c r="E24" i="8"/>
  <c r="F24" i="8" s="1"/>
  <c r="E25" i="8"/>
  <c r="F25" i="8" s="1"/>
  <c r="E26" i="8"/>
  <c r="F26" i="8" s="1"/>
  <c r="E27" i="8"/>
  <c r="F27" i="8" s="1"/>
  <c r="E28" i="8"/>
  <c r="F28" i="8" s="1"/>
  <c r="E29" i="8"/>
  <c r="F29" i="8" s="1"/>
  <c r="E30" i="8"/>
  <c r="F30" i="8" s="1"/>
  <c r="C2" i="14" l="1"/>
  <c r="C4" i="14" s="1"/>
  <c r="C7" i="14" s="1"/>
  <c r="C25" i="9" s="1"/>
  <c r="D24" i="4" s="1"/>
  <c r="C24" i="4" s="1"/>
  <c r="E56" i="1" s="1"/>
  <c r="F56" i="1" s="1"/>
  <c r="F21" i="8"/>
  <c r="D29" i="2" s="1"/>
  <c r="F13" i="8"/>
  <c r="D11" i="2" s="1"/>
  <c r="F20" i="8"/>
  <c r="F12" i="8"/>
  <c r="D10" i="2" s="1"/>
  <c r="F19" i="8"/>
  <c r="D25" i="2" s="1"/>
  <c r="F18" i="8"/>
  <c r="D17" i="2" s="1"/>
  <c r="F17" i="8"/>
  <c r="D16" i="2" s="1"/>
  <c r="F9" i="8"/>
  <c r="D8" i="2" s="1"/>
  <c r="F8" i="8"/>
  <c r="D7" i="2" s="1"/>
  <c r="D6" i="2"/>
  <c r="D39" i="2"/>
  <c r="D38" i="2"/>
  <c r="D15" i="2"/>
  <c r="E3" i="8"/>
  <c r="E105" i="1"/>
  <c r="F105" i="1" s="1"/>
  <c r="C28" i="2"/>
  <c r="H49" i="1"/>
  <c r="I49" i="1" s="1"/>
  <c r="E49" i="1"/>
  <c r="F49" i="1" s="1"/>
  <c r="H209" i="1"/>
  <c r="I209" i="1" s="1"/>
  <c r="H206" i="1"/>
  <c r="I206" i="1" s="1"/>
  <c r="E206" i="1"/>
  <c r="F206" i="1" s="1"/>
  <c r="E4" i="1"/>
  <c r="F4" i="1" s="1"/>
  <c r="E5" i="1"/>
  <c r="F5" i="1" s="1"/>
  <c r="E6" i="1"/>
  <c r="F6" i="1" s="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25" i="1"/>
  <c r="F25" i="1" s="1"/>
  <c r="E26" i="1"/>
  <c r="F26" i="1" s="1"/>
  <c r="E27" i="1"/>
  <c r="F27" i="1" s="1"/>
  <c r="E28" i="1"/>
  <c r="F28" i="1" s="1"/>
  <c r="E29" i="1"/>
  <c r="F29" i="1" s="1"/>
  <c r="E30" i="1"/>
  <c r="F30" i="1" s="1"/>
  <c r="E31" i="1"/>
  <c r="F31" i="1" s="1"/>
  <c r="E32" i="1"/>
  <c r="F32" i="1" s="1"/>
  <c r="E33" i="1"/>
  <c r="F33" i="1" s="1"/>
  <c r="E34" i="1"/>
  <c r="F34" i="1" s="1"/>
  <c r="E36" i="1"/>
  <c r="F36" i="1" s="1"/>
  <c r="E37" i="1"/>
  <c r="F37" i="1" s="1"/>
  <c r="E38" i="1"/>
  <c r="F38" i="1" s="1"/>
  <c r="E39" i="1"/>
  <c r="F39" i="1" s="1"/>
  <c r="E40" i="1"/>
  <c r="F40" i="1" s="1"/>
  <c r="E41" i="1"/>
  <c r="F41" i="1" s="1"/>
  <c r="E42" i="1"/>
  <c r="F42" i="1" s="1"/>
  <c r="E43" i="1"/>
  <c r="F43" i="1" s="1"/>
  <c r="E44" i="1"/>
  <c r="F44" i="1" s="1"/>
  <c r="E45" i="1"/>
  <c r="F45" i="1" s="1"/>
  <c r="E46" i="1"/>
  <c r="F46" i="1" s="1"/>
  <c r="E47" i="1"/>
  <c r="F47" i="1" s="1"/>
  <c r="E48" i="1"/>
  <c r="F48" i="1" s="1"/>
  <c r="E50" i="1"/>
  <c r="F50" i="1" s="1"/>
  <c r="E51" i="1"/>
  <c r="F51" i="1" s="1"/>
  <c r="E52" i="1"/>
  <c r="F52" i="1" s="1"/>
  <c r="E53" i="1"/>
  <c r="F53" i="1" s="1"/>
  <c r="E54" i="1"/>
  <c r="F54" i="1" s="1"/>
  <c r="E55" i="1"/>
  <c r="F55" i="1" s="1"/>
  <c r="E57" i="1"/>
  <c r="F57" i="1" s="1"/>
  <c r="E58" i="1"/>
  <c r="F58" i="1" s="1"/>
  <c r="E59" i="1"/>
  <c r="F59" i="1" s="1"/>
  <c r="E60" i="1"/>
  <c r="F60" i="1" s="1"/>
  <c r="E61" i="1"/>
  <c r="F61" i="1" s="1"/>
  <c r="E62" i="1"/>
  <c r="F62" i="1" s="1"/>
  <c r="E63" i="1"/>
  <c r="F63" i="1" s="1"/>
  <c r="E64" i="1"/>
  <c r="F64" i="1" s="1"/>
  <c r="E65" i="1"/>
  <c r="F65" i="1" s="1"/>
  <c r="E66" i="1"/>
  <c r="F66" i="1" s="1"/>
  <c r="E67" i="1"/>
  <c r="F67" i="1" s="1"/>
  <c r="E68" i="1"/>
  <c r="F68" i="1" s="1"/>
  <c r="E69" i="1"/>
  <c r="F69" i="1" s="1"/>
  <c r="E70" i="1"/>
  <c r="F70" i="1" s="1"/>
  <c r="E71" i="1"/>
  <c r="F71" i="1" s="1"/>
  <c r="E72" i="1"/>
  <c r="F72" i="1" s="1"/>
  <c r="E73" i="1"/>
  <c r="F73" i="1" s="1"/>
  <c r="E74" i="1"/>
  <c r="F74" i="1" s="1"/>
  <c r="E75" i="1"/>
  <c r="F75" i="1" s="1"/>
  <c r="E76" i="1"/>
  <c r="F76" i="1" s="1"/>
  <c r="E77" i="1"/>
  <c r="F77" i="1" s="1"/>
  <c r="E78" i="1"/>
  <c r="F78" i="1" s="1"/>
  <c r="E79" i="1"/>
  <c r="F79" i="1" s="1"/>
  <c r="E80" i="1"/>
  <c r="F80" i="1" s="1"/>
  <c r="E81" i="1"/>
  <c r="F81" i="1" s="1"/>
  <c r="E82" i="1"/>
  <c r="F82" i="1" s="1"/>
  <c r="G29" i="2" s="1"/>
  <c r="E83" i="1"/>
  <c r="F83" i="1" s="1"/>
  <c r="E84" i="1"/>
  <c r="F84" i="1" s="1"/>
  <c r="E85" i="1"/>
  <c r="F85" i="1" s="1"/>
  <c r="E86" i="1"/>
  <c r="F86" i="1" s="1"/>
  <c r="E87" i="1"/>
  <c r="F87" i="1" s="1"/>
  <c r="E88" i="1"/>
  <c r="F88" i="1" s="1"/>
  <c r="E89" i="1"/>
  <c r="F89" i="1" s="1"/>
  <c r="E90" i="1"/>
  <c r="F90" i="1" s="1"/>
  <c r="E92" i="1"/>
  <c r="F92" i="1" s="1"/>
  <c r="E93" i="1"/>
  <c r="F93" i="1" s="1"/>
  <c r="E94" i="1"/>
  <c r="F94" i="1" s="1"/>
  <c r="E95" i="1"/>
  <c r="F95" i="1" s="1"/>
  <c r="E96" i="1"/>
  <c r="F96" i="1" s="1"/>
  <c r="E97" i="1"/>
  <c r="F97" i="1" s="1"/>
  <c r="E98" i="1"/>
  <c r="F98" i="1" s="1"/>
  <c r="E99" i="1"/>
  <c r="F99" i="1" s="1"/>
  <c r="E100" i="1"/>
  <c r="F100" i="1" s="1"/>
  <c r="E101" i="1"/>
  <c r="F101" i="1" s="1"/>
  <c r="E102" i="1"/>
  <c r="F102" i="1" s="1"/>
  <c r="E103" i="1"/>
  <c r="F103" i="1" s="1"/>
  <c r="E104" i="1"/>
  <c r="F104" i="1" s="1"/>
  <c r="E106" i="1"/>
  <c r="F106" i="1" s="1"/>
  <c r="E107" i="1"/>
  <c r="F107" i="1" s="1"/>
  <c r="E108" i="1"/>
  <c r="F108" i="1" s="1"/>
  <c r="E109" i="1"/>
  <c r="F109" i="1" s="1"/>
  <c r="E110" i="1"/>
  <c r="F110" i="1" s="1"/>
  <c r="E111" i="1"/>
  <c r="F111" i="1" s="1"/>
  <c r="E112" i="1"/>
  <c r="F112" i="1" s="1"/>
  <c r="E113" i="1"/>
  <c r="F113" i="1" s="1"/>
  <c r="E114" i="1"/>
  <c r="F114" i="1" s="1"/>
  <c r="E115" i="1"/>
  <c r="F115" i="1" s="1"/>
  <c r="E116" i="1"/>
  <c r="F116" i="1" s="1"/>
  <c r="E117" i="1"/>
  <c r="F117" i="1" s="1"/>
  <c r="E118" i="1"/>
  <c r="F118" i="1" s="1"/>
  <c r="E119" i="1"/>
  <c r="F119" i="1" s="1"/>
  <c r="E120" i="1"/>
  <c r="F120" i="1" s="1"/>
  <c r="E121" i="1"/>
  <c r="F121" i="1" s="1"/>
  <c r="E122" i="1"/>
  <c r="F122" i="1" s="1"/>
  <c r="E123" i="1"/>
  <c r="F123" i="1" s="1"/>
  <c r="E124" i="1"/>
  <c r="F124" i="1" s="1"/>
  <c r="E125" i="1"/>
  <c r="F125" i="1" s="1"/>
  <c r="E126" i="1"/>
  <c r="F126" i="1" s="1"/>
  <c r="E127" i="1"/>
  <c r="F127" i="1" s="1"/>
  <c r="E128" i="1"/>
  <c r="F128" i="1" s="1"/>
  <c r="E130" i="1"/>
  <c r="F130" i="1" s="1"/>
  <c r="E131" i="1"/>
  <c r="F131" i="1" s="1"/>
  <c r="E132" i="1"/>
  <c r="F132" i="1" s="1"/>
  <c r="E133" i="1"/>
  <c r="F133" i="1" s="1"/>
  <c r="E134" i="1"/>
  <c r="F134" i="1" s="1"/>
  <c r="E135" i="1"/>
  <c r="F135" i="1" s="1"/>
  <c r="E136" i="1"/>
  <c r="F136" i="1" s="1"/>
  <c r="E137" i="1"/>
  <c r="F137" i="1" s="1"/>
  <c r="E138" i="1"/>
  <c r="F138" i="1" s="1"/>
  <c r="E139" i="1"/>
  <c r="F139" i="1" s="1"/>
  <c r="E140" i="1"/>
  <c r="F140" i="1" s="1"/>
  <c r="E141" i="1"/>
  <c r="F141" i="1" s="1"/>
  <c r="E142" i="1"/>
  <c r="F142" i="1" s="1"/>
  <c r="E143" i="1"/>
  <c r="F143" i="1" s="1"/>
  <c r="E144" i="1"/>
  <c r="F144" i="1" s="1"/>
  <c r="E145" i="1"/>
  <c r="F145" i="1" s="1"/>
  <c r="E146" i="1"/>
  <c r="F146" i="1" s="1"/>
  <c r="E147" i="1"/>
  <c r="F147" i="1" s="1"/>
  <c r="E148" i="1"/>
  <c r="F148" i="1" s="1"/>
  <c r="E149" i="1"/>
  <c r="F149" i="1" s="1"/>
  <c r="E150" i="1"/>
  <c r="F150" i="1" s="1"/>
  <c r="E151" i="1"/>
  <c r="F151" i="1" s="1"/>
  <c r="E152" i="1"/>
  <c r="F152" i="1" s="1"/>
  <c r="E153" i="1"/>
  <c r="F153" i="1" s="1"/>
  <c r="E154" i="1"/>
  <c r="F154" i="1" s="1"/>
  <c r="E155" i="1"/>
  <c r="F155" i="1" s="1"/>
  <c r="E156" i="1"/>
  <c r="F156" i="1" s="1"/>
  <c r="E157" i="1"/>
  <c r="F157" i="1" s="1"/>
  <c r="E161" i="1"/>
  <c r="F161" i="1" s="1"/>
  <c r="E162" i="1"/>
  <c r="F162" i="1" s="1"/>
  <c r="E163" i="1"/>
  <c r="F163" i="1" s="1"/>
  <c r="E164" i="1"/>
  <c r="F164" i="1" s="1"/>
  <c r="E165" i="1"/>
  <c r="F165" i="1" s="1"/>
  <c r="E166" i="1"/>
  <c r="F166" i="1" s="1"/>
  <c r="E167" i="1"/>
  <c r="F167" i="1" s="1"/>
  <c r="E168" i="1"/>
  <c r="F168" i="1" s="1"/>
  <c r="E169" i="1"/>
  <c r="F169" i="1" s="1"/>
  <c r="E170" i="1"/>
  <c r="F170" i="1" s="1"/>
  <c r="E171" i="1"/>
  <c r="F171" i="1" s="1"/>
  <c r="E172" i="1"/>
  <c r="F172" i="1" s="1"/>
  <c r="E173" i="1"/>
  <c r="F173" i="1" s="1"/>
  <c r="E174" i="1"/>
  <c r="F174" i="1" s="1"/>
  <c r="E175" i="1"/>
  <c r="F175" i="1" s="1"/>
  <c r="E176" i="1"/>
  <c r="F176" i="1" s="1"/>
  <c r="E177" i="1"/>
  <c r="F177" i="1" s="1"/>
  <c r="E178" i="1"/>
  <c r="F178" i="1" s="1"/>
  <c r="E179" i="1"/>
  <c r="F179" i="1" s="1"/>
  <c r="E180" i="1"/>
  <c r="F180" i="1" s="1"/>
  <c r="E181" i="1"/>
  <c r="F181" i="1" s="1"/>
  <c r="E182" i="1"/>
  <c r="F182" i="1" s="1"/>
  <c r="E183" i="1"/>
  <c r="F183" i="1" s="1"/>
  <c r="E184" i="1"/>
  <c r="F184" i="1" s="1"/>
  <c r="E185" i="1"/>
  <c r="F185" i="1" s="1"/>
  <c r="E186" i="1"/>
  <c r="F186" i="1" s="1"/>
  <c r="E187" i="1"/>
  <c r="F187" i="1" s="1"/>
  <c r="E188" i="1"/>
  <c r="F188" i="1" s="1"/>
  <c r="E189" i="1"/>
  <c r="F189" i="1" s="1"/>
  <c r="E190" i="1"/>
  <c r="F190" i="1" s="1"/>
  <c r="E191" i="1"/>
  <c r="F191" i="1" s="1"/>
  <c r="E192" i="1"/>
  <c r="F192" i="1" s="1"/>
  <c r="E193" i="1"/>
  <c r="F193" i="1" s="1"/>
  <c r="E194" i="1"/>
  <c r="F194" i="1" s="1"/>
  <c r="E195" i="1"/>
  <c r="F195" i="1" s="1"/>
  <c r="E196" i="1"/>
  <c r="F196" i="1" s="1"/>
  <c r="E197" i="1"/>
  <c r="F197" i="1" s="1"/>
  <c r="E198" i="1"/>
  <c r="F198" i="1" s="1"/>
  <c r="E199" i="1"/>
  <c r="F199" i="1" s="1"/>
  <c r="E200" i="1"/>
  <c r="F200" i="1" s="1"/>
  <c r="E201" i="1"/>
  <c r="F201" i="1" s="1"/>
  <c r="E202" i="1"/>
  <c r="F202" i="1" s="1"/>
  <c r="E203" i="1"/>
  <c r="F203" i="1" s="1"/>
  <c r="E204" i="1"/>
  <c r="F204" i="1" s="1"/>
  <c r="E205" i="1"/>
  <c r="F205" i="1" s="1"/>
  <c r="H93" i="1"/>
  <c r="I93" i="1" s="1"/>
  <c r="H94" i="1"/>
  <c r="D1" i="1"/>
  <c r="H101" i="1"/>
  <c r="I101" i="1" s="1"/>
  <c r="H102" i="1"/>
  <c r="I102" i="1" s="1"/>
  <c r="H224" i="1"/>
  <c r="I224" i="1" s="1"/>
  <c r="E224" i="1"/>
  <c r="F224" i="1" s="1"/>
  <c r="E209" i="1"/>
  <c r="F209" i="1" s="1"/>
  <c r="H194" i="1"/>
  <c r="I194" i="1" s="1"/>
  <c r="H195" i="1"/>
  <c r="I195" i="1" s="1"/>
  <c r="H196" i="1"/>
  <c r="I196" i="1" s="1"/>
  <c r="H197" i="1"/>
  <c r="I197" i="1" s="1"/>
  <c r="H198" i="1"/>
  <c r="I198" i="1" s="1"/>
  <c r="H199" i="1"/>
  <c r="I199" i="1" s="1"/>
  <c r="H200" i="1"/>
  <c r="I200" i="1" s="1"/>
  <c r="H186" i="1"/>
  <c r="I186" i="1" s="1"/>
  <c r="H187" i="1"/>
  <c r="I187" i="1" s="1"/>
  <c r="H188" i="1"/>
  <c r="I188" i="1" s="1"/>
  <c r="H148" i="1"/>
  <c r="I148" i="1" s="1"/>
  <c r="H149" i="1"/>
  <c r="I149" i="1" s="1"/>
  <c r="H150" i="1"/>
  <c r="I150" i="1" s="1"/>
  <c r="H151" i="1"/>
  <c r="I151" i="1" s="1"/>
  <c r="H152" i="1"/>
  <c r="I152" i="1" s="1"/>
  <c r="H153" i="1"/>
  <c r="I153" i="1" s="1"/>
  <c r="H154" i="1"/>
  <c r="I154" i="1" s="1"/>
  <c r="H155" i="1"/>
  <c r="I155" i="1" s="1"/>
  <c r="H156" i="1"/>
  <c r="I156" i="1" s="1"/>
  <c r="H157" i="1"/>
  <c r="I157" i="1" s="1"/>
  <c r="H161" i="1"/>
  <c r="I161" i="1" s="1"/>
  <c r="H162" i="1"/>
  <c r="I162" i="1" s="1"/>
  <c r="H163" i="1"/>
  <c r="I163" i="1" s="1"/>
  <c r="H164" i="1"/>
  <c r="I164" i="1" s="1"/>
  <c r="H165" i="1"/>
  <c r="I165" i="1" s="1"/>
  <c r="H166" i="1"/>
  <c r="I166" i="1" s="1"/>
  <c r="H142" i="1"/>
  <c r="I142" i="1" s="1"/>
  <c r="H143" i="1"/>
  <c r="I143" i="1" s="1"/>
  <c r="H144" i="1"/>
  <c r="I144" i="1" s="1"/>
  <c r="H145" i="1"/>
  <c r="I145" i="1" s="1"/>
  <c r="H146" i="1"/>
  <c r="I146" i="1" s="1"/>
  <c r="H147" i="1"/>
  <c r="I147" i="1" s="1"/>
  <c r="H138" i="1"/>
  <c r="I138" i="1" s="1"/>
  <c r="H139" i="1"/>
  <c r="I139" i="1" s="1"/>
  <c r="H140" i="1"/>
  <c r="I140" i="1" s="1"/>
  <c r="H131" i="1"/>
  <c r="I131" i="1" s="1"/>
  <c r="H132" i="1"/>
  <c r="I132" i="1" s="1"/>
  <c r="H133" i="1"/>
  <c r="I133" i="1" s="1"/>
  <c r="H134" i="1"/>
  <c r="I134" i="1" s="1"/>
  <c r="H135" i="1"/>
  <c r="I135" i="1" s="1"/>
  <c r="H136" i="1"/>
  <c r="I136" i="1" s="1"/>
  <c r="H137" i="1"/>
  <c r="I137" i="1" s="1"/>
  <c r="H128" i="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04" i="1"/>
  <c r="I104" i="1" s="1"/>
  <c r="H96" i="1"/>
  <c r="I96" i="1" s="1"/>
  <c r="H97" i="1"/>
  <c r="I97" i="1" s="1"/>
  <c r="H98" i="1"/>
  <c r="I98" i="1" s="1"/>
  <c r="H99" i="1"/>
  <c r="I99" i="1" s="1"/>
  <c r="H92" i="1"/>
  <c r="I92" i="1" s="1"/>
  <c r="H76" i="1"/>
  <c r="I76" i="1" s="1"/>
  <c r="H77" i="1"/>
  <c r="I77" i="1" s="1"/>
  <c r="H66" i="1"/>
  <c r="H64" i="1"/>
  <c r="H48" i="1"/>
  <c r="I48" i="1" s="1"/>
  <c r="H50" i="1"/>
  <c r="I50" i="1" s="1"/>
  <c r="H51" i="1"/>
  <c r="I51" i="1" s="1"/>
  <c r="H52" i="1"/>
  <c r="I52" i="1" s="1"/>
  <c r="H53" i="1"/>
  <c r="I53" i="1" s="1"/>
  <c r="H54" i="1"/>
  <c r="I54" i="1" s="1"/>
  <c r="H55" i="1"/>
  <c r="I55" i="1" s="1"/>
  <c r="H33" i="1"/>
  <c r="I33" i="1" s="1"/>
  <c r="H34" i="1"/>
  <c r="I34" i="1" s="1"/>
  <c r="H36" i="1"/>
  <c r="I36" i="1" s="1"/>
  <c r="H37" i="1"/>
  <c r="I37" i="1" s="1"/>
  <c r="H38" i="1"/>
  <c r="H39" i="1"/>
  <c r="I39" i="1" s="1"/>
  <c r="H40" i="1"/>
  <c r="I40" i="1" s="1"/>
  <c r="H41" i="1"/>
  <c r="I41" i="1" s="1"/>
  <c r="H24" i="1"/>
  <c r="H15" i="1"/>
  <c r="I15" i="1" s="1"/>
  <c r="H16" i="1"/>
  <c r="I16" i="1" s="1"/>
  <c r="H17" i="1"/>
  <c r="I17" i="1" s="1"/>
  <c r="H18" i="1"/>
  <c r="I18" i="1" s="1"/>
  <c r="H19" i="1"/>
  <c r="I19" i="1" s="1"/>
  <c r="H20" i="1"/>
  <c r="I20" i="1" s="1"/>
  <c r="H21" i="1"/>
  <c r="I21" i="1" s="1"/>
  <c r="H22" i="1"/>
  <c r="I22" i="1" s="1"/>
  <c r="H9" i="1"/>
  <c r="H8" i="1"/>
  <c r="E23" i="8" l="1"/>
  <c r="F23" i="8" s="1"/>
  <c r="D35" i="2" s="1"/>
  <c r="D43" i="2" s="1"/>
  <c r="C26" i="9"/>
  <c r="D26" i="2"/>
  <c r="C25" i="12"/>
  <c r="F3" i="8"/>
  <c r="C21" i="3"/>
  <c r="C16" i="3"/>
  <c r="C11" i="3"/>
  <c r="C5" i="3"/>
  <c r="C20" i="3"/>
  <c r="C4" i="3"/>
  <c r="C15" i="3"/>
  <c r="D19" i="3"/>
  <c r="D18" i="3"/>
  <c r="D11" i="3"/>
  <c r="C17" i="3"/>
  <c r="C18" i="3"/>
  <c r="I94" i="1"/>
  <c r="I128" i="1"/>
  <c r="I66" i="1"/>
  <c r="I64" i="1"/>
  <c r="I38" i="1"/>
  <c r="I9" i="1"/>
  <c r="I24" i="1"/>
  <c r="C7" i="2" s="1"/>
  <c r="I8" i="1"/>
  <c r="B736" i="5"/>
  <c r="B735" i="5"/>
  <c r="B733" i="5"/>
  <c r="B732" i="5"/>
  <c r="B731" i="5"/>
  <c r="E11" i="8" l="1"/>
  <c r="F11" i="8" s="1"/>
  <c r="D20" i="2" s="1"/>
  <c r="D25" i="4"/>
  <c r="C25" i="4" s="1"/>
  <c r="E129" i="1" s="1"/>
  <c r="F129" i="1" s="1"/>
  <c r="D5" i="2"/>
  <c r="D13" i="2" s="1"/>
  <c r="D30" i="2"/>
  <c r="C476" i="5"/>
  <c r="C469" i="5"/>
  <c r="F1" i="8" l="1"/>
  <c r="E1" i="8"/>
  <c r="D31" i="2"/>
  <c r="D34" i="2" s="1"/>
  <c r="E21" i="7"/>
  <c r="D21" i="7"/>
  <c r="D31" i="7" s="1"/>
  <c r="B21" i="7"/>
  <c r="B31" i="7" s="1"/>
  <c r="D32" i="2" l="1"/>
  <c r="E31" i="7"/>
  <c r="C21" i="7"/>
  <c r="C31" i="7" s="1"/>
  <c r="H21" i="7" l="1"/>
  <c r="E613" i="5"/>
  <c r="C53" i="5"/>
  <c r="C52" i="5"/>
  <c r="C47" i="5"/>
  <c r="C26" i="5"/>
  <c r="C15" i="5"/>
  <c r="C14" i="5"/>
  <c r="C13" i="5"/>
  <c r="E514" i="5"/>
  <c r="E638" i="5"/>
  <c r="C190" i="5" l="1"/>
  <c r="C497" i="5" l="1"/>
  <c r="E497" i="5"/>
  <c r="K128" i="5"/>
  <c r="K127" i="5"/>
  <c r="K126" i="5"/>
  <c r="K125" i="5"/>
  <c r="K124" i="5"/>
  <c r="K123" i="5"/>
  <c r="I130" i="5"/>
  <c r="G130" i="5"/>
  <c r="E130" i="5"/>
  <c r="E136" i="5" s="1"/>
  <c r="C130" i="5"/>
  <c r="C136" i="5" s="1"/>
  <c r="K130" i="5" l="1"/>
  <c r="E190" i="5" l="1"/>
  <c r="E169" i="5"/>
  <c r="E165" i="5"/>
  <c r="E159" i="5"/>
  <c r="E97" i="5"/>
  <c r="C90" i="5"/>
  <c r="E90" i="5"/>
  <c r="E99" i="5" s="1"/>
  <c r="E103" i="5" s="1"/>
  <c r="E106" i="5" s="1"/>
  <c r="G67" i="5"/>
  <c r="G56" i="5"/>
  <c r="E56" i="5"/>
  <c r="G50" i="5"/>
  <c r="G58" i="5" s="1"/>
  <c r="G69" i="5" s="1"/>
  <c r="G29" i="5"/>
  <c r="G32" i="5" s="1"/>
  <c r="G21" i="5"/>
  <c r="P11" i="6" l="1"/>
  <c r="C11" i="6"/>
  <c r="T22" i="6" l="1"/>
  <c r="Q22" i="6"/>
  <c r="O22" i="6"/>
  <c r="W21" i="6"/>
  <c r="S21" i="6"/>
  <c r="W18" i="6"/>
  <c r="X18" i="6" s="1"/>
  <c r="W17" i="6"/>
  <c r="X17" i="6" s="1"/>
  <c r="W16" i="6"/>
  <c r="X16" i="6" s="1"/>
  <c r="W11" i="6"/>
  <c r="X11" i="6" s="1"/>
  <c r="G22" i="6"/>
  <c r="D22" i="6"/>
  <c r="B22" i="6"/>
  <c r="J21" i="6"/>
  <c r="F21" i="6"/>
  <c r="J18" i="6"/>
  <c r="J11" i="6"/>
  <c r="K11" i="6" s="1"/>
  <c r="X21" i="6" l="1"/>
  <c r="K18" i="6"/>
  <c r="K21" i="6"/>
  <c r="J16" i="6"/>
  <c r="K16" i="6" s="1"/>
  <c r="J17" i="6"/>
  <c r="K17" i="6" s="1"/>
  <c r="E91" i="1" l="1"/>
  <c r="F91" i="1" s="1"/>
  <c r="H91" i="1"/>
  <c r="I91" i="1" s="1"/>
  <c r="H59" i="1" l="1"/>
  <c r="H167" i="1"/>
  <c r="H168" i="1"/>
  <c r="H169" i="1"/>
  <c r="H69" i="1"/>
  <c r="I59" i="1" l="1"/>
  <c r="I167" i="1"/>
  <c r="I169" i="1"/>
  <c r="I168" i="1"/>
  <c r="I69" i="1"/>
  <c r="H230" i="1"/>
  <c r="I230" i="1" s="1"/>
  <c r="H231" i="1"/>
  <c r="I231" i="1" s="1"/>
  <c r="H232" i="1"/>
  <c r="I232" i="1" s="1"/>
  <c r="H233" i="1"/>
  <c r="I233" i="1" s="1"/>
  <c r="H234" i="1"/>
  <c r="I234" i="1" s="1"/>
  <c r="E230" i="1"/>
  <c r="F230" i="1" s="1"/>
  <c r="E231" i="1"/>
  <c r="F231" i="1" s="1"/>
  <c r="E232" i="1"/>
  <c r="F232" i="1" s="1"/>
  <c r="E233" i="1"/>
  <c r="F233" i="1" s="1"/>
  <c r="E234" i="1"/>
  <c r="F234" i="1" s="1"/>
  <c r="H4" i="1"/>
  <c r="H5" i="1"/>
  <c r="H6" i="1"/>
  <c r="H7" i="1"/>
  <c r="H10" i="1"/>
  <c r="H11" i="1"/>
  <c r="H12" i="1"/>
  <c r="H13" i="1"/>
  <c r="H14" i="1"/>
  <c r="H23" i="1"/>
  <c r="H25" i="1"/>
  <c r="H26" i="1"/>
  <c r="H27" i="1"/>
  <c r="H28" i="1"/>
  <c r="H29" i="1"/>
  <c r="H30" i="1"/>
  <c r="H31" i="1"/>
  <c r="H32" i="1"/>
  <c r="H42" i="1"/>
  <c r="H43" i="1"/>
  <c r="H44" i="1"/>
  <c r="H45" i="1"/>
  <c r="H46" i="1"/>
  <c r="H47" i="1"/>
  <c r="H56" i="1"/>
  <c r="H57" i="1"/>
  <c r="H58" i="1"/>
  <c r="H60" i="1"/>
  <c r="H61" i="1"/>
  <c r="H62" i="1"/>
  <c r="H63" i="1"/>
  <c r="H65" i="1"/>
  <c r="H67" i="1"/>
  <c r="H68" i="1"/>
  <c r="H70" i="1"/>
  <c r="H71" i="1"/>
  <c r="H72" i="1"/>
  <c r="H73" i="1"/>
  <c r="H74" i="1"/>
  <c r="H75" i="1"/>
  <c r="H78" i="1"/>
  <c r="H79" i="1"/>
  <c r="H80" i="1"/>
  <c r="H81" i="1"/>
  <c r="H82" i="1"/>
  <c r="H83" i="1"/>
  <c r="H84" i="1"/>
  <c r="H85" i="1"/>
  <c r="H86" i="1"/>
  <c r="H87" i="1"/>
  <c r="H88" i="1"/>
  <c r="H89" i="1"/>
  <c r="H90" i="1"/>
  <c r="H95" i="1"/>
  <c r="H100" i="1"/>
  <c r="H103" i="1"/>
  <c r="H105" i="1"/>
  <c r="H106" i="1"/>
  <c r="H107" i="1"/>
  <c r="H123" i="1"/>
  <c r="H124" i="1"/>
  <c r="H125" i="1"/>
  <c r="H126" i="1"/>
  <c r="H127" i="1"/>
  <c r="H129" i="1"/>
  <c r="H130" i="1"/>
  <c r="H141" i="1"/>
  <c r="H170" i="1"/>
  <c r="H171" i="1"/>
  <c r="H172" i="1"/>
  <c r="H173" i="1"/>
  <c r="H174" i="1"/>
  <c r="H175" i="1"/>
  <c r="H176" i="1"/>
  <c r="H177" i="1"/>
  <c r="H178" i="1"/>
  <c r="H179" i="1"/>
  <c r="H180" i="1"/>
  <c r="H181" i="1"/>
  <c r="H182" i="1"/>
  <c r="H183" i="1"/>
  <c r="H184" i="1"/>
  <c r="H185" i="1"/>
  <c r="H189" i="1"/>
  <c r="H190" i="1"/>
  <c r="H191" i="1"/>
  <c r="H192" i="1"/>
  <c r="H193" i="1"/>
  <c r="H201" i="1"/>
  <c r="H202" i="1"/>
  <c r="H203" i="1"/>
  <c r="H204" i="1"/>
  <c r="H205" i="1"/>
  <c r="H207" i="1"/>
  <c r="H208" i="1"/>
  <c r="H227" i="1"/>
  <c r="I227" i="1" s="1"/>
  <c r="H228" i="1"/>
  <c r="I228" i="1" s="1"/>
  <c r="H229" i="1"/>
  <c r="I229" i="1" s="1"/>
  <c r="H3" i="1"/>
  <c r="E207" i="1"/>
  <c r="E208" i="1"/>
  <c r="E227" i="1"/>
  <c r="F227" i="1" s="1"/>
  <c r="C632" i="5" s="1"/>
  <c r="E228" i="1"/>
  <c r="F228" i="1" s="1"/>
  <c r="C603" i="5" s="1"/>
  <c r="E229" i="1"/>
  <c r="F229" i="1" s="1"/>
  <c r="E3" i="1"/>
  <c r="G42" i="2" l="1"/>
  <c r="E65" i="6" s="1"/>
  <c r="G40" i="2"/>
  <c r="E63" i="6" s="1"/>
  <c r="G36" i="2"/>
  <c r="E59" i="6" s="1"/>
  <c r="G27" i="2"/>
  <c r="I23" i="7" s="1"/>
  <c r="G25" i="2"/>
  <c r="E47" i="6" s="1"/>
  <c r="G24" i="2"/>
  <c r="G21" i="2"/>
  <c r="E45" i="6" s="1"/>
  <c r="G20" i="2"/>
  <c r="C42" i="2"/>
  <c r="C40" i="2"/>
  <c r="C36" i="2"/>
  <c r="C27" i="2"/>
  <c r="S23" i="7" s="1"/>
  <c r="C25" i="2"/>
  <c r="C24" i="2"/>
  <c r="E24" i="2" s="1"/>
  <c r="C21" i="2"/>
  <c r="I4" i="1"/>
  <c r="I5" i="1"/>
  <c r="I6" i="1"/>
  <c r="I7" i="1"/>
  <c r="I10" i="1"/>
  <c r="I11" i="1"/>
  <c r="I12" i="1"/>
  <c r="I13" i="1"/>
  <c r="I14" i="1"/>
  <c r="C12" i="2" s="1"/>
  <c r="E12" i="2" s="1"/>
  <c r="C36" i="6" s="1"/>
  <c r="I23" i="1"/>
  <c r="I25" i="1"/>
  <c r="I26" i="1"/>
  <c r="I27" i="1"/>
  <c r="I28" i="1"/>
  <c r="I29" i="1"/>
  <c r="I30" i="1"/>
  <c r="I31" i="1"/>
  <c r="I32" i="1"/>
  <c r="I42" i="1"/>
  <c r="I43" i="1"/>
  <c r="I44" i="1"/>
  <c r="I45" i="1"/>
  <c r="I46" i="1"/>
  <c r="I47" i="1"/>
  <c r="I56" i="1"/>
  <c r="I57" i="1"/>
  <c r="I58" i="1"/>
  <c r="I60" i="1"/>
  <c r="I61" i="1"/>
  <c r="I62" i="1"/>
  <c r="I63" i="1"/>
  <c r="I65" i="1"/>
  <c r="C19" i="2" s="1"/>
  <c r="I67" i="1"/>
  <c r="I68" i="1"/>
  <c r="I70" i="1"/>
  <c r="I71" i="1"/>
  <c r="I72" i="1"/>
  <c r="I73" i="1"/>
  <c r="I74" i="1"/>
  <c r="I75" i="1"/>
  <c r="I78" i="1"/>
  <c r="I79" i="1"/>
  <c r="I80" i="1"/>
  <c r="I81" i="1"/>
  <c r="B25" i="12" s="1"/>
  <c r="I7" i="10" s="1"/>
  <c r="J16" i="10" s="1"/>
  <c r="I82" i="1"/>
  <c r="I83" i="1"/>
  <c r="I84" i="1"/>
  <c r="I85" i="1"/>
  <c r="I86" i="1"/>
  <c r="I87" i="1"/>
  <c r="I88" i="1"/>
  <c r="I89" i="1"/>
  <c r="I90" i="1"/>
  <c r="I95" i="1"/>
  <c r="I100" i="1"/>
  <c r="I103" i="1"/>
  <c r="I105" i="1"/>
  <c r="I106" i="1"/>
  <c r="I107" i="1"/>
  <c r="I123" i="1"/>
  <c r="D15" i="3" s="1"/>
  <c r="I124" i="1"/>
  <c r="I125" i="1"/>
  <c r="I126" i="1"/>
  <c r="I127" i="1"/>
  <c r="I129" i="1"/>
  <c r="I130" i="1"/>
  <c r="I141" i="1"/>
  <c r="I170" i="1"/>
  <c r="D17" i="3" s="1"/>
  <c r="I171" i="1"/>
  <c r="I172" i="1"/>
  <c r="I173" i="1"/>
  <c r="I174" i="1"/>
  <c r="I175" i="1"/>
  <c r="D4" i="3" s="1"/>
  <c r="I176" i="1"/>
  <c r="I177" i="1"/>
  <c r="I178" i="1"/>
  <c r="D6" i="3" s="1"/>
  <c r="I179" i="1"/>
  <c r="I180" i="1"/>
  <c r="I181" i="1"/>
  <c r="D9" i="3" s="1"/>
  <c r="I182" i="1"/>
  <c r="I183" i="1"/>
  <c r="D10" i="3" s="1"/>
  <c r="I184" i="1"/>
  <c r="I185" i="1"/>
  <c r="I189" i="1"/>
  <c r="I190" i="1"/>
  <c r="I191" i="1"/>
  <c r="D16" i="3" s="1"/>
  <c r="I192" i="1"/>
  <c r="I193" i="1"/>
  <c r="I201" i="1"/>
  <c r="D20" i="3" s="1"/>
  <c r="I202" i="1"/>
  <c r="D21" i="3" s="1"/>
  <c r="I203" i="1"/>
  <c r="I204" i="1"/>
  <c r="I205" i="1"/>
  <c r="I207" i="1"/>
  <c r="I208" i="1"/>
  <c r="I3" i="1"/>
  <c r="G8" i="2"/>
  <c r="G19" i="2"/>
  <c r="E43" i="6" s="1"/>
  <c r="C510" i="5"/>
  <c r="G26" i="2"/>
  <c r="H27" i="7" s="1"/>
  <c r="F27" i="7" s="1"/>
  <c r="C604" i="5"/>
  <c r="C629" i="5"/>
  <c r="C7" i="3"/>
  <c r="C8" i="3"/>
  <c r="C9" i="3"/>
  <c r="C10" i="3"/>
  <c r="F207" i="1"/>
  <c r="F208" i="1"/>
  <c r="C19" i="3"/>
  <c r="F3" i="1"/>
  <c r="E51" i="6"/>
  <c r="G12" i="2"/>
  <c r="E36" i="6" s="1"/>
  <c r="V8" i="6" s="1"/>
  <c r="G7" i="2"/>
  <c r="E31" i="6" s="1"/>
  <c r="V6" i="6" s="1"/>
  <c r="G6" i="2"/>
  <c r="L7" i="10" l="1"/>
  <c r="I11" i="10"/>
  <c r="C16" i="2"/>
  <c r="E16" i="2" s="1"/>
  <c r="C40" i="6" s="1"/>
  <c r="I14" i="6" s="1"/>
  <c r="J14" i="6" s="1"/>
  <c r="C26" i="2"/>
  <c r="R27" i="7" s="1"/>
  <c r="P27" i="7" s="1"/>
  <c r="E52" i="6"/>
  <c r="E30" i="6"/>
  <c r="V5" i="6" s="1"/>
  <c r="W5" i="6" s="1"/>
  <c r="C29" i="2"/>
  <c r="C20" i="2"/>
  <c r="E20" i="2" s="1"/>
  <c r="C6" i="2"/>
  <c r="E6" i="2" s="1"/>
  <c r="D8" i="3"/>
  <c r="C8" i="2"/>
  <c r="E8" i="2" s="1"/>
  <c r="D7" i="3"/>
  <c r="D5" i="3"/>
  <c r="E44" i="6"/>
  <c r="V12" i="6" s="1"/>
  <c r="R12" i="6" s="1"/>
  <c r="R8" i="6"/>
  <c r="W8" i="6"/>
  <c r="G134" i="5"/>
  <c r="W6" i="6"/>
  <c r="P6" i="6"/>
  <c r="E21" i="2"/>
  <c r="C45" i="6" s="1"/>
  <c r="C46" i="6"/>
  <c r="E19" i="2"/>
  <c r="C43" i="6" s="1"/>
  <c r="E25" i="2"/>
  <c r="I17" i="11" s="1"/>
  <c r="E27" i="2"/>
  <c r="E36" i="2"/>
  <c r="C59" i="6" s="1"/>
  <c r="E40" i="2"/>
  <c r="C63" i="6" s="1"/>
  <c r="E7" i="2"/>
  <c r="C31" i="6" s="1"/>
  <c r="I6" i="6" s="1"/>
  <c r="I8" i="6"/>
  <c r="E28" i="2"/>
  <c r="C51" i="6" s="1"/>
  <c r="E42" i="2"/>
  <c r="C65" i="6" s="1"/>
  <c r="C628" i="5"/>
  <c r="C507" i="5"/>
  <c r="G16" i="2"/>
  <c r="E40" i="6" s="1"/>
  <c r="V14" i="6" s="1"/>
  <c r="C508" i="5"/>
  <c r="C630" i="5"/>
  <c r="C633" i="5"/>
  <c r="E46" i="6"/>
  <c r="C602" i="5"/>
  <c r="E50" i="6"/>
  <c r="W46" i="6" s="1"/>
  <c r="C6" i="3"/>
  <c r="C472" i="5"/>
  <c r="C479" i="5"/>
  <c r="E48" i="6"/>
  <c r="E32" i="6"/>
  <c r="V9" i="6" s="1"/>
  <c r="C11" i="2"/>
  <c r="G11" i="2"/>
  <c r="E35" i="6" s="1"/>
  <c r="G35" i="2"/>
  <c r="E58" i="6" s="1"/>
  <c r="C35" i="2"/>
  <c r="C18" i="2"/>
  <c r="C10" i="2"/>
  <c r="C41" i="2"/>
  <c r="C9" i="2"/>
  <c r="R25" i="7"/>
  <c r="P25" i="7" s="1"/>
  <c r="C17" i="2"/>
  <c r="C15" i="2"/>
  <c r="G41" i="2"/>
  <c r="C101" i="5" s="1"/>
  <c r="G9" i="2"/>
  <c r="E18" i="5" s="1"/>
  <c r="G15" i="2"/>
  <c r="E46" i="5" s="1"/>
  <c r="G5" i="2"/>
  <c r="G17" i="2"/>
  <c r="G18" i="2"/>
  <c r="E42" i="6" s="1"/>
  <c r="G10" i="2"/>
  <c r="C5" i="2"/>
  <c r="R5" i="6" l="1"/>
  <c r="C47" i="6"/>
  <c r="C50" i="6"/>
  <c r="I16" i="11"/>
  <c r="C32" i="6"/>
  <c r="I9" i="6" s="1"/>
  <c r="J9" i="6" s="1"/>
  <c r="C30" i="6"/>
  <c r="I5" i="6" s="1"/>
  <c r="E5" i="6" s="1"/>
  <c r="I5" i="11"/>
  <c r="C5" i="11" s="1"/>
  <c r="C42" i="11" s="1"/>
  <c r="P31" i="7"/>
  <c r="I26" i="2"/>
  <c r="E26" i="2"/>
  <c r="E29" i="2"/>
  <c r="C44" i="6"/>
  <c r="I12" i="6" s="1"/>
  <c r="J12" i="6" s="1"/>
  <c r="E13" i="5"/>
  <c r="E21" i="5" s="1"/>
  <c r="I5" i="2"/>
  <c r="I6" i="2"/>
  <c r="I29" i="2"/>
  <c r="I8" i="2"/>
  <c r="I20" i="2"/>
  <c r="W12" i="6"/>
  <c r="X12" i="6" s="1"/>
  <c r="X8" i="6"/>
  <c r="J8" i="6"/>
  <c r="E226" i="1"/>
  <c r="F226" i="1" s="1"/>
  <c r="C610" i="5" s="1"/>
  <c r="G133" i="5"/>
  <c r="G136" i="5" s="1"/>
  <c r="H25" i="7"/>
  <c r="F25" i="7" s="1"/>
  <c r="C149" i="5"/>
  <c r="W39" i="6"/>
  <c r="X6" i="6"/>
  <c r="J6" i="6"/>
  <c r="C6" i="6"/>
  <c r="C514" i="5"/>
  <c r="C14" i="6"/>
  <c r="K14" i="6" s="1"/>
  <c r="E15" i="2"/>
  <c r="E35" i="2"/>
  <c r="C58" i="6" s="1"/>
  <c r="E17" i="2"/>
  <c r="C49" i="6"/>
  <c r="E11" i="2"/>
  <c r="E9" i="2"/>
  <c r="C33" i="6" s="1"/>
  <c r="I7" i="6" s="1"/>
  <c r="E41" i="2"/>
  <c r="C64" i="6" s="1"/>
  <c r="E5" i="2"/>
  <c r="E10" i="2"/>
  <c r="O3" i="11" s="1"/>
  <c r="E8" i="11" s="1"/>
  <c r="E18" i="2"/>
  <c r="C42" i="6" s="1"/>
  <c r="E47" i="5"/>
  <c r="C605" i="5"/>
  <c r="W14" i="6"/>
  <c r="P14" i="6"/>
  <c r="I16" i="2"/>
  <c r="E26" i="5"/>
  <c r="E29" i="5" s="1"/>
  <c r="E64" i="5"/>
  <c r="P9" i="6"/>
  <c r="E49" i="6"/>
  <c r="V19" i="6" s="1"/>
  <c r="W9" i="6"/>
  <c r="E64" i="6"/>
  <c r="E34" i="6"/>
  <c r="E41" i="6"/>
  <c r="V15" i="6" s="1"/>
  <c r="E39" i="6"/>
  <c r="V13" i="6" s="1"/>
  <c r="E33" i="6"/>
  <c r="V7" i="6" s="1"/>
  <c r="E29" i="6"/>
  <c r="X5" i="6"/>
  <c r="I35" i="2"/>
  <c r="I11" i="2"/>
  <c r="I9" i="2"/>
  <c r="I18" i="2"/>
  <c r="I10" i="2"/>
  <c r="I41" i="2"/>
  <c r="I15" i="2"/>
  <c r="I17" i="2"/>
  <c r="H225" i="1"/>
  <c r="G13" i="2"/>
  <c r="C13" i="2"/>
  <c r="C9" i="6" l="1"/>
  <c r="K9" i="6" s="1"/>
  <c r="J5" i="6"/>
  <c r="K5" i="6" s="1"/>
  <c r="J5" i="11"/>
  <c r="C35" i="6"/>
  <c r="O4" i="11"/>
  <c r="C8" i="11" s="1"/>
  <c r="C31" i="11" s="1"/>
  <c r="C16" i="11"/>
  <c r="C32" i="11" s="1"/>
  <c r="J16" i="11"/>
  <c r="C52" i="6"/>
  <c r="C48" i="6"/>
  <c r="I19" i="6" s="1"/>
  <c r="C19" i="6" s="1"/>
  <c r="I18" i="11"/>
  <c r="F17" i="11"/>
  <c r="J17" i="11"/>
  <c r="C43" i="11"/>
  <c r="C44" i="11" s="1"/>
  <c r="E21" i="11"/>
  <c r="C29" i="6"/>
  <c r="I4" i="6" s="1"/>
  <c r="J4" i="6" s="1"/>
  <c r="I4" i="11"/>
  <c r="C34" i="6"/>
  <c r="K33" i="6" s="1"/>
  <c r="I8" i="11"/>
  <c r="J8" i="11" s="1"/>
  <c r="I7" i="11"/>
  <c r="C39" i="6"/>
  <c r="I13" i="6" s="1"/>
  <c r="C13" i="6" s="1"/>
  <c r="C41" i="6"/>
  <c r="I15" i="6" s="1"/>
  <c r="C15" i="6" s="1"/>
  <c r="I11" i="11"/>
  <c r="E160" i="1"/>
  <c r="F160" i="1" s="1"/>
  <c r="C14" i="3" s="1"/>
  <c r="K8" i="6"/>
  <c r="C7" i="6"/>
  <c r="W7" i="6"/>
  <c r="H226" i="1"/>
  <c r="I226" i="1" s="1"/>
  <c r="K12" i="6"/>
  <c r="S22" i="6"/>
  <c r="C168" i="5" s="1"/>
  <c r="V10" i="6"/>
  <c r="C483" i="5" s="1"/>
  <c r="W33" i="6"/>
  <c r="K6" i="6"/>
  <c r="E13" i="2"/>
  <c r="E225" i="1"/>
  <c r="F225" i="1" s="1"/>
  <c r="F22" i="6"/>
  <c r="E22" i="6"/>
  <c r="X14" i="6"/>
  <c r="X9" i="6"/>
  <c r="E32" i="5"/>
  <c r="F31" i="7"/>
  <c r="W19" i="6"/>
  <c r="C613" i="5"/>
  <c r="P7" i="6"/>
  <c r="C154" i="5" s="1"/>
  <c r="E50" i="5"/>
  <c r="E58" i="5" s="1"/>
  <c r="C162" i="5"/>
  <c r="P15" i="6"/>
  <c r="C157" i="5" s="1"/>
  <c r="W15" i="6"/>
  <c r="P13" i="6"/>
  <c r="C156" i="5" s="1"/>
  <c r="W13" i="6"/>
  <c r="V4" i="6"/>
  <c r="C173" i="5" s="1"/>
  <c r="E37" i="6"/>
  <c r="I225" i="1"/>
  <c r="I13" i="2"/>
  <c r="K17" i="11" l="1"/>
  <c r="I10" i="6"/>
  <c r="J10" i="6" s="1"/>
  <c r="K10" i="6" s="1"/>
  <c r="K16" i="11"/>
  <c r="J4" i="11"/>
  <c r="H4" i="11"/>
  <c r="H21" i="11" s="1"/>
  <c r="J10" i="11"/>
  <c r="C10" i="11"/>
  <c r="J11" i="11"/>
  <c r="C11" i="11"/>
  <c r="J7" i="11"/>
  <c r="C7" i="11"/>
  <c r="C34" i="11" s="1"/>
  <c r="K8" i="11"/>
  <c r="F18" i="11"/>
  <c r="F21" i="11" s="1"/>
  <c r="J18" i="11"/>
  <c r="K5" i="11"/>
  <c r="C37" i="6"/>
  <c r="J13" i="6"/>
  <c r="K13" i="6" s="1"/>
  <c r="J19" i="6"/>
  <c r="H160" i="1"/>
  <c r="I160" i="1" s="1"/>
  <c r="D14" i="3" s="1"/>
  <c r="J7" i="6"/>
  <c r="K7" i="6" s="1"/>
  <c r="W10" i="6"/>
  <c r="X10" i="6" s="1"/>
  <c r="K39" i="6"/>
  <c r="P19" i="6"/>
  <c r="C152" i="5" s="1"/>
  <c r="H4" i="6"/>
  <c r="H22" i="6" s="1"/>
  <c r="J15" i="6"/>
  <c r="K15" i="6" s="1"/>
  <c r="X7" i="6"/>
  <c r="R22" i="6"/>
  <c r="C165" i="5"/>
  <c r="X15" i="6"/>
  <c r="X13" i="6"/>
  <c r="U4" i="6"/>
  <c r="U22" i="6" s="1"/>
  <c r="W4" i="6"/>
  <c r="K18" i="11" l="1"/>
  <c r="K7" i="11"/>
  <c r="K11" i="11"/>
  <c r="C35" i="11"/>
  <c r="C37" i="11" s="1"/>
  <c r="K10" i="11"/>
  <c r="C47" i="11"/>
  <c r="C50" i="11" s="1"/>
  <c r="K4" i="11"/>
  <c r="X19" i="6"/>
  <c r="K4" i="6"/>
  <c r="X4" i="6"/>
  <c r="K45" i="6" l="1"/>
  <c r="K46" i="6" s="1"/>
  <c r="K19" i="6"/>
  <c r="H158" i="1"/>
  <c r="H159" i="1"/>
  <c r="I159" i="1" s="1"/>
  <c r="E158" i="1"/>
  <c r="E159" i="1"/>
  <c r="F159" i="1" s="1"/>
  <c r="I158" i="1" l="1"/>
  <c r="D13" i="3" s="1"/>
  <c r="F158" i="1"/>
  <c r="C13" i="3" s="1"/>
  <c r="C12" i="3" l="1"/>
  <c r="C23" i="3" s="1"/>
  <c r="I3" i="3" s="1"/>
  <c r="C11" i="4" s="1"/>
  <c r="D12" i="3"/>
  <c r="D23" i="3" s="1"/>
  <c r="J3" i="3" s="1"/>
  <c r="D11" i="4" s="1"/>
  <c r="H210" i="1" l="1"/>
  <c r="I210" i="1" s="1"/>
  <c r="E210" i="1"/>
  <c r="F210" i="1" s="1"/>
  <c r="J5" i="3"/>
  <c r="D12" i="4" s="1"/>
  <c r="H211" i="1" s="1"/>
  <c r="I211" i="1" s="1"/>
  <c r="C38" i="2" s="1"/>
  <c r="E38" i="2" s="1"/>
  <c r="C61" i="6" s="1"/>
  <c r="J4" i="3"/>
  <c r="J6" i="3"/>
  <c r="I4" i="3"/>
  <c r="I5" i="3"/>
  <c r="C12" i="4" s="1"/>
  <c r="E211" i="1" s="1"/>
  <c r="F211" i="1" s="1"/>
  <c r="G38" i="2" s="1"/>
  <c r="I6" i="3"/>
  <c r="D13" i="4" l="1"/>
  <c r="H212" i="1" s="1"/>
  <c r="I212" i="1" s="1"/>
  <c r="C39" i="2" s="1"/>
  <c r="E39" i="2" s="1"/>
  <c r="C62" i="6" s="1"/>
  <c r="C13" i="4"/>
  <c r="E212" i="1" s="1"/>
  <c r="F212" i="1" s="1"/>
  <c r="F1" i="1" s="1"/>
  <c r="C37" i="2"/>
  <c r="C94" i="5"/>
  <c r="I38" i="2"/>
  <c r="E61" i="6"/>
  <c r="G37" i="2"/>
  <c r="I1" i="1" l="1"/>
  <c r="H1" i="1"/>
  <c r="C627" i="5"/>
  <c r="E1" i="1"/>
  <c r="G39" i="2"/>
  <c r="C638" i="5"/>
  <c r="E37" i="2"/>
  <c r="C60" i="6" s="1"/>
  <c r="C66" i="6" s="1"/>
  <c r="C43" i="2"/>
  <c r="E60" i="6"/>
  <c r="C93" i="5"/>
  <c r="I37" i="2"/>
  <c r="C95" i="5" l="1"/>
  <c r="C97" i="5" s="1"/>
  <c r="C99" i="5" s="1"/>
  <c r="C103" i="5" s="1"/>
  <c r="C106" i="5" s="1"/>
  <c r="I39" i="2"/>
  <c r="E62" i="6"/>
  <c r="E66" i="6" s="1"/>
  <c r="G43" i="2"/>
  <c r="I43" i="2" s="1"/>
  <c r="C634" i="5"/>
  <c r="C30" i="2"/>
  <c r="E43" i="2"/>
  <c r="K10" i="10" l="1"/>
  <c r="K11" i="10" s="1"/>
  <c r="C29" i="11"/>
  <c r="C39" i="11" s="1"/>
  <c r="C52" i="11" s="1"/>
  <c r="C54" i="11" s="1"/>
  <c r="G30" i="2"/>
  <c r="I30" i="2" s="1"/>
  <c r="E30" i="2"/>
  <c r="C31" i="2"/>
  <c r="R33" i="7"/>
  <c r="Q29" i="7"/>
  <c r="L10" i="10" l="1"/>
  <c r="L11" i="10" s="1"/>
  <c r="L14" i="10" s="1"/>
  <c r="C53" i="6"/>
  <c r="I20" i="6" s="1"/>
  <c r="I19" i="11"/>
  <c r="G31" i="2"/>
  <c r="E53" i="6"/>
  <c r="V20" i="6" s="1"/>
  <c r="H33" i="7"/>
  <c r="I132" i="5"/>
  <c r="I136" i="5" s="1"/>
  <c r="E65" i="5"/>
  <c r="E67" i="5" s="1"/>
  <c r="E69" i="5" s="1"/>
  <c r="G29" i="7"/>
  <c r="H29" i="7" s="1"/>
  <c r="C32" i="2"/>
  <c r="E31" i="2"/>
  <c r="E32" i="2" s="1"/>
  <c r="C34" i="2"/>
  <c r="Q31" i="7"/>
  <c r="R31" i="7" s="1"/>
  <c r="R35" i="7" s="1"/>
  <c r="R29" i="7"/>
  <c r="C54" i="6"/>
  <c r="I31" i="2" l="1"/>
  <c r="C19" i="11"/>
  <c r="C21" i="11" s="1"/>
  <c r="J19" i="11"/>
  <c r="I21" i="11"/>
  <c r="K132" i="5"/>
  <c r="K136" i="5" s="1"/>
  <c r="G32" i="2"/>
  <c r="G31" i="7"/>
  <c r="H31" i="7" s="1"/>
  <c r="H35" i="7" s="1"/>
  <c r="E54" i="6"/>
  <c r="E55" i="6" s="1"/>
  <c r="C57" i="6"/>
  <c r="C55" i="6"/>
  <c r="I22" i="6"/>
  <c r="C20" i="6"/>
  <c r="C22" i="6" s="1"/>
  <c r="J20" i="6"/>
  <c r="J22" i="6" s="1"/>
  <c r="W20" i="6"/>
  <c r="W22" i="6" s="1"/>
  <c r="V22" i="6"/>
  <c r="P20" i="6"/>
  <c r="P22" i="6" s="1"/>
  <c r="C148" i="5"/>
  <c r="C159" i="5" s="1"/>
  <c r="K19" i="11" l="1"/>
  <c r="K21" i="11" s="1"/>
  <c r="J21" i="11"/>
  <c r="K20" i="6"/>
  <c r="K22" i="6" s="1"/>
  <c r="X20" i="6"/>
  <c r="X22"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Shilo Sameah</author>
  </authors>
  <commentList>
    <comment ref="C19" authorId="0" shapeId="0" xr:uid="{4B2CE74F-C05B-43CB-BDC7-09275A27C63B}">
      <text>
        <r>
          <rPr>
            <b/>
            <sz val="9"/>
            <color indexed="81"/>
            <rFont val="Tahoma"/>
            <family val="2"/>
          </rPr>
          <t>Shilo Sameah:</t>
        </r>
        <r>
          <rPr>
            <sz val="9"/>
            <color indexed="81"/>
            <rFont val="Tahoma"/>
            <family val="2"/>
          </rPr>
          <t xml:space="preserve">
Loss of this year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Shilo Sameah</author>
  </authors>
  <commentList>
    <comment ref="C4" authorId="0" shapeId="0" xr:uid="{081A72DD-A588-48BC-B5AE-0B83C841C8DD}">
      <text>
        <r>
          <rPr>
            <b/>
            <sz val="9"/>
            <color indexed="81"/>
            <rFont val="Tahoma"/>
            <family val="2"/>
          </rPr>
          <t>Shilo Sameah:</t>
        </r>
        <r>
          <rPr>
            <sz val="9"/>
            <color indexed="81"/>
            <rFont val="Tahoma"/>
            <family val="2"/>
          </rPr>
          <t xml:space="preserve">
409A as of 31/07/2021</t>
        </r>
      </text>
    </comment>
  </commentList>
</comments>
</file>

<file path=xl/sharedStrings.xml><?xml version="1.0" encoding="utf-8"?>
<sst xmlns="http://schemas.openxmlformats.org/spreadsheetml/2006/main" count="1554" uniqueCount="1050">
  <si>
    <t>Account No.</t>
  </si>
  <si>
    <t>Account Description</t>
  </si>
  <si>
    <t>Balance (ILS)</t>
  </si>
  <si>
    <t>Balance (USD)</t>
  </si>
  <si>
    <t>כרטיס אשראי 9110 ש"ח</t>
  </si>
  <si>
    <t>פקדון $ בנק לאומי</t>
  </si>
  <si>
    <t>פקדון 10 ביס</t>
  </si>
  <si>
    <t>פקדון שכר דירה</t>
  </si>
  <si>
    <t>ציוד אלקטרוני</t>
  </si>
  <si>
    <t>פחת נצבר ציוד אלקטרוני</t>
  </si>
  <si>
    <t>10 ביס</t>
  </si>
  <si>
    <t>אספירקום מערכות בע"מ</t>
  </si>
  <si>
    <t>בי אול סנטרס בע"מ</t>
  </si>
  <si>
    <t>אקס. אנג'וי אירועים והפקות בע"מ - הסטודיו לבישול</t>
  </si>
  <si>
    <t>GOOGLE</t>
  </si>
  <si>
    <t>Amazon</t>
  </si>
  <si>
    <t>אמנון גור - חו"ז גמל</t>
  </si>
  <si>
    <t>שחר ארז</t>
  </si>
  <si>
    <t>נפתלי ריין</t>
  </si>
  <si>
    <t>שי אשכנזי</t>
  </si>
  <si>
    <t>הוצאות הנפקה</t>
  </si>
  <si>
    <t>TLV Partners II, L.P.</t>
  </si>
  <si>
    <t>TLV Partners Strategic Fund II, L.P.</t>
  </si>
  <si>
    <t>ASSAF AND LIRON-COMCAST VENTURES LP</t>
  </si>
  <si>
    <t>ANURAG PAL</t>
  </si>
  <si>
    <t>PIPELINE CAPITAL PARTNERS</t>
  </si>
  <si>
    <t>BOGOMIL G BALKANSKY</t>
  </si>
  <si>
    <t>PIPELINE CAPITAL PARTNERS I LP</t>
  </si>
  <si>
    <t>QUAKER HEALTH, LLC (CLASS C)</t>
  </si>
  <si>
    <t>ARC GROWTH LLC</t>
  </si>
  <si>
    <t>CHALAMISH BOAZ</t>
  </si>
  <si>
    <t>סר כהן רונלד וכהן שרון הראל</t>
  </si>
  <si>
    <t>שר ערן</t>
  </si>
  <si>
    <t>הוצאות פיתוח</t>
  </si>
  <si>
    <t>רשיונות תוכנה</t>
  </si>
  <si>
    <t>קבלני משנה מו"פ</t>
  </si>
  <si>
    <t>הוצאות משכורת מו"פ</t>
  </si>
  <si>
    <t>הוצאות ביטוח לאומי מו"פ</t>
  </si>
  <si>
    <t>הוצאות גמל מו"פ</t>
  </si>
  <si>
    <t>הוצאות גמל פיצויים מו"פ</t>
  </si>
  <si>
    <t>הוצאות גמל א.כ.ע מו"פ</t>
  </si>
  <si>
    <t>הוצאות קה"ל מו"פ</t>
  </si>
  <si>
    <t>תגמולי מילואים מו"פ</t>
  </si>
  <si>
    <t>הוצאות הפרשה לחופשה מו"פ</t>
  </si>
  <si>
    <t>שווי ארוחות מו"פ</t>
  </si>
  <si>
    <t>שווי קצבה מו"פ</t>
  </si>
  <si>
    <t>שווי א.כ.ע מו"פ</t>
  </si>
  <si>
    <t>שווי פיצויים מו"פ</t>
  </si>
  <si>
    <t>הכנסות זקופות מו"פ</t>
  </si>
  <si>
    <t>הוצאות שיווק</t>
  </si>
  <si>
    <t>יעוץ סטרימוור</t>
  </si>
  <si>
    <t>אירוח הנהלה</t>
  </si>
  <si>
    <t>ביטוח עסק</t>
  </si>
  <si>
    <t>חניה</t>
  </si>
  <si>
    <t>שירותי אדמינסטרציה</t>
  </si>
  <si>
    <t>קנסות</t>
  </si>
  <si>
    <t>נסיעות ומוניות</t>
  </si>
  <si>
    <t>מתנות יועצים</t>
  </si>
  <si>
    <t>דמי טיפול פנסיוני</t>
  </si>
  <si>
    <t>הוצאות משכורת הנהלה</t>
  </si>
  <si>
    <t>הוצאות ביטוח לאומי הנהלה</t>
  </si>
  <si>
    <t>הוצאות גמל הנהלה</t>
  </si>
  <si>
    <t>וצאות גמל פיצויים הנהלה</t>
  </si>
  <si>
    <t>הוצאות גמל א.כ.ע הנהלה</t>
  </si>
  <si>
    <t>הוצאות קרן השתלמות הנהלה</t>
  </si>
  <si>
    <t>הוצאות הפרשה לחופשה הנהלה</t>
  </si>
  <si>
    <t>שווי ארוחות הנהלה</t>
  </si>
  <si>
    <t>שווי א.כ.ע הנהלה</t>
  </si>
  <si>
    <t>שווי פיצויים הנהלה</t>
  </si>
  <si>
    <t>הוצאות פחת ציוד אלקטרוני</t>
  </si>
  <si>
    <t>ריבית רשויות</t>
  </si>
  <si>
    <t>ביטולי יתרות</t>
  </si>
  <si>
    <t>Cash</t>
  </si>
  <si>
    <t>Restricted Cash</t>
  </si>
  <si>
    <t>Accounts Receivable</t>
  </si>
  <si>
    <t xml:space="preserve"> prepaid expenses</t>
  </si>
  <si>
    <t xml:space="preserve">Other current assets </t>
  </si>
  <si>
    <t>Fixed assets - Cost</t>
  </si>
  <si>
    <t>Fixed assets - Accumulated Depreciation</t>
  </si>
  <si>
    <t>Long term deposits</t>
  </si>
  <si>
    <t>Employees and payroll accruals</t>
  </si>
  <si>
    <t>Employee institution</t>
  </si>
  <si>
    <t>Other current liabilities</t>
  </si>
  <si>
    <t>Intercompany</t>
  </si>
  <si>
    <t>Long term provisions</t>
  </si>
  <si>
    <t>Ordinary shares</t>
  </si>
  <si>
    <t>Preferred A shares</t>
  </si>
  <si>
    <t>Issuance costs</t>
  </si>
  <si>
    <t>Additional paid in capital</t>
  </si>
  <si>
    <t>Option fund</t>
  </si>
  <si>
    <t>Repurchaseable shares fund</t>
  </si>
  <si>
    <t>Accumulated deficit</t>
  </si>
  <si>
    <t xml:space="preserve">Profit (loss) - for the period </t>
  </si>
  <si>
    <t>Net Revenues</t>
  </si>
  <si>
    <t>Cost of Goods</t>
  </si>
  <si>
    <t>R&amp;D expenses</t>
  </si>
  <si>
    <t>Marketing expenses</t>
  </si>
  <si>
    <t>G&amp;A expenses</t>
  </si>
  <si>
    <t>Sales expenses</t>
  </si>
  <si>
    <t>Financial expenses</t>
  </si>
  <si>
    <t>Income Tax</t>
  </si>
  <si>
    <t>Stoke Ltd</t>
  </si>
  <si>
    <t>USD</t>
  </si>
  <si>
    <t>NIS</t>
  </si>
  <si>
    <t xml:space="preserve">Loss  for the period </t>
  </si>
  <si>
    <t>Trade payables</t>
  </si>
  <si>
    <t>Accrued expenses</t>
  </si>
  <si>
    <t>Balance ILS</t>
  </si>
  <si>
    <t>AJE ILS</t>
  </si>
  <si>
    <t>AJE USD</t>
  </si>
  <si>
    <t>Balance USD</t>
  </si>
  <si>
    <t>ILS</t>
  </si>
  <si>
    <t>NEW1</t>
  </si>
  <si>
    <t>NEW2</t>
  </si>
  <si>
    <t>Details</t>
  </si>
  <si>
    <t>GL#</t>
  </si>
  <si>
    <t>GL Description</t>
  </si>
  <si>
    <t>קרן הון - אופציות</t>
  </si>
  <si>
    <t>NEW10</t>
  </si>
  <si>
    <t>LinkedIn</t>
  </si>
  <si>
    <t>גיוס עובדים שיווק</t>
  </si>
  <si>
    <t>31.12.2019</t>
  </si>
  <si>
    <t>Click here to enter input</t>
  </si>
  <si>
    <t>דוחות על המצב הכספי</t>
  </si>
  <si>
    <t>דוחות על הרווח הכולל</t>
  </si>
  <si>
    <t>דוחות על תזרימי המזומנים</t>
  </si>
  <si>
    <t xml:space="preserve">דוח על המצב הכספי </t>
  </si>
  <si>
    <t>ליום 31 בדצמבר,</t>
  </si>
  <si>
    <t>באור</t>
  </si>
  <si>
    <t>אלפי ש"ח</t>
  </si>
  <si>
    <t>נכסים שוטפים</t>
  </si>
  <si>
    <t>מזומנים ושווי מזומנים</t>
  </si>
  <si>
    <t>מזומן משועבד</t>
  </si>
  <si>
    <t>פקדונות לזמן קצר</t>
  </si>
  <si>
    <t>לקוחות</t>
  </si>
  <si>
    <t>חייבים ויתרות חובה</t>
  </si>
  <si>
    <t>צדדים קשורים</t>
  </si>
  <si>
    <t>נכסים לא שוטפים</t>
  </si>
  <si>
    <t>פקדונות לזמן ארוך</t>
  </si>
  <si>
    <t>רכוש קבוע</t>
  </si>
  <si>
    <t>סה"כ נכסים</t>
  </si>
  <si>
    <t>הבאורים המצורפים מהווים חלק בלתי נפרד מהדוחות הכספיים.</t>
  </si>
  <si>
    <t>התחייבויות שוטפות</t>
  </si>
  <si>
    <t>התחייבויות לתאגידים בנקאיים</t>
  </si>
  <si>
    <t>התחייבויות לספקים ולנותני שירותים</t>
  </si>
  <si>
    <t>זכאים ויתרות זכות</t>
  </si>
  <si>
    <t>התחייבויות לא שוטפות</t>
  </si>
  <si>
    <t>התחייבויות בשל סיום יחסי עובד-מעביד, נטו</t>
  </si>
  <si>
    <t>סך התחייבויות</t>
  </si>
  <si>
    <t>הלוואת בעלים המירה</t>
  </si>
  <si>
    <t>הון עצמי</t>
  </si>
  <si>
    <t xml:space="preserve">הון מניות </t>
  </si>
  <si>
    <t>פרמיה על מניות</t>
  </si>
  <si>
    <t>יתרת רווח (הפסד)</t>
  </si>
  <si>
    <t xml:space="preserve"> סך ההון העצמי</t>
  </si>
  <si>
    <t>סך התחייבויות והון עצמי</t>
  </si>
  <si>
    <t>תאריך אישור הדוחות הכספיים</t>
  </si>
  <si>
    <t>דירקטור</t>
  </si>
  <si>
    <t>לשנה שהסתיימה ביום</t>
  </si>
  <si>
    <t xml:space="preserve"> 31 בדצמבר,</t>
  </si>
  <si>
    <t>הכנסות ממכירות</t>
  </si>
  <si>
    <t>עלות המכירות</t>
  </si>
  <si>
    <t>רווח (הפסד) גולמי</t>
  </si>
  <si>
    <t>הוצאות מחקר ופיתוח, נטו</t>
  </si>
  <si>
    <t>הוצאות מכירה ושיווק</t>
  </si>
  <si>
    <t>הוצאות הנהלה וכלליות</t>
  </si>
  <si>
    <t>סה"כ הוצאות תפעוליות</t>
  </si>
  <si>
    <t>רווח (הפסד) תפעולי</t>
  </si>
  <si>
    <t>הוצאות מימון, נטו</t>
  </si>
  <si>
    <t>רווח (הפסד) לפני מסים על ההכנסה</t>
  </si>
  <si>
    <t>מסים על ההכנסה (הטבת מס)</t>
  </si>
  <si>
    <t xml:space="preserve">רווח נקי (הפסד) </t>
  </si>
  <si>
    <t xml:space="preserve">הבאורים המצורפים מהווים חלק בלתי נפרד מהדוחות הכספיים. </t>
  </si>
  <si>
    <t>דוחות על השינויים בהון העצמי</t>
  </si>
  <si>
    <t>הון מניות רגילות</t>
  </si>
  <si>
    <t>הון</t>
  </si>
  <si>
    <t>מניות בכורה</t>
  </si>
  <si>
    <t>יתרת</t>
  </si>
  <si>
    <t>רווח (הפסד)</t>
  </si>
  <si>
    <t>סה"כ</t>
  </si>
  <si>
    <t>רווח נקי (הפסד)</t>
  </si>
  <si>
    <t>-</t>
  </si>
  <si>
    <t>הנפקת מניות (בניכוי הוצאות הנפקה)</t>
  </si>
  <si>
    <t>הנפקת מניות בכורה</t>
  </si>
  <si>
    <t>מימוש אופציות למניות</t>
  </si>
  <si>
    <t>עלות תשלום מבוסס מניות</t>
  </si>
  <si>
    <t>יתרה ליום 31 בדצמבר, 2019</t>
  </si>
  <si>
    <t>הבאורים והנספח המצורפים מהווים חלק בלתי נפרד מהדוחות הכספיים.</t>
  </si>
  <si>
    <t>31 בדצמבר,</t>
  </si>
  <si>
    <t>תזרימי מזומנים מפעילות שוטפת</t>
  </si>
  <si>
    <t>פחת</t>
  </si>
  <si>
    <t>שינוי בהתחייבויות בשל סיום יחסי עובד-מעביד, נטו</t>
  </si>
  <si>
    <t xml:space="preserve">הפסד (רווח) הון מניירות ערך </t>
  </si>
  <si>
    <t>שינוי בלקוחות</t>
  </si>
  <si>
    <t>שינוי בחייבים ויתרות חובה</t>
  </si>
  <si>
    <t>שינוי במלאי</t>
  </si>
  <si>
    <t>שינוי בהתחייבויות לספקים ולנותני שירותים</t>
  </si>
  <si>
    <t>שינוי בזכאים ויתרות זכות</t>
  </si>
  <si>
    <t>מזומנים נטו שנבעו מפעילות (ששימשו לפעילות) שוטפת</t>
  </si>
  <si>
    <t>תזרימי מזומנים מפעילות השקעה</t>
  </si>
  <si>
    <t>רכישת רכוש קבוע</t>
  </si>
  <si>
    <t>תמורה ממימוש רכוש קבוע</t>
  </si>
  <si>
    <t>מזומנים נטו שנבעו מפעילות (ששימשו לפעילות) השקעה</t>
  </si>
  <si>
    <t>תזרימי מזומנים מפעילות מימון</t>
  </si>
  <si>
    <t>הנפקת הון מניות (לאחר ניכוי הוצאות ההנפקה)</t>
  </si>
  <si>
    <t>מזומנים נטו שנבעו מפעילות (ששימשו לפעילות) מימון</t>
  </si>
  <si>
    <t>יתרת מזומנים ושווי מזומנים לתחילת השנה</t>
  </si>
  <si>
    <t>יתרת מזומנים ושווי מזומנים לסוף השנה</t>
  </si>
  <si>
    <t>פעולות מהותיות שלא במזומן</t>
  </si>
  <si>
    <t>רכישת רכוש קבוע באשראי</t>
  </si>
  <si>
    <t>רכישת השקעות בתמורה להנפקת מניות</t>
  </si>
  <si>
    <t>באור 1: -</t>
  </si>
  <si>
    <t>כללי</t>
  </si>
  <si>
    <t>א.</t>
  </si>
  <si>
    <t>תיאור כללי של החברה ופעילותה</t>
  </si>
  <si>
    <t>יש לתת תיאור מילולי של תחום פעילותן ועיסוקן של החברה והחברות המאוחדות. אם לא ניתן גילוי במידע אחר שפורסם יחד עם הדוח, יש לתת גילוי לפרטים הבאים:</t>
  </si>
  <si>
    <t xml:space="preserve">- </t>
  </si>
  <si>
    <t>מקום התושבות וההתאגדות החוקית של הישות, מדינת ההתאגדות וכתובת של המשרד הרשום שלה (או מקום העסקים העיקרי שלה, אם שונה מהמשרד הרשום).</t>
  </si>
  <si>
    <t>השם של החברה האם ושל החברה האם הסופית</t>
  </si>
  <si>
    <t>אם יישות היא מוגבלת בזמן, מידע לגבי אורך החיים</t>
  </si>
  <si>
    <t>יש לתת גילוי לאירועים מהותיים שיש להדגיש כגון שינוי מבני, מיזוג, וכו'.</t>
  </si>
  <si>
    <t>ב.</t>
  </si>
  <si>
    <t>הגדרות</t>
  </si>
  <si>
    <t>בדוחות כספיים אלה -</t>
  </si>
  <si>
    <t>החברה</t>
  </si>
  <si>
    <t>חברה לדוגמא בע"מ.</t>
  </si>
  <si>
    <t>הקבוצה</t>
  </si>
  <si>
    <t>חברה לדוגמא בע"מ והחברות המוחזקות שלה המצוינות ברשימה המצורפת כנספח.</t>
  </si>
  <si>
    <t>חברות מוחזקות</t>
  </si>
  <si>
    <t>חברות מאוחדות, חברות מאוחדות באיחוד יחסי או חברות כלולות.</t>
  </si>
  <si>
    <t>חברות אחרות</t>
  </si>
  <si>
    <t>חברות שאינן חברות מוחזקות ואשר ההשקעה בהן מוצגת על בסיס עלות.</t>
  </si>
  <si>
    <t>כהגדרתם בגילוי דעת 29 של לשכת רואי חשבון בישראל.</t>
  </si>
  <si>
    <t>באור 2: -</t>
  </si>
  <si>
    <t>עיקרי המדיניות החשבונאית</t>
  </si>
  <si>
    <t>עיקרי המדיניות החשבונאית, אשר יושמו בעריכת הדוחות הכספיים, באופן עקבי, למעט האמור בסעיף כט' להלן , הינם כדלקמן:</t>
  </si>
  <si>
    <t>בסיס המדידה והדיווח של הדוחות הכספיים</t>
  </si>
  <si>
    <t>הדוחות הכספיים של החברה ערוכים על בסיס העלות, למעט : נדל"ן להשקעה, ניירות ערך סחירים לזמן קצר ומכשירים פיננסיים אחרים המוצגים בשווים ההוגן.</t>
  </si>
  <si>
    <t>חברה המציגה דוחות כספיים בסכומים מדווחים:</t>
  </si>
  <si>
    <t>החברה ערכה את דוחותיה הכספיים בעבר על בסיס העלות ההיסטורית המותאמת למדד המחירים לצרכן. הסכומים המותאמים, כאמור, שנכללו בדוחות הכספיים ליום 31 בדצמבר, 2003 שימשו נקודת מוצא לדיווח הכספי הנומינלי החל מיום 1 בינואר, 2004. תוספות שבוצעו לאחר מועד המעבר נכללו</t>
  </si>
  <si>
    <t>בהתאם לתקן חשבונאות מספר 12 בדבר "הפסקת ההתאמה של דוחות כספיים" הופסקה ההתאמה של הדוחות הכספיים לאינפלציה ביום 31 בדצמבר, 2003, והחל מאותו מועד החברה החלה לדווח בסכומים מדווחים.</t>
  </si>
  <si>
    <t>סכומי הנכסים הלא כספיים אינם מייצגים בהכרח שווי מימוש או שווי כלכלי עדכני, אלא רק את הסכומים המדווחים של אותם נכסים.</t>
  </si>
  <si>
    <r>
      <t xml:space="preserve">עיקרי המדיניות החשבונאית </t>
    </r>
    <r>
      <rPr>
        <sz val="12"/>
        <color theme="1"/>
        <rFont val="Narkisim"/>
        <family val="2"/>
      </rPr>
      <t>(המשך)</t>
    </r>
  </si>
  <si>
    <t>בדוחות הכספיים "עלות" משמעותה עלות בסכום מדווח.</t>
  </si>
  <si>
    <t>תמצית הנתונים של החברה בערכים נומינליים היסטוריים לצורכי מס ניתנת בבאור ____.</t>
  </si>
  <si>
    <t>חברה המציגה דוחות כספיים בסכומים נומינליים ויש השפעה מהותית על הדוחות הכספיים.</t>
  </si>
  <si>
    <t xml:space="preserve">הדוחות הכספיים ערוכים בסכומים נומינליים על-פי המוסכמה של העלות ההיסטורית ולא בסכומים מדווחים כנדרש על-פי תקן חשבונאות מספר 12 של המוסד הישראלי לתקינה בחשבונאות. סכום מדווח הינו סכום נומינלי שהותאם לשינויים במדד המחירים לצרכן עד למדד בגין חודש דצמבר 2003, בתוספת סכומים נומינליים שנוספו לאחר מועד המעבר (31 בדצמבר, 2003) ובניכוי סכומים שנגרעו לאחר מועד זה. </t>
  </si>
  <si>
    <t>חברה המציגה דוחות כספיים בסכומים נומינליים ואין השפעה מהותית על הדוחות הכספיים.</t>
  </si>
  <si>
    <t xml:space="preserve">הדוחות הכספיים ערוכים בסכומים נומינליים על-פי המוסכמה של העלות ההיסטורית, מאחר שהשפעת השינויים בכוח הקנייה הכללי של המטבע הישראלי על הדוחות הכספיים עד ליום 31 בדצמבר, 2003 (מועד המעבר לדיווח כספי נומינלי בהתאם לתקן חשבונאות מספר 12 של המוסד הישראלי לתקינה בחשבונאות) לא הייתה מהותית.  </t>
  </si>
  <si>
    <t>חברה אשר הוקמה בשנת 2004 ואילך - מציגה דוחות כספיים בסכומים נומינליים</t>
  </si>
  <si>
    <t xml:space="preserve">בשנת 2001 פרסם המוסד הישראלי לתקינה בחשבונאות את תקן חשבונאות מספר 12, בדבר הפסקת ההתאמה לאינפלציה של דוחות כספיים (להלן - תקן 12). בהתאם לתקן 12 יש להפסיק את ההתאמה של דוחות כספיים לאינפלציה ולעורכם בסכומים מדווחים וזאת החל מיום 1 בינואר, 2004. סכום מדווח הינו סכום נומינלי שהותאם לשינויים במדד המחירים לצרכן עד למדד בגין חודש דצמבר 2003, בתוספת סכומים נומינליים שנוספו לאחר מועד זה ובניכוי סכומים שנגרעו לאחר מועד זה. מאחר שהחברה הוקמה והחלה את פעילותה ביום ______, הדוחות הכספיים ערוכים, בהתאם לתקן 12, בסכומים נומינליים הזהים לסכומים מדווחים. </t>
  </si>
  <si>
    <t>מטבע פעילות, מטבע ההצגה ומטבע חוץ</t>
  </si>
  <si>
    <t>מטבע הפעילות ומטבע ההצגה</t>
  </si>
  <si>
    <t>מטבע ההצגה של הדוחות הכספיים הוא ש"ח/דדולר/אירו.</t>
  </si>
  <si>
    <t>מטבע הפעילות הוא המטבע המשקף באופן הטוב ביותר את הסביבה הכלכלית שבה פועלת החברה ואת עסקאותיה, והוא נקבע בנפרד עבור כל חברה בקבוצה, לרבות חברה כלולה המוצגת על פי שיטת השווי המאזני, ולפי מטבע זה נמדדים מצבה הכספי ותוצאות פעולותיה.</t>
  </si>
  <si>
    <t>כאשר מטבע הפעילות של חברה בקבוצה שונה ממטבע הפעילות של החברה, חברה זו מהווה פעילות חוץ שנתוני דוחותיה הכספיים מתורגמים לצורך הכללתם בדוחות הכספיים כדלקמן:</t>
  </si>
  <si>
    <t>א)</t>
  </si>
  <si>
    <t xml:space="preserve">נכסים והתחייבויות של פעילות חוץ, לרבות עודפי עלות שנוצרו ברכישה, מתורגמים לפי שער סגירה בכל תאריך דיווח.. </t>
  </si>
  <si>
    <t>ב)</t>
  </si>
  <si>
    <t xml:space="preserve">פרטי רווח והפסד  מתורגמות לפי שערי חליפין ממוצעים בכל התקופות המוצגות. </t>
  </si>
  <si>
    <t>ג)</t>
  </si>
  <si>
    <t>כל הפרשי התרגום שנוצרו נזקפים לרווח (הפסד) כולל אחר.</t>
  </si>
  <si>
    <t>בעת מימוש פעילות חוץ, בחלקה או במלואה, הרווח (ההפסד) המצטבר  המתייחס לאותה פעילות שהוכר ברווח כולל אחר מועבר לדוח רווח והפסד.</t>
  </si>
  <si>
    <t>הלוואות בין-חברתיות בקבוצה, אשר אין כוונה לסלקן והן אינן צפויות להיפרע בעתיד הנראה לעין, ולפיכך מהוות במהותן חלק מההשקעה בפעילות חוץ, מטופלות כחלק מההשקעה, כאשר הפרשי שער הנובעים מהלוואות אלו (בניכוי השפעת המס) נזקפים לרווח (הפסד) כולל אחר.</t>
  </si>
  <si>
    <t>הפרשי שער בגין הלוואה במטבע חוץ המהווה גידור של השקעה נטו בפעילות חוץ, נזקפים בניכוי השפעת המס לרווח (הפסד) כולל אחר. במועד מימוש ההשקעה נטו, הפרשי שער אלו נזקפים לדוח רווח והפסד.</t>
  </si>
  <si>
    <t>עסקאות, נכסים והתחייבויות במטבע חוץ</t>
  </si>
  <si>
    <t>עסקאות הנקובות במטבע חוץ (מטבע השונה ממטבע הפעילות) נרשמות עם ההכרה הראשונית בהן לפי שער החליפין במועד העסקה. לאחר ההכרה הראשונית, נכסים והתחייבויות כספיים הנקובים במטבע חוץ מתורגמים בכל תאריך דיווח למטבע הפעילות לפי שער החליפין במועד זה. הפרשי שער, למעט אלה המהוונים לנכסים כשירים או נזקפים ישירות לרווח (הפסד) כולל אחר בעסקאות גידור, נזקפים לדוח רווח והפסד. נכסים והתחייבויות לא כספיים הנקובים במטבע חוץ ומוצגים לפי שווי הוגן מתורגמים מחדש למטבע הפעילות בהתאם לשער החליפין במועד שבו נקבע השווי ההוגן. נכסים והתחייבויות לא כספיים המוצגים לפי עלות מתורגמים לפי שער החליפין במועד העסקה.</t>
  </si>
  <si>
    <t>פריטים כספיים צמודי מדד</t>
  </si>
  <si>
    <t>נכסים והתחייבויות כספיים הצמודים על פי תנאיהם לשינוים במדד המחירים לצרכן בישראל (להלן - המדד) מותאמים לפי המדד הרלוונטי, בכל תאריך דיווח, בהתאם לתנאי ההסכם. הפרשי הצמדה הנובעים מההתאמה כאמור, למעט אלה המהוונים לנכסים כשירים או נזקפים ישירות לרווח (הפסד) כולל אחר בעסקאות גידור, נזקפים לדוח רווח והפסד.</t>
  </si>
  <si>
    <t>ג.</t>
  </si>
  <si>
    <t>שימוש באומדנים בעריכת הדוחות הכספיים</t>
  </si>
  <si>
    <t>בעריכת הדוחות הכספיים בהתאם לכללי חשבונאות מקובלים נדרשת ההנהלה להשתמש באומדנים והערכות המשפיעים על הנתונים המדווחים של נכסים והתחייבויות, על הנתונים בדבר נכסים מותנים והתחייבויות תלויות שניתן להם גילוי בדוחות הכספיים וכן על נתוני הכנסות והוצאות בתקופות הדיווח. התוצאות בפועל עשויות להיות שונות מאומדנים אלה.</t>
  </si>
  <si>
    <t>ד.</t>
  </si>
  <si>
    <t>שווי הוגן של מכשירים פיננסיים</t>
  </si>
  <si>
    <t>הסכום הפנקסני של מזומנים ושווי מזומנים, מזומנים ושווי מזומנים משועבדים, לקוחות, חייבים ויתרות חובה, חייבים לזמן ארוך, התחייבויות לספקים ולנותני שירותים וזכאים ויתרות זכות תואם או קרוב לשווי ההוגן שלהם.</t>
  </si>
  <si>
    <t>ה.</t>
  </si>
  <si>
    <t>שווי מזומנים</t>
  </si>
  <si>
    <t>שווי מזומנים נחשבים על ידי החברה השקעות שנזילותן גבוהה, הכוללות פיקדונות בתאגידים בנקאיים לזמן קצר, שתקופתם המקורית אינה עולה על שלושה חודשים ממועד ההשקעה ואשר אינם מוגבלים בשעבוד.</t>
  </si>
  <si>
    <t>ו.</t>
  </si>
  <si>
    <t>מזומנים ושווי מזומנים משועבדים</t>
  </si>
  <si>
    <t>לחברה פיקדונות משועבדים בבנק המשמשים בעיקר כבטוחה עבור שכירות משרדי החברה והיטלי מכס.</t>
  </si>
  <si>
    <t>ז.</t>
  </si>
  <si>
    <t>פיקדונות לזמן קצר</t>
  </si>
  <si>
    <t>פיקדונות בתאגידים בנקאיים לזמן קצר שתקופתם המקורית עולה על שלושה חודשים ממועד ההשקעה . הפקדונות מוצגים בהתאם לתנאי הפקדתם.</t>
  </si>
  <si>
    <t>ח.</t>
  </si>
  <si>
    <t>מלאי</t>
  </si>
  <si>
    <t>מלאי נמדד לפי הנמוך מבין עלות או שווי מימוש נטו. עלות המלאי כוללת את ההוצאות לרכישת המלאי ולהבאתו למקומו ולמצבו הנוכחיים. שווי מימוש נטו הינו אומדן מחיר המכירה במהלך העסקים הרגיל בניכוי אומדן עלויות להשלמה ועלויות הדרושות לביצוע המכירה. החברה בוחנת מדי תקופה את מצב המלאי וגילו ומבצעת הפרשות למלאי איטי בהתאמה.</t>
  </si>
  <si>
    <t>עלות המלאי נקבעת כדלקמן:</t>
  </si>
  <si>
    <t>חומרי גלם</t>
  </si>
  <si>
    <t>לפי עלות רכישה על בסיס "נכנס ראשון - יוצא ראשון".</t>
  </si>
  <si>
    <t>חומרים וחלפים</t>
  </si>
  <si>
    <t>לפי שיטת ממוצע משוקלל.</t>
  </si>
  <si>
    <t>תוצרת בעיבוד</t>
  </si>
  <si>
    <t>על בסיס עלות ממוצעת הכוללת חומרים, עבודה והוצאות ייצור ישירות ועקיפות אחרות.</t>
  </si>
  <si>
    <t>תוצרת גמורה</t>
  </si>
  <si>
    <t>סחורות ומוצרים קנויים</t>
  </si>
  <si>
    <t>בתקופה מסוימת בה אין מייצרים בתפוקה נורמלית, עלות המלאי אינה כוללת עלויות תקורה קבועות נוספות מעבר לאלו הנדרשות בתפוקה נורמלית. עלויות, כאמור, שלא הועמסו, נזקפו כהוצאה לדוח רווח והפסד בתקופה בה התהוו. כמו כן, עלות המלאי אינה כוללת סכומים חריגים של עלויות חומרים, עבודה ואחרות הנובעים מחוסר יעילות.</t>
  </si>
  <si>
    <t>פריטי רכוש קבוע שהוחזקו למטרת השכרה לאחרים ונמכרים באופן שגרתי במהלך העסקים הרגיל, מועברים למלאי לפי ערכם בספרים במועד בו הופסקה השכרתם והם מיועדים למכירה.</t>
  </si>
  <si>
    <t>ט.</t>
  </si>
  <si>
    <t>פריטי הרכוש הקבוע מוצגים לפי העלות בתוספת עלויות רכישה ישירות, בניכוי פחת שנצבר, בניכוי הפסדים מירידת ערך שנצברו ובניכוי מענקי השקעה שהתקבלו בגינם ואינם כוללים הוצאות תחזוקה שוטפת. העלות כוללת חלקי חילוף וציוד עזר שניתן להשתמש בהם רק בהקשר למכונות וציוד.</t>
  </si>
  <si>
    <t>עלות פריטי רכוש קבוע כוללת את האומדן הראשוני של העלויות לפירוק ופינוי של הנכס ושיקום האתר בו ממוקם הנכס, אשר בגינן מתהווה לחברה מחויבות כאשר הנכס נרכש או כתוצאה משימוש בנכס במשך תקופה מסוימת, שלא לצורך ייצור מלאי במהלך אותה תקופה.</t>
  </si>
  <si>
    <t>עלות נכסים שהוקמו באופן עצמאי כוללת את עלות החומרים, שכר עבודה ישיר ועלויות אשראי וכן כל עלות נוספת שניתן לייחס במישרין להבאת הנכס למיקום ולמצב באופן שיוכל לפעול באופן שהתכוונה ההנהלה.</t>
  </si>
  <si>
    <t>הפחת מחושב בשיעורים שנתיים שווים על בסיס שיטת הקו הישר לאורך תקופת החיים השימושיים בנכס, כדלקמן:</t>
  </si>
  <si>
    <t>%</t>
  </si>
  <si>
    <t>מכונות וציוד</t>
  </si>
  <si>
    <t>כלי רכב</t>
  </si>
  <si>
    <t>ריהוט וציוד</t>
  </si>
  <si>
    <t>ציוד מעבדה</t>
  </si>
  <si>
    <t>מחשבים וציוד היקפי</t>
  </si>
  <si>
    <t>שיפורים במושכר</t>
  </si>
  <si>
    <t>ראה להלן</t>
  </si>
  <si>
    <t>שיפורים במושכר מופחתים לפי שיטת הקו הישר על פני תקופת השכירות (לרבות תקופת האופציה להארכה שבידי הקבוצה שבכוונתה לממשה) או בהתאם לתקופת החיים המשוערת של השיפור, לפי הקצר שבהם.</t>
  </si>
  <si>
    <t xml:space="preserve">רכיבי פריט רכוש קבוע בעלי עלות משמעותית ביחס לסך העלות של הפריט, מופחתים בנפרד, לפי שיטת הרכיבים. הפחת מחושב לפי שיטת הפחת השווה בשיעורים שנתיים הנחשבים כמספיקים להפחתת הנכסים במשך תקופת השימוש המשוערת בהם. </t>
  </si>
  <si>
    <t>אורך החיים השימושיים, שיטת הפחת וערך השייר של כל נכס נבחנים לפחות בכל סוף שנה והשינויים מטופלים כשינוי אומדן חשבונאי באופן של מכאן-ולהבא. לגבי בחינת ירידת ערך של רכוש קבוע, ראה סעיף יז' להלן.</t>
  </si>
  <si>
    <t xml:space="preserve">י. </t>
  </si>
  <si>
    <t>עלויות מחקר ופיתוח, נטו</t>
  </si>
  <si>
    <t>עלויות מחקר נזקפות לדוח רווח והפסד עם התהוותן. נכס בלתי מוחשי הנובע מפרוייקט פיתוח או מפיתוח עצמי מוכר, אם ניתן להוכיח את ההיתכנות הטכנולוגית של השלמת הנכס הבלתי מוחשי כך שהוא יהיה זמין לשימוש או למכירה; את כוונת החברה להשלים את הנכס הבלתי מוחשי ולהשתמש בו או למוכרו; את היכולת להשתמש בנכס הבלתי מוחשי או למוכרו; את האופן בו הנכס הבלתי מוחשי ייצור הטבות כלכליות עתידיות; את קיומם של המשאבים הנדרשים: טכניים, פיננסיים ואחרים, הזמינים להשלמת הנכס הבלתי מוחשי והיכולת למדוד באופן מהימן את ההוצאות בגינו במהלך פיתוחו.</t>
  </si>
  <si>
    <t>הנכס נמדד על-פי העלות ומוצג בניכוי ההפחתה המצטברת ובניכוי ירידת ערך שנצברה, אם קיימת. הפחתת הנכס מתחילה כאשר הפיתוח הושלם והנכס זמין לשימוש.</t>
  </si>
  <si>
    <t>לגבי בחינת ירידת ערך, ראה גם סעיף יז' להלן.</t>
  </si>
  <si>
    <t>מענקי תמלוגים מלשכת המדען הראשי לישראל למימון פרויקטים של מחקר ופיתוח מסוימים מוכרים בתקופה שבה החברה זכאית למענקים כאמור, על בסיס העלויות הקשורות שהתרחשו ונכללו כהפחתה מהוצאות המחקר והפיתוח.</t>
  </si>
  <si>
    <r>
      <t xml:space="preserve">לשנים שהסתיימו בימים 31 בדצמבר, 2019 ו- 2018 החברה רשמה מענקים מהרשות לחדשנות כהפחתה מהוצאות מחקר ופיתוח בסך של כ-  </t>
    </r>
    <r>
      <rPr>
        <sz val="12"/>
        <color rgb="FF808080"/>
        <rFont val="Narkisim"/>
        <family val="2"/>
      </rPr>
      <t>Click here to enter input</t>
    </r>
    <r>
      <rPr>
        <sz val="12"/>
        <color theme="1"/>
        <rFont val="Narkisim"/>
        <family val="2"/>
      </rPr>
      <t xml:space="preserve"> אלפי ש"ח ו- </t>
    </r>
    <r>
      <rPr>
        <sz val="12"/>
        <color rgb="FF808080"/>
        <rFont val="Narkisim"/>
        <family val="2"/>
      </rPr>
      <t>Click here to enter input</t>
    </r>
    <r>
      <rPr>
        <sz val="12"/>
        <color theme="1"/>
        <rFont val="Narkisim"/>
        <family val="2"/>
      </rPr>
      <t xml:space="preserve"> אלפי ש"ח, בהתאמה. </t>
    </r>
  </si>
  <si>
    <t>יא.</t>
  </si>
  <si>
    <t>ירידת ערך נכסים</t>
  </si>
  <si>
    <r>
      <t>י</t>
    </r>
    <r>
      <rPr>
        <u/>
        <sz val="12"/>
        <color theme="1"/>
        <rFont val="Narkisim"/>
        <family val="2"/>
      </rPr>
      <t>רידת ערך נכסים לא פיננסיים</t>
    </r>
  </si>
  <si>
    <r>
      <t xml:space="preserve">החברה בוחנת את הצורך בירידת ערך נכסים לא פיננסיים </t>
    </r>
    <r>
      <rPr>
        <sz val="12"/>
        <color rgb="FF000000"/>
        <rFont val="Narkisim"/>
        <family val="2"/>
      </rPr>
      <t>[יש לפרט סוג הנכסים לפי המופיע בדוח על המצב הכספי]</t>
    </r>
    <r>
      <rPr>
        <sz val="12"/>
        <color theme="1"/>
        <rFont val="Narkisim"/>
        <family val="2"/>
      </rPr>
      <t xml:space="preserve"> כאשר ישנם סימנים כתוצאה מאירועים או שינויים בנסיבות המצביעים על כך שהיתרה בדוחות הכספיים אינה בת-השבה. במקרים בהם היתרה בדוחות הכספיים של הנכסים הלא פיננסיים עולה על הסכום בר-ההשבה שלהם, מופחתים הנכסים לסכום בר-ההשבה שלהם. הסכום בר-ההשבה הוא הגבוה מבין מחיר המכירה, נטו ושווי שימוש. בהערכת שווי השימוש מהוונים תזרימי המזומנים הצפויים לפי שיעור ניכיון לפני מס המשקף את הסיכונים הספציפיים לכל נכס. בגין נכס שאינו מייצר תזרימי מזומנים עצמאיים נקבע סכום בר-השבה עבור היחידה מניבת המזומנים שאליה שייך הנכס. הפסדים מירידת ערך נזקפים לדוח רווח והפסד לסעיף __.</t>
    </r>
  </si>
  <si>
    <t>יב.</t>
  </si>
  <si>
    <t>מסים על ההכנסה</t>
  </si>
  <si>
    <t>מסים שוטפים</t>
  </si>
  <si>
    <t>מסים על ההכנסה בדוח רווח והפסד כוללים מסים שוטפים ומסים נדחים. תוצאות המס בגין מסים שוטפים או נדחים נזקפות לדוח רווח והפסד, למעט אם הן מתייחסות לפריטים הנזקפים לרווח (הפסד) כולל אחר או להון העצמי. במקרים אלה השפעת המס אף היא נזקפת לסעיף המתייחס ברווח כולל אחר או בהון העצמי.</t>
  </si>
  <si>
    <t>חבות בגין מסים שוטפים נקבעת תוך שימוש בשיעורי המס וחוקי המס שחוקקו או אשר חקיקתם הושלמה למעשה, עד לתאריך הדיווח, וכן התאמות נדרשות בקשר לחבות המס לתשלום בגין שנים קודמות.</t>
  </si>
  <si>
    <t>מסים נדחים</t>
  </si>
  <si>
    <t xml:space="preserve">החברה מדווחת על מסים על ההכנסה בהתאם לתקן חשבונאות מספר 19 "מסים על ההכנסה" (להלן- "תקן 19"). תקן 19 קובע את השימוש בשיטת ההתחייבות לפיה נכסי מסים נדחים והתחייבויות מס נדחה מחושבים על בסיס ההפרש בין ערכם של נכסים והתחייבויות לצרכים חשבונאיים ובין ערכם לצרכי מס לפי שיעורי המס והחוקים הצפויים לחול במועד המימוש של ההפרשים. החברה זוקפת, במידת הצורך, הפרשה לירידת ערך כאשר יש צורך להפחית נכסי מסים נדחים עד לסכום הצפוי להתממש. </t>
  </si>
  <si>
    <t>יג.</t>
  </si>
  <si>
    <t>הכרה בהכנסה</t>
  </si>
  <si>
    <t xml:space="preserve">הכנסות מוכרות בדוח רווח והפסד כאשר הן ניתנות למדידה באופן מהימן, צפוי שההטבות הכלכליות הקשורות לעסקה יזרמו לחברה וכן העלויות שהתהוו או שיתהוו בגין העסקה ניתנות למדידה באופן מהימן. ההכנסות נמדדות על פי שוויה ההוגן של התמורה בעסקה בניכוי הנחות מסחריות, הנחות כמות והחזרות. </t>
  </si>
  <si>
    <t>הכנסות מעסקאות מכירות באשראי הכוללות עסקת מימון מוכרות בערכן הנוכחי כך שההפרש בין השווי ההוגן של העסקה אילו הייתה מתבצעת ללא אשראי לסכום הנקוב של התמורה מוכר בדוח רווח והפסד כהכנסות מימון תוך שימוש בשיטת הריבית האפקטיבית.</t>
  </si>
  <si>
    <t>להלן הקריטריונים הספציפיים בדבר הכרה בהכנסה לגבי סוגי ההכנסות הבאים:</t>
  </si>
  <si>
    <t>הכנסות ממכירת סחורות</t>
  </si>
  <si>
    <t xml:space="preserve">הכנסות ממכירות סחורות מוכרות כאשר הועברו כל הסיכונים והתשואות המשמעותיים הנגזרים מהבעלות על הסחורות לקונה, והמוכרת אינה שומרת מעורבות ניהולית נמשכת. בדרך כלל, מועד המסירה הינו המועד שבו הועברה הבעלות. </t>
  </si>
  <si>
    <t>הכנסות ממתן שירותים (לרבות דמי ניהול)</t>
  </si>
  <si>
    <t>הכנסות ממתן שירותים מוכרות בהתאם לשלב ההשלמה של העסקה בתאריך הדיווח. על-פי שיטה זו, ההכנסות מוכרות בתקופות הדיווח שבהן סופקו השירותים. במקרה שתוצאת החוזה אינה ניתנת למדידה באופן מהימן, ההכנסה מוכרת עד לגובה ההוצאות שהתהוו הניתנות להשבה.</t>
  </si>
  <si>
    <t>הסכמי מכירה בעלי מספר רכיבים</t>
  </si>
  <si>
    <t>הכנסה מהסכמי מכירה, שאין בהם זכות החזרה כללית, הכוללים מספר רכיבים כגון מכשיר, שירות, והסכמי תמיכה, מפוצלת ליחידות חשבונאיות נפרדות ומוכרת בנפרד לגבי כל יחידה חשבונאית. רכיב מהווה יחידה חשבונאית נפרדת אם ורק אם, קיים לו ערך בנפרד ללקוח. בנוסף, קיימות ראיות מהימנות ואובייקטיביות לשווי ההוגן של כל הרכיבים בהסכם או לשווי ההוגן של הרכיבים שטרם סופקו. רכיבים שלא פוצלו ליחידה חשבונאית עקב אי עמידה בתנאים שפורטו לעיל מקובצים יחדיו ליחידה חשבונאית אחת. ההכרה בהכנסה מהיחידות החשבונאיות השונות מוכרת כאשר התקיימו התנאים להכרה בהכנסה מהרכיבים הכלולים באותה יחידה חשבונאית בהתאם לסוגם, ורק עד לגובה התמורה שאינה מותנית בהשלמה או ביצוע יתרת הרכיבים בחוזה.</t>
  </si>
  <si>
    <t>יד.</t>
  </si>
  <si>
    <t>בעלות המכירות נכללות הוצאות בגין רכישות מקבלני משנה המייצרים עבור החברה ומספקים אחרים, ושינוע מלאי עד לנקודת המכירה הסופית. כמו כן, נכללים בעלות המכירות הפסדים בגין ירידת ערך מלאי, מחיקת מלאי, הפרשות בגין מלאי איטי והפרשה בגין אחריות.</t>
  </si>
  <si>
    <t>טו.</t>
  </si>
  <si>
    <t>עסקאות המסולקות בהון</t>
  </si>
  <si>
    <t xml:space="preserve">עלות העסקאות המסולקות בהון עם עובדים נמדדת לפי השווי ההוגן של המכשירים ההוניים שהוענקו במועד ההענקה. השווי ההוגן נקבע באמצעות שימוש במודל תמחור מקובל, ראה פרטים נוספים בבאור ___. לגבי נותני שירותים אחרים, עלות העסקאות נמדדת לפי השווי ההוגן של הסחורות או השירותים המתקבלים בתמורה למכשירים ההוניים שהוענקו. במצבים בהם לא ניתן למדוד את השווי ההוגן של הסחורות או השירותים המתקבלים בתמורה למכשירי הון, הם יימדדו לפי השווי ההוגן של המכשירים ההוניים שהוענקו. </t>
  </si>
  <si>
    <t>עלות העסקאות המסולקות בהון מוכרת ברווח והפסד יחד עם גידול מקביל בהון העצמי על פני התקופה שבה תנאי ההבשלה (תנאי השירות או תנאי השירות והביצוע) מתקיימים ומסתיימת במועד שבו העובדים הרלוונטיים זכאים לגמול (להלן - תקופת ההבשלה). ההוצאה המצטברת המוכרת בגין עסקאות המסולקות בהון בכל מועד דיווח עד למועד ההבשלה משקפת את מידת חלוף תקופת ההבשלה ואת האומדן הטוב ביותר של הקבוצה לגבי מספר המכשירים ההוניים שיבשילו בסופו של דבר. החיוב או הזיכוי בדוח רווח והפסד משקף את השינוי בהוצאה המצטברת שהוכרה לתחילת ולסוף התקופה המדווחת.</t>
  </si>
  <si>
    <t>הוצאה בגין הענקות שאינן מבשילות בסופו של דבר אינה מוכרת, למעט הענקות שההבשלה שלהן תלויה בתנאי שוק אשר מטופלות כהענקות שהבשילו ללא קשר לקיום תנאי השוק, בהנחה שכל שאר תנאי ההבשלה (שירות ו/או ביצוע) התקיימו.</t>
  </si>
  <si>
    <t>כאשר החברה מבצעת שינויים בתנאים של הענקה המסולקת בהון, מוכרת הוצאה נוספת מעבר להוצאה המקורית שחושבה. הוצאה נוספת מוכרת בגין כל שינוי המגדיל את השווי ההוגן הכולל של התגמול המוענק או שמיטיב עם העובד/נותן השירות האחר לפי השווי ההוגן במועד השינוי.</t>
  </si>
  <si>
    <t>ביטול הענקה המסולקת בהון, מטופלת כאילו היא הבשילה לתאריך הביטול וההוצאות שטרם הוכרו בגין ההענקה מוכרות מיידית. עם זאת, אם ההענקה שבוטלה מוחלפת בהענקה חדשה ומיועדת כהענקה תחליפית לתאריך שבו היא הוענקה, ההענקה המבוטלת וההענקה החדשה תטופלנה שתיהן כשינוי של ההענקה המקורית כמתואר לעיל.</t>
  </si>
  <si>
    <r>
      <t xml:space="preserve">בשנים שהסתיימו ביום 31 בדצמבר, 2019 ו- 2018 רשמה החברה הוצאות בגין הענקת אופציות לעובדים וליועצים בסך כולל של </t>
    </r>
    <r>
      <rPr>
        <sz val="12"/>
        <color rgb="FF808080"/>
        <rFont val="Narkisim"/>
        <family val="2"/>
      </rPr>
      <t>Click here to enter input</t>
    </r>
    <r>
      <rPr>
        <sz val="12"/>
        <color theme="1"/>
        <rFont val="Narkisim"/>
        <family val="2"/>
      </rPr>
      <t xml:space="preserve"> אלפי ש"ח ו- </t>
    </r>
    <r>
      <rPr>
        <sz val="12"/>
        <color rgb="FF808080"/>
        <rFont val="Narkisim"/>
        <family val="2"/>
      </rPr>
      <t>Click here to enter input</t>
    </r>
    <r>
      <rPr>
        <sz val="12"/>
        <color theme="1"/>
        <rFont val="Narkisim"/>
        <family val="2"/>
      </rPr>
      <t xml:space="preserve"> אלפי ש"ח, בהתאמה.</t>
    </r>
  </si>
  <si>
    <t xml:space="preserve">טז.  </t>
  </si>
  <si>
    <t>התחייבויות בשל סיום יחסי עובד-מעביד</t>
  </si>
  <si>
    <t xml:space="preserve">התחייבות החברה בשל סיום יחסי עובד-מעביד מחושבת בהתאם לחוק פיצויי פיטורין בישראל על בסיס שכרם האחרון של העובדים כפול מספר שנות הוותק ליום המאזן. </t>
  </si>
  <si>
    <t>לפי סעיף 14 לחוק פיצויי פיטורין - 1963 ("סעיף 14") זכאים העובדים רק להפקדה חודשית בחברות ביטוח בפוליסה על שמם, בשיעור של 8.33% ממשכורתם החודשית. תשלומים לפי סעיף 14 משחררים את החברה מתשלומים עתידיים של פיצויי פיטורין. פיקדונות בכפוף לסעיף 14 אינם נכללים כנכס במאזן החברה. רוב העובדים בחרו להיכלל בכפוף לסעיף זה. עובדים אשר אינם כפופים לסעיף 14 לחוק פיצויי פיטורין, זכאים לשכר של חודש אחד בגין כל שנת עבודה או חלק ממנה. התחייבות החברה בשל ביום יחסי עובד-מעביד ניתנת במולאה על ידי הפקדות חודשיות בפוליסות ביטוח. שווי הפקדות אלו נרשם כנכס בדוחות החברה.</t>
  </si>
  <si>
    <t xml:space="preserve">יז.  </t>
  </si>
  <si>
    <t>ריכוז סיכוני אשראי</t>
  </si>
  <si>
    <t>מכשירים פיננסיים העלולים לחשוף את החברה לריכוז סיכוני אשראי כוללים בעיקר מזומנים ושווי מזומנים, מזומן משועבד, פיקדונות לזמן קצר וחייבים אחרים.</t>
  </si>
  <si>
    <t xml:space="preserve">מזומנים ושווי מזומנים מושקעים בפיקדונות בבנקים גדולים בישראל. לרוב, ניתן למשוך פיקדונות אלה לפי דרישה ולכן הם בעלי סיכון מינימאלי. ההנהלה סבורה שהמוסד הכספי המחזיק בהשקעות החברה הינו איתן מבחינה כלכלית ולפיכך קיים סיכון אשראי מזערי בנוגע להשקעות אלו. </t>
  </si>
  <si>
    <t>באור 3: -</t>
  </si>
  <si>
    <t>עלות</t>
  </si>
  <si>
    <t>תוספות במשך השנה</t>
  </si>
  <si>
    <t>גריעות במשך השנה</t>
  </si>
  <si>
    <t>פחת שנצבר</t>
  </si>
  <si>
    <t>בניכוי - הפרשה לירידת ערך (באור 16ב')</t>
  </si>
  <si>
    <t>באור 4: -</t>
  </si>
  <si>
    <t>מלאי בתהליך</t>
  </si>
  <si>
    <t>מוצרים גמורים</t>
  </si>
  <si>
    <t>באור 5: -</t>
  </si>
  <si>
    <t>עובדים ומוסדות בגין שכר</t>
  </si>
  <si>
    <t>הכנסות נדחות</t>
  </si>
  <si>
    <t>זכאים ויתרות זכות אחרות</t>
  </si>
  <si>
    <t>הפרשה לחופשה</t>
  </si>
  <si>
    <t>הפרשה להבראה</t>
  </si>
  <si>
    <t>הפרשה לפיצויים</t>
  </si>
  <si>
    <t>באור 6: -</t>
  </si>
  <si>
    <t xml:space="preserve">באור 7: - </t>
  </si>
  <si>
    <r>
      <t>התקשרויות והתחייבויות תלויות</t>
    </r>
    <r>
      <rPr>
        <sz val="12"/>
        <color theme="1"/>
        <rFont val="Narkisim"/>
        <family val="2"/>
      </rPr>
      <t xml:space="preserve"> </t>
    </r>
  </si>
  <si>
    <t xml:space="preserve">החברה קיבלה מהרשות לחדשנות מענקי השתתפות במחקר ופיתוח ובתמורה לכך התחייבה לשלם תמלוגים בשיעור של 3% ממכירות פרי המחקר והפיתוח שמומנו, כאמור, בסכום שלא יעלה על 100% מסך המענקים שהתקבלו אשר יוצמדו לדולר ויישאו ריבית ליבור. ההתחייבות לשלם תמלוגים תלויה במכירות בפועל של המוצרים ובהעדר מכירות שכאלה, לא נדרש תשלום. </t>
  </si>
  <si>
    <t xml:space="preserve">באור 8: - </t>
  </si>
  <si>
    <t xml:space="preserve">באור 9: - </t>
  </si>
  <si>
    <t>הכנסות</t>
  </si>
  <si>
    <t>הכנסות החברה נובעות __________________________________</t>
  </si>
  <si>
    <t>באור 10: -</t>
  </si>
  <si>
    <r>
      <t>א.</t>
    </r>
    <r>
      <rPr>
        <sz val="7"/>
        <color theme="1"/>
        <rFont val="Times New Roman"/>
        <family val="1"/>
      </rPr>
      <t xml:space="preserve">             </t>
    </r>
    <r>
      <rPr>
        <sz val="12"/>
        <color theme="1"/>
        <rFont val="Narkisim"/>
        <family val="2"/>
      </rPr>
      <t xml:space="preserve">ההרכב: </t>
    </r>
  </si>
  <si>
    <t>רשום</t>
  </si>
  <si>
    <t>מונפק</t>
  </si>
  <si>
    <t>ונפרע</t>
  </si>
  <si>
    <t>מספרי מניות</t>
  </si>
  <si>
    <t>מניות רגילות 1 ש"ח ע.נ כ"א</t>
  </si>
  <si>
    <t>מניות בכורה א סידרה</t>
  </si>
  <si>
    <t>1 ש"ח ע.נ כ"א</t>
  </si>
  <si>
    <t xml:space="preserve">מניות בכורה א1' סידרה  </t>
  </si>
  <si>
    <t>זכויות הצבעה</t>
  </si>
  <si>
    <t>בעלי המניות הרגילות ובעלי מניות הבכורה זכאים להצביע ביחס של קול אחד לכל מניה, על בסיס יחס ההמרה.</t>
  </si>
  <si>
    <t xml:space="preserve">ג. </t>
  </si>
  <si>
    <t>הנפקת מניות</t>
  </si>
  <si>
    <t>באור 11: -</t>
  </si>
  <si>
    <t>שיעורי המס החלים על החברה</t>
  </si>
  <si>
    <t>שיעור מס החברות בישראל בשנת 2018 היה 23% ובשנת 2017 היה 24% וזאת בהתאם לחוק ההתייעלות הכלכלית (תיקוני חקיקה ליישום המדיניות הכלכלית לשנות התקציב 2017 ו- 2018), התשע"ז - 2016, אשר כולל הפחתת שיעור מס החברות.</t>
  </si>
  <si>
    <t>שומות מס</t>
  </si>
  <si>
    <t>החברה טרם נישומה מיום היווסדה.</t>
  </si>
  <si>
    <t>הפסדים מועברים לצרכי מס</t>
  </si>
  <si>
    <r>
      <t>מסים על ההכנסה</t>
    </r>
    <r>
      <rPr>
        <sz val="12"/>
        <color theme="1"/>
        <rFont val="Narkisim"/>
        <family val="2"/>
      </rPr>
      <t xml:space="preserve"> (המשך)</t>
    </r>
  </si>
  <si>
    <t>החברה לא יצרה מסים נדחים בשל אי- ודאות לניצולם בעתיד הנראה לעין.</t>
  </si>
  <si>
    <t>נתונים נבחרים מהדוח על הרווח והפסד</t>
  </si>
  <si>
    <t>שכר ונלוות</t>
  </si>
  <si>
    <t>תשלום מבוסס מניות</t>
  </si>
  <si>
    <t>יועצים וקבלני משנה</t>
  </si>
  <si>
    <t>שכר דירה ואחזקת משרדים</t>
  </si>
  <si>
    <t>חומרים</t>
  </si>
  <si>
    <t>נסיעות לחו"ל</t>
  </si>
  <si>
    <t>פטנטים</t>
  </si>
  <si>
    <t>אחרות</t>
  </si>
  <si>
    <t>מענקים ממשלתיים</t>
  </si>
  <si>
    <r>
      <t>נתונים נבחרים מהדוח על הרווח והפסד</t>
    </r>
    <r>
      <rPr>
        <sz val="12"/>
        <color theme="1"/>
        <rFont val="Narkisim"/>
        <family val="2"/>
      </rPr>
      <t xml:space="preserve"> (המשך)</t>
    </r>
  </si>
  <si>
    <t>שירותים מקצועיים</t>
  </si>
  <si>
    <t>מחיקת מקדמות ע"ח הוצאות עודפות</t>
  </si>
  <si>
    <t>באור 12: -</t>
  </si>
  <si>
    <t>יתרות ועסקאות עם צדדים קשורים</t>
  </si>
  <si>
    <t>יתרות עם צדדים קשורים</t>
  </si>
  <si>
    <t>חייבים - צדדים קשורים (1)</t>
  </si>
  <si>
    <t>חייבים נטו - צדדים קשורים (2)</t>
  </si>
  <si>
    <t>יתרת חובה  שוטפת עם חברת האם.</t>
  </si>
  <si>
    <t>חו"ז שוטף עם חברות בנות העוסקות במחקר ופיתוח, הפצה, שיווק ותמיכה ללקוחות החברה מחוץ לישראל.</t>
  </si>
  <si>
    <r>
      <t>יתרות ועסקאות עם צדדים קשורים</t>
    </r>
    <r>
      <rPr>
        <sz val="12"/>
        <color theme="1"/>
        <rFont val="Narkisim"/>
        <family val="2"/>
      </rPr>
      <t xml:space="preserve"> (המשך)</t>
    </r>
  </si>
  <si>
    <t>עסקאות עם צדדים קשורים</t>
  </si>
  <si>
    <t>הכנסות מחברות הקבוצה</t>
  </si>
  <si>
    <t>הוצאות בגין הענקת אופציות לעובדים ויועצים</t>
  </si>
  <si>
    <t>השתתפות החברה האם בהוצאות החברה</t>
  </si>
  <si>
    <t>השתתפות החברה בהוצאות החברה האם</t>
  </si>
  <si>
    <t>השתתפות החברה בהוצאות חברות בנות</t>
  </si>
  <si>
    <t>- - - - - - - - - - - - - - - -</t>
  </si>
  <si>
    <t xml:space="preserve">כללי </t>
  </si>
  <si>
    <r>
      <t xml:space="preserve">ח.פ. החברה: </t>
    </r>
    <r>
      <rPr>
        <sz val="12"/>
        <color rgb="FF808080"/>
        <rFont val="Narkisim"/>
        <family val="2"/>
      </rPr>
      <t>Click here to enter input</t>
    </r>
  </si>
  <si>
    <r>
      <t xml:space="preserve">מתוך הגידול/קיטון בהפרשה לחופשה בסך של </t>
    </r>
    <r>
      <rPr>
        <sz val="12"/>
        <color rgb="FF808080"/>
        <rFont val="Narkisim"/>
        <family val="2"/>
      </rPr>
      <t>Click here to enter input</t>
    </r>
    <r>
      <rPr>
        <sz val="12"/>
        <color theme="1"/>
        <rFont val="Narkisim"/>
        <family val="2"/>
      </rPr>
      <t xml:space="preserve"> ש"ח, </t>
    </r>
    <r>
      <rPr>
        <sz val="12"/>
        <color rgb="FF808080"/>
        <rFont val="Narkisim"/>
        <family val="2"/>
      </rPr>
      <t>Click here to enter input</t>
    </r>
    <r>
      <rPr>
        <sz val="12"/>
        <color theme="1"/>
        <rFont val="Narkisim"/>
        <family val="2"/>
      </rPr>
      <t xml:space="preserve"> ש"ח מיוחס למחלקת מחקר ופיתוח. </t>
    </r>
  </si>
  <si>
    <r>
      <t xml:space="preserve">מתוך הגידול/קיטון בהפרשה להבראה בסך של </t>
    </r>
    <r>
      <rPr>
        <sz val="12"/>
        <color rgb="FF808080"/>
        <rFont val="Narkisim"/>
        <family val="2"/>
      </rPr>
      <t>Click here to enter input</t>
    </r>
    <r>
      <rPr>
        <sz val="12"/>
        <color theme="1"/>
        <rFont val="Narkisim"/>
        <family val="2"/>
      </rPr>
      <t xml:space="preserve"> ש"ח, </t>
    </r>
    <r>
      <rPr>
        <sz val="12"/>
        <color rgb="FF808080"/>
        <rFont val="Narkisim"/>
        <family val="2"/>
      </rPr>
      <t>Click here to enter input</t>
    </r>
    <r>
      <rPr>
        <sz val="12"/>
        <color theme="1"/>
        <rFont val="Narkisim"/>
        <family val="2"/>
      </rPr>
      <t xml:space="preserve"> ש"ח מיוחס למחלקת מחקר ופיתוח. </t>
    </r>
  </si>
  <si>
    <r>
      <t xml:space="preserve">מתוך הגידול/קיטון בהפרשה לפיצויים בסך של </t>
    </r>
    <r>
      <rPr>
        <sz val="12"/>
        <color rgb="FF808080"/>
        <rFont val="Narkisim"/>
        <family val="2"/>
      </rPr>
      <t>Click here to enter input</t>
    </r>
    <r>
      <rPr>
        <sz val="12"/>
        <color theme="1"/>
        <rFont val="Narkisim"/>
        <family val="2"/>
      </rPr>
      <t xml:space="preserve"> ש"ח, </t>
    </r>
    <r>
      <rPr>
        <sz val="12"/>
        <color rgb="FF808080"/>
        <rFont val="Narkisim"/>
        <family val="2"/>
      </rPr>
      <t>Click here to enter input</t>
    </r>
    <r>
      <rPr>
        <sz val="12"/>
        <color theme="1"/>
        <rFont val="Narkisim"/>
        <family val="2"/>
      </rPr>
      <t xml:space="preserve"> ש"ח מיוחס למחלקת מחקר ופיתוח. </t>
    </r>
  </si>
  <si>
    <t>נתונים נוספים</t>
  </si>
  <si>
    <t>נייר עזר לדוח ההתאמה</t>
  </si>
  <si>
    <t>סכום בש"ח</t>
  </si>
  <si>
    <t>גידול בהפרשה למענקים / בונוסים</t>
  </si>
  <si>
    <t>קיטון בהפרשה למענקים / בונוסים</t>
  </si>
  <si>
    <t>גידול בהפרשה לביקורת ניכויים / מע"מ / ביטוח לאומי</t>
  </si>
  <si>
    <t>קיטון בהפרשה לביקורת ניכויים / מע"מ / ביטוח לאומי</t>
  </si>
  <si>
    <t>עליית ערך רכוש קבוע</t>
  </si>
  <si>
    <t>ירידת ערך רכוש קבוע</t>
  </si>
  <si>
    <t>עליית ערך מוניטין</t>
  </si>
  <si>
    <t>ירידת ערך מוניטין</t>
  </si>
  <si>
    <t>תרומות</t>
  </si>
  <si>
    <t>הוצאות ריבית למ"ה</t>
  </si>
  <si>
    <t>הוצאות ריבית למע"מ</t>
  </si>
  <si>
    <t>הוצאות מו"פ משנת 2018 (1/3)</t>
  </si>
  <si>
    <t>הוצאות מו"פ משנת 2017 (1/3)</t>
  </si>
  <si>
    <t>עודפות</t>
  </si>
  <si>
    <t>מתנות</t>
  </si>
  <si>
    <t>כיבודים</t>
  </si>
  <si>
    <t>ביגוד</t>
  </si>
  <si>
    <t>ארוחות ואירוח בארץ</t>
  </si>
  <si>
    <t>רווחת עובדים וטובות הנאה  שלא ניתנות לייחוס</t>
  </si>
  <si>
    <t>הפרשות סוציאליות</t>
  </si>
  <si>
    <t>הפרשה לפיצויים, נטו מיעודה</t>
  </si>
  <si>
    <t>הפרשה לחופשה/ הבראה</t>
  </si>
  <si>
    <t xml:space="preserve">יתרת פתיחה, נטו לז"ק ולז"א </t>
  </si>
  <si>
    <r>
      <t> </t>
    </r>
    <r>
      <rPr>
        <sz val="11"/>
        <color rgb="FF808080"/>
        <rFont val="Narkisim"/>
        <family val="2"/>
      </rPr>
      <t>Click here to enter input</t>
    </r>
  </si>
  <si>
    <r>
      <t xml:space="preserve">רישום לקרן הון/ </t>
    </r>
    <r>
      <rPr>
        <sz val="11"/>
        <color rgb="FF000000"/>
        <rFont val="Narkisim"/>
        <family val="2"/>
      </rPr>
      <t>OCI</t>
    </r>
  </si>
  <si>
    <t>העברת היתרה לחברה קשורה</t>
  </si>
  <si>
    <t>קליטת היתרה מחברה קשורה</t>
  </si>
  <si>
    <t>אחר</t>
  </si>
  <si>
    <t>התאמה לדוח המס</t>
  </si>
  <si>
    <t>יתרת סגירה, נטו לז"ק ולז"א</t>
  </si>
  <si>
    <t>הפרשות לחומ"ס</t>
  </si>
  <si>
    <t>הפרשה לחומ"ס, נטו</t>
  </si>
  <si>
    <t>יתרת פתיחה במאזן</t>
  </si>
  <si>
    <t>יתרת סגירה במאזן</t>
  </si>
  <si>
    <t xml:space="preserve">בניכוי - תוספת: </t>
  </si>
  <si>
    <t>חובות אבודים שאינם מוכרים לצרכי מס</t>
  </si>
  <si>
    <t>חובות אבודים שלא הוכרו לצרכי מס שנים קודמות</t>
  </si>
  <si>
    <t>הפרשות לבעל שליטה ולתושבי חוץ</t>
  </si>
  <si>
    <t>הוצאות לפי סעיף 18(ב)</t>
  </si>
  <si>
    <t>הוצאות לפי סעיף 18(ה)</t>
  </si>
  <si>
    <t>יתרת פתיחה</t>
  </si>
  <si>
    <t>תשלום הוצאות שתואמו ש"ק ונוכה מס במקור לפי הצורך</t>
  </si>
  <si>
    <t>תשלום הוצאות השנה שלא תואמו בש"ק</t>
  </si>
  <si>
    <t>גידול בהפרשות שאין לתאם לצרכי מס</t>
  </si>
  <si>
    <t>גידול\קיטון בהפרשה לתיאום</t>
  </si>
  <si>
    <t>יתרת סגירה</t>
  </si>
  <si>
    <t xml:space="preserve">ניירות ערך סחירים בבורסה </t>
  </si>
  <si>
    <t>ניירות ערך סחירים</t>
  </si>
  <si>
    <t>יתרת פתיחה לז"ק ז"א</t>
  </si>
  <si>
    <t>קניות השנה</t>
  </si>
  <si>
    <t>מכירות\פדיון השנה</t>
  </si>
  <si>
    <t>שערוך/ רווח ממימוש ל PNL - התאמה לדוח מס</t>
  </si>
  <si>
    <t>שערוך או רווח הון שנזקפו לקרן הון/ OCI</t>
  </si>
  <si>
    <t xml:space="preserve">יתרת סגירה לז"ק ולז"א </t>
  </si>
  <si>
    <t>- - -  -</t>
  </si>
  <si>
    <t>שוטפת</t>
  </si>
  <si>
    <t>השקעה אפסלר</t>
  </si>
  <si>
    <t>השקעה</t>
  </si>
  <si>
    <t>מימון</t>
  </si>
  <si>
    <t>העברות</t>
  </si>
  <si>
    <t>שינוי במזומן</t>
  </si>
  <si>
    <t>שינוי</t>
  </si>
  <si>
    <t>בדיקה</t>
  </si>
  <si>
    <t>חייבים אחרים</t>
  </si>
  <si>
    <t>הוצאות מראש</t>
  </si>
  <si>
    <t>רכוש קבוע נטו</t>
  </si>
  <si>
    <t>נכסים בלתי מוחשיים</t>
  </si>
  <si>
    <t>ספקים ונותני שירותים</t>
  </si>
  <si>
    <t>הוצאות לשלם</t>
  </si>
  <si>
    <t>Warrants</t>
  </si>
  <si>
    <t xml:space="preserve">הלוואות זמן ארוך + ז"ק </t>
  </si>
  <si>
    <t>פרמיה</t>
  </si>
  <si>
    <t>עודפים</t>
  </si>
  <si>
    <t>תוספות</t>
  </si>
  <si>
    <t>גריעות</t>
  </si>
  <si>
    <t>31.12.19</t>
  </si>
  <si>
    <t>פחת נצבר</t>
  </si>
  <si>
    <t>הוצאות פחת</t>
  </si>
  <si>
    <t xml:space="preserve"> </t>
  </si>
  <si>
    <t>Common stock</t>
  </si>
  <si>
    <t>Preferred stock</t>
  </si>
  <si>
    <t>Additional paid in cpaital</t>
  </si>
  <si>
    <t>Total shareholders equity</t>
  </si>
  <si>
    <t>shares</t>
  </si>
  <si>
    <t>amount</t>
  </si>
  <si>
    <t>Balance as of December 31 ,2018</t>
  </si>
  <si>
    <t>Net loss for the year ending 31/12/19</t>
  </si>
  <si>
    <t>Balance as of December 31 ,2019</t>
  </si>
  <si>
    <t>Issue of shares</t>
  </si>
  <si>
    <t>הוצאות אופציות</t>
  </si>
  <si>
    <t>7-20%</t>
  </si>
  <si>
    <t>15-36%</t>
  </si>
  <si>
    <t>Cons</t>
  </si>
  <si>
    <t>בנק Payoneer</t>
  </si>
  <si>
    <t>Cardlytics, Inc.</t>
  </si>
  <si>
    <t>SimilarWeb</t>
  </si>
  <si>
    <t>Panaya</t>
  </si>
  <si>
    <t>Buildots Ltd</t>
  </si>
  <si>
    <t>Upkeep Maintenance Management</t>
  </si>
  <si>
    <t>Hurra Communications GmbH</t>
  </si>
  <si>
    <t>Mixtiles Ltd</t>
  </si>
  <si>
    <t>הכנסות לקבל</t>
  </si>
  <si>
    <t>אלינור וייס</t>
  </si>
  <si>
    <t>פריוריטי סופטוור בע"מ</t>
  </si>
  <si>
    <t>יוניק סיסטמס פתרונות בע"מ</t>
  </si>
  <si>
    <t>יקבי גוש עציון</t>
  </si>
  <si>
    <t>Freelancer International</t>
  </si>
  <si>
    <t>Name.com, Inc</t>
  </si>
  <si>
    <t>AG-GRID</t>
  </si>
  <si>
    <t>Vladimir Marinovic Martini</t>
  </si>
  <si>
    <t>Rise LLC (Yi Ding)</t>
  </si>
  <si>
    <t>Self (Suzanna Colberg)</t>
  </si>
  <si>
    <t>ECOMPANYSTORE COM</t>
  </si>
  <si>
    <t>עודפות 2019</t>
  </si>
  <si>
    <t>עתודה להבראה</t>
  </si>
  <si>
    <t>חו"ז בינחברתי סטוק טאלנט</t>
  </si>
  <si>
    <t>יתרת רווח שנים קודמות</t>
  </si>
  <si>
    <t>הכנסות לתנועות יומן בלבד</t>
  </si>
  <si>
    <t>הכנסות פטורות</t>
  </si>
  <si>
    <t>הכנסות תחזוקה - חו"ל</t>
  </si>
  <si>
    <t>גיוס והשמה מו"פ</t>
  </si>
  <si>
    <t>אחזקת שרתים AMAZON</t>
  </si>
  <si>
    <t>הוצאות פיתוח אתר ITSOFT</t>
  </si>
  <si>
    <t>קבלני משנה מו"פ -מיסטרביט (Alex Yerochin)</t>
  </si>
  <si>
    <t>הוצאות PR ווסטרי</t>
  </si>
  <si>
    <t>קבלן משנה מו"פ Elinor (אלינור וייס)</t>
  </si>
  <si>
    <t>הוצ מו"פ אורן קליצבסקי</t>
  </si>
  <si>
    <t>ייעוץ מו"פ Ari Solomon</t>
  </si>
  <si>
    <t>הוצ מו"פ ClearVoice</t>
  </si>
  <si>
    <t>הוצ מו"פ אמבארי</t>
  </si>
  <si>
    <t>הוצ מו"פ ZEPLIN</t>
  </si>
  <si>
    <t>הוצ מו"פ ZOPTO</t>
  </si>
  <si>
    <t>הוצ מו"פ ZAPIER</t>
  </si>
  <si>
    <t>הוצ מו"פ Strattic</t>
  </si>
  <si>
    <t>הוצ מו"פ AG-GRID</t>
  </si>
  <si>
    <t>הוצאות מו"פ Shoshana Brickman</t>
  </si>
  <si>
    <t>קבלן משנה מו"פ-Addi אלמטק</t>
  </si>
  <si>
    <t>הוצ מו"פ FREELANCER</t>
  </si>
  <si>
    <t>הוצאות הפרשה להבראה מו"פ</t>
  </si>
  <si>
    <t>שווי קרן השתלמות מו"פ</t>
  </si>
  <si>
    <t>שווי מתנות מו"פ</t>
  </si>
  <si>
    <t>הוצ מכירות-זיוון ברוס צבי</t>
  </si>
  <si>
    <t>הוצ מכירות-Rich Fatigate</t>
  </si>
  <si>
    <t>הוצ מרקטיג SEO</t>
  </si>
  <si>
    <t>הוצאות שיווק- LINKEDIN</t>
  </si>
  <si>
    <t>הוצ שווק Breach Digital</t>
  </si>
  <si>
    <t>הוצ marketing 98</t>
  </si>
  <si>
    <t>הוצ שווק Deepjar</t>
  </si>
  <si>
    <t>הוצ שווק Martinez-Christian</t>
  </si>
  <si>
    <t>הוצ שווק RestUp</t>
  </si>
  <si>
    <t>הוצ שווק Sarah Becherer</t>
  </si>
  <si>
    <t>הוצ שווק Stocksy</t>
  </si>
  <si>
    <t>הוצ שווק HUBSPOT</t>
  </si>
  <si>
    <t>הוצ שווק FACEBOOK</t>
  </si>
  <si>
    <t>הוצ שווק 5W Public Relations</t>
  </si>
  <si>
    <t>הוצ שווק Suzanna Colberg</t>
  </si>
  <si>
    <t>הוצ שווק Margo Kahnrose</t>
  </si>
  <si>
    <t>הוצ שווק Olive Branch</t>
  </si>
  <si>
    <t>הוצ שווק Marinovic Martini</t>
  </si>
  <si>
    <t>הוצ שווק GIMETO</t>
  </si>
  <si>
    <t>הוצ שווק וובפרום דיזיין</t>
  </si>
  <si>
    <t>הוצ שווק Rise</t>
  </si>
  <si>
    <t>אגרות</t>
  </si>
  <si>
    <t>ביקורת</t>
  </si>
  <si>
    <t>אחזקת רכב הנהלה</t>
  </si>
  <si>
    <t>הוצאות עילית-הטמעת פריוריטי</t>
  </si>
  <si>
    <t>הוצאות תוכנה-פריוריטי</t>
  </si>
  <si>
    <t>הוצאות DOCUSIGN</t>
  </si>
  <si>
    <t>שרותי נאמנות</t>
  </si>
  <si>
    <t>הוצאות GODDADY</t>
  </si>
  <si>
    <t>מתנות לקוחות</t>
  </si>
  <si>
    <t>הוצאות הפרשה להבראה הנהלה</t>
  </si>
  <si>
    <t>שווי מתנות הנהלה</t>
  </si>
  <si>
    <t>נ.לחו"ל שחר ארז 2-11.2.20 ארה"ב</t>
  </si>
  <si>
    <t>הפרשי שער מלקוחות</t>
  </si>
  <si>
    <t>מתנות עובדים מו"פ</t>
  </si>
  <si>
    <t>אביאל יעוץ והשקעות בע"מ</t>
  </si>
  <si>
    <t>בנק $ TIPALTI 2</t>
  </si>
  <si>
    <t>31.12.2020</t>
  </si>
  <si>
    <t>דוחות כספיים ליום 31 בדצמבר, 2020</t>
  </si>
  <si>
    <r>
      <t>יתרה ליום 1 בינואר, 2019</t>
    </r>
    <r>
      <rPr>
        <sz val="11"/>
        <color rgb="FF000000"/>
        <rFont val="Narkisim"/>
        <family val="2"/>
      </rPr>
      <t xml:space="preserve"> </t>
    </r>
  </si>
  <si>
    <t>יתרה ליום 31 בדצמבר, 2020</t>
  </si>
  <si>
    <t>יתרה ליום 1 בינואר, 2020</t>
  </si>
  <si>
    <t>יתרת עלות מופחתת ליום 31 בדצמבר, 2020</t>
  </si>
  <si>
    <r>
      <t xml:space="preserve">הוצאות הפחת לשנים שהסתיימו בימים 31 בדצמבר 2020 ו- 2019 הסתכמו ב- </t>
    </r>
    <r>
      <rPr>
        <sz val="12"/>
        <color rgb="FF808080"/>
        <rFont val="Narkisim"/>
        <family val="2"/>
      </rPr>
      <t xml:space="preserve">Click here to enter input </t>
    </r>
    <r>
      <rPr>
        <sz val="12"/>
        <color theme="1"/>
        <rFont val="Narkisim"/>
        <family val="2"/>
      </rPr>
      <t xml:space="preserve">אלפי ש"ח ו- </t>
    </r>
    <r>
      <rPr>
        <sz val="12"/>
        <color rgb="FF808080"/>
        <rFont val="Narkisim"/>
        <family val="2"/>
      </rPr>
      <t>Click here to enter input</t>
    </r>
    <r>
      <rPr>
        <sz val="12"/>
        <color theme="1"/>
        <rFont val="Narkisim"/>
        <family val="2"/>
      </rPr>
      <t xml:space="preserve"> אלפי ש"ח, בהתאמה.</t>
    </r>
  </si>
  <si>
    <r>
      <t xml:space="preserve">המלאי מוצג בניכוי הפרשה לירידת ערך בשל התיישנות טכנולוגית ומלאי איטי בסך של </t>
    </r>
    <r>
      <rPr>
        <sz val="10"/>
        <color rgb="FF808080"/>
        <rFont val="Narkisim"/>
        <family val="2"/>
      </rPr>
      <t>Click here to enter input</t>
    </r>
    <r>
      <rPr>
        <sz val="12"/>
        <color theme="1"/>
        <rFont val="Narkisim"/>
        <family val="2"/>
      </rPr>
      <t xml:space="preserve"> אלפי ש"ח ו- </t>
    </r>
    <r>
      <rPr>
        <sz val="10"/>
        <color rgb="FF808080"/>
        <rFont val="Narkisim"/>
        <family val="2"/>
      </rPr>
      <t>Click here to enter input</t>
    </r>
    <r>
      <rPr>
        <sz val="12"/>
        <color rgb="FF808080"/>
        <rFont val="Narkisim"/>
        <family val="2"/>
      </rPr>
      <t xml:space="preserve"> </t>
    </r>
    <r>
      <rPr>
        <sz val="12"/>
        <color theme="1"/>
        <rFont val="Narkisim"/>
        <family val="2"/>
      </rPr>
      <t>אלפי ש"ח לימים 31 בדצמבר, 2020 ו- 2019, בהתאמה.</t>
    </r>
  </si>
  <si>
    <r>
      <t xml:space="preserve">הוצאות הפרשה לירידת ערך שנזקפו לדוח רווח והפסד הסתכמו לסך של </t>
    </r>
    <r>
      <rPr>
        <sz val="10"/>
        <color rgb="FF808080"/>
        <rFont val="Narkisim"/>
        <family val="2"/>
      </rPr>
      <t>Click here to enter input</t>
    </r>
    <r>
      <rPr>
        <sz val="12"/>
        <color theme="1"/>
        <rFont val="Narkisim"/>
        <family val="2"/>
      </rPr>
      <t xml:space="preserve"> אלפי ש"ח ו- </t>
    </r>
    <r>
      <rPr>
        <sz val="10"/>
        <color rgb="FF808080"/>
        <rFont val="Narkisim"/>
        <family val="2"/>
      </rPr>
      <t>Click here to enter input</t>
    </r>
    <r>
      <rPr>
        <sz val="12"/>
        <color rgb="FF808080"/>
        <rFont val="Narkisim"/>
        <family val="2"/>
      </rPr>
      <t xml:space="preserve"> </t>
    </r>
    <r>
      <rPr>
        <sz val="12"/>
        <color theme="1"/>
        <rFont val="Narkisim"/>
        <family val="2"/>
      </rPr>
      <t xml:space="preserve">אלפי ש"ח בשנים שהסתיימו ב- 31 בדצמבר 2020 ו- 2019, בהתאמה. </t>
    </r>
  </si>
  <si>
    <r>
      <t xml:space="preserve">ליום 31 בדצמבר 2020, קיבלה החברה מענק מצטבר בסך </t>
    </r>
    <r>
      <rPr>
        <sz val="10"/>
        <color rgb="FF808080"/>
        <rFont val="Narkisim"/>
        <family val="2"/>
      </rPr>
      <t>Click here to enter input</t>
    </r>
    <r>
      <rPr>
        <sz val="12"/>
        <color theme="1"/>
        <rFont val="Narkisim"/>
        <family val="2"/>
      </rPr>
      <t xml:space="preserve"> אלפי ש"ח. </t>
    </r>
  </si>
  <si>
    <r>
      <t xml:space="preserve">בשנה שנסתיימה ביום 31 בדצמבר 2020, קיבלה החברה, מענק על סך </t>
    </r>
    <r>
      <rPr>
        <sz val="10"/>
        <color rgb="FF808080"/>
        <rFont val="Narkisim"/>
        <family val="2"/>
      </rPr>
      <t>Click here to enter input</t>
    </r>
    <r>
      <rPr>
        <sz val="12"/>
        <color theme="1"/>
        <rFont val="Narkisim"/>
        <family val="2"/>
      </rPr>
      <t xml:space="preserve"> אלפי ש"ח.</t>
    </r>
  </si>
  <si>
    <t xml:space="preserve">שיעור מס החברות בישראל בשנים 2020 ו- 2019 הינו 23%. </t>
  </si>
  <si>
    <t xml:space="preserve">נכון ליום 31 בדצמבר, 2020 לחברה יתרת הפסדים מועברים נצברים לצרכי מס בסך של כ-2217  אלפי ש"ח. </t>
  </si>
  <si>
    <r>
      <t xml:space="preserve">מתוך הוצאות הפחת בסך </t>
    </r>
    <r>
      <rPr>
        <sz val="12"/>
        <color rgb="FF808080"/>
        <rFont val="Narkisim"/>
        <family val="2"/>
      </rPr>
      <t>Click here to enter input</t>
    </r>
    <r>
      <rPr>
        <sz val="12"/>
        <color theme="1"/>
        <rFont val="Narkisim"/>
        <family val="2"/>
      </rPr>
      <t xml:space="preserve"> ש"ח לשנה שהסתיימה ביום 31 בדצמבר, 2020, הוצאות פחת בסך </t>
    </r>
    <r>
      <rPr>
        <sz val="12"/>
        <color rgb="FF808080"/>
        <rFont val="Narkisim"/>
        <family val="2"/>
      </rPr>
      <t>Click here to enter input</t>
    </r>
    <r>
      <rPr>
        <sz val="12"/>
        <color theme="1"/>
        <rFont val="Narkisim"/>
        <family val="2"/>
      </rPr>
      <t xml:space="preserve"> ש"ח מיוחסות למחלקת מחקר ופיתוח. </t>
    </r>
  </si>
  <si>
    <r>
      <t xml:space="preserve">בשנה שהסתיימה ביום 31 בדצמבר, 2020 לחברה התהוו רווחי/הפסדי הון לצרכי מס הכנסה בסך </t>
    </r>
    <r>
      <rPr>
        <sz val="12"/>
        <color rgb="FF808080"/>
        <rFont val="Narkisim"/>
        <family val="2"/>
      </rPr>
      <t>Click here to enter input</t>
    </r>
    <r>
      <rPr>
        <sz val="12"/>
        <color theme="1"/>
        <rFont val="Narkisim"/>
        <family val="2"/>
      </rPr>
      <t xml:space="preserve"> ש"ח. </t>
    </r>
  </si>
  <si>
    <r>
      <t xml:space="preserve">ההוצאות שאושרו לחברה על ידי הרשות לחדשנות לאומית (בין אם לצרכי סעיף 20א או לצרכי מתן מענק) לשנה שהסתיימה ביום 31 בדצמבר, 2020 הסתכמו ל- </t>
    </r>
    <r>
      <rPr>
        <sz val="12"/>
        <color rgb="FF808080"/>
        <rFont val="Narkisim"/>
        <family val="2"/>
      </rPr>
      <t>Click here to enter input</t>
    </r>
    <r>
      <rPr>
        <sz val="12"/>
        <color theme="1"/>
        <rFont val="Narkisim"/>
        <family val="2"/>
      </rPr>
      <t xml:space="preserve"> ש"ח.</t>
    </r>
  </si>
  <si>
    <r>
      <t xml:space="preserve">מתוך סך הכל הוצאות המחקר ופיתוח, נטו של החברה לשנה שהסתיימה ביום 31 בדצמבר, 2020, </t>
    </r>
    <r>
      <rPr>
        <sz val="12"/>
        <color rgb="FF808080"/>
        <rFont val="Narkisim"/>
        <family val="2"/>
      </rPr>
      <t>Click here to enter input</t>
    </r>
    <r>
      <rPr>
        <sz val="12"/>
        <color theme="1"/>
        <rFont val="Narkisim"/>
        <family val="2"/>
      </rPr>
      <t xml:space="preserve"> ש"ח לא שולמו במזומן. </t>
    </r>
  </si>
  <si>
    <r>
      <t xml:space="preserve">במהלך השנה שהסתיימה ביום 31 בדצמבר, 2020 החברה שילמה במזומן </t>
    </r>
    <r>
      <rPr>
        <sz val="12"/>
        <color rgb="FF808080"/>
        <rFont val="Narkisim"/>
        <family val="2"/>
      </rPr>
      <t>Click here to enter input</t>
    </r>
    <r>
      <rPr>
        <sz val="12"/>
        <color theme="1"/>
        <rFont val="Narkisim"/>
        <family val="2"/>
      </rPr>
      <t xml:space="preserve"> ש"ח בגין הוצאות מחקר ופיתוח אשר נכללו בדוח על הרווח הכולל של החברה לשנה שהסתיימה ביום 31 בדצמבר, 2019, ותואמו לצרכי מס בשנה קודמת.</t>
    </r>
  </si>
  <si>
    <r>
      <t xml:space="preserve">במהלך השנה שהסתיימה ביום 31 בדצמבר, 2020 נזקפו להוצאות מחקר ופיתוח, נטו הוצאות עודפות בסך </t>
    </r>
    <r>
      <rPr>
        <sz val="12"/>
        <color rgb="FF808080"/>
        <rFont val="Narkisim"/>
        <family val="2"/>
      </rPr>
      <t>Click here to enter input</t>
    </r>
    <r>
      <rPr>
        <sz val="12"/>
        <color theme="1"/>
        <rFont val="Narkisim"/>
        <family val="2"/>
      </rPr>
      <t xml:space="preserve"> ש"ח.</t>
    </r>
  </si>
  <si>
    <t>LTD</t>
  </si>
  <si>
    <t>31.12.20</t>
  </si>
  <si>
    <t>הפרשי שער</t>
  </si>
  <si>
    <t>Net loss for the year ending 31/12/20</t>
  </si>
  <si>
    <t>Balance as of December 31 ,2020</t>
  </si>
  <si>
    <t>חשבון</t>
  </si>
  <si>
    <t>תאור החשבון</t>
  </si>
  <si>
    <t>יתרה בשקלים</t>
  </si>
  <si>
    <t>בנק לאומי ש"ח</t>
  </si>
  <si>
    <t>בנק $ TIPALTI</t>
  </si>
  <si>
    <t>בנק SVB</t>
  </si>
  <si>
    <t>כרטיס אשראי $ 9110</t>
  </si>
  <si>
    <t>ורביט סופטוור בע"מ</t>
  </si>
  <si>
    <t>מחשבים ותוכנות</t>
  </si>
  <si>
    <t>פחת נצבר מחשבים</t>
  </si>
  <si>
    <t>מע'מ חו'ז</t>
  </si>
  <si>
    <t>מע'מ תשומות</t>
  </si>
  <si>
    <t>מע"מ במקור (אינו משתתף בדוח מע"מ)</t>
  </si>
  <si>
    <t>קיזוז מע"מ חשבונית עצמית (אינו משתתף בדוח מע"מ)</t>
  </si>
  <si>
    <t>ביטוח לאומי ניכויים</t>
  </si>
  <si>
    <t>מס הכנסה ניכויים</t>
  </si>
  <si>
    <t>ניכוי מס במקור - ספקים</t>
  </si>
  <si>
    <t>ניכוי מס במקור - רבית פקדון</t>
  </si>
  <si>
    <t>חו"ז עובדים</t>
  </si>
  <si>
    <t>עתודה לחופשה</t>
  </si>
  <si>
    <t>הכנסות מחשבונית עצמית (משתתף בדוח מע"מ)</t>
  </si>
  <si>
    <t>הכנסות מחשבונית עצמית (אינו משתתף בדוח מע"מ)</t>
  </si>
  <si>
    <t>ארוחות מו"פ</t>
  </si>
  <si>
    <t>הוצ מו"פ  WP ENGINE</t>
  </si>
  <si>
    <t>הוצ שווק אביאל</t>
  </si>
  <si>
    <t>ביטוח דירקטורים</t>
  </si>
  <si>
    <t>מתנות עובדים</t>
  </si>
  <si>
    <t>שכר דירה</t>
  </si>
  <si>
    <t>אינטרנט ותקשורת</t>
  </si>
  <si>
    <t>משרדיות</t>
  </si>
  <si>
    <t>משפטיות</t>
  </si>
  <si>
    <t>אחזקת מחשב הנה"כ</t>
  </si>
  <si>
    <t>ארועי חברה</t>
  </si>
  <si>
    <t>הנהלת חשבונות וחשבות</t>
  </si>
  <si>
    <t>אתרים אינטרנט GOOGLE</t>
  </si>
  <si>
    <t>הכנסות זקופות הנהלה ז'</t>
  </si>
  <si>
    <t>הוצאות פחת מחשבים ותוכנה</t>
  </si>
  <si>
    <t>עמלות בנק וריבית חובה</t>
  </si>
  <si>
    <t>הכנסות ריבית מפקדונות</t>
  </si>
  <si>
    <t>עמלות כרטיס אשראי</t>
  </si>
  <si>
    <t>NEW12</t>
  </si>
  <si>
    <t>NEW14</t>
  </si>
  <si>
    <t>NEW5840</t>
  </si>
  <si>
    <t>NEW5841</t>
  </si>
  <si>
    <t>יתרה בדולר</t>
  </si>
  <si>
    <t>הפרש</t>
  </si>
  <si>
    <t>,</t>
  </si>
  <si>
    <t>בP4:V5נק לאומי $</t>
  </si>
  <si>
    <t>Check</t>
  </si>
  <si>
    <t>$</t>
  </si>
  <si>
    <t>Stoke CONS</t>
  </si>
  <si>
    <t>השקעה ב- INC</t>
  </si>
  <si>
    <t>Treeverse  Ltd</t>
  </si>
  <si>
    <t>Treeverse Inc</t>
  </si>
  <si>
    <t>Treeverse Ltd</t>
  </si>
  <si>
    <t>תזרים מזומנים טריברס 2020 NIS</t>
  </si>
  <si>
    <t>תזרים מזומנים טריברס 2020 USD</t>
  </si>
  <si>
    <t>1010 Chase Checking:2986 Checking Leumi  Activity - Deposit Accounts</t>
  </si>
  <si>
    <t>1410 Inter Company account</t>
  </si>
  <si>
    <t>7010 Other Income:Interest Received</t>
  </si>
  <si>
    <t>70008</t>
  </si>
  <si>
    <t>70010</t>
  </si>
  <si>
    <t>70011</t>
  </si>
  <si>
    <t>70012</t>
  </si>
  <si>
    <t>שליחויות והובלות</t>
  </si>
  <si>
    <t>70013</t>
  </si>
  <si>
    <t>70014</t>
  </si>
  <si>
    <t>דואר</t>
  </si>
  <si>
    <t>70015</t>
  </si>
  <si>
    <t>טלפון</t>
  </si>
  <si>
    <t>70016</t>
  </si>
  <si>
    <t>70017</t>
  </si>
  <si>
    <t>אחזקת משרד</t>
  </si>
  <si>
    <t>70018</t>
  </si>
  <si>
    <t>מיסי עירייה</t>
  </si>
  <si>
    <t>70020</t>
  </si>
  <si>
    <t>חשמל</t>
  </si>
  <si>
    <t>70027</t>
  </si>
  <si>
    <t>70028</t>
  </si>
  <si>
    <t>70033</t>
  </si>
  <si>
    <t>נקיון</t>
  </si>
  <si>
    <t>74000</t>
  </si>
  <si>
    <t>74001</t>
  </si>
  <si>
    <t>הוצאות פחת ריהוט וציוד</t>
  </si>
  <si>
    <t>74002</t>
  </si>
  <si>
    <t>74003</t>
  </si>
  <si>
    <t>הוצאות פחת שיפורים במושכר</t>
  </si>
  <si>
    <t>R&amp;D</t>
  </si>
  <si>
    <t>G&amp;A</t>
  </si>
  <si>
    <t>Marketing</t>
  </si>
  <si>
    <t>Total</t>
  </si>
  <si>
    <t>NEW3</t>
  </si>
  <si>
    <t># EMP</t>
  </si>
  <si>
    <t>LOC</t>
  </si>
  <si>
    <t>Options fund</t>
  </si>
  <si>
    <t>בנק לאומי $</t>
  </si>
  <si>
    <t>כ.א.1912 ש"ח</t>
  </si>
  <si>
    <t>פקדון ש"ח בנק לאומי</t>
  </si>
  <si>
    <t>פקדון SOK WORKS</t>
  </si>
  <si>
    <t>פחת נצבר ריהוט וציוד</t>
  </si>
  <si>
    <t>פחת נצבר שפורים במושכר</t>
  </si>
  <si>
    <t>נשיץ ברנדס אמיר ושות', עורכי דין</t>
  </si>
  <si>
    <t>שטראוס מים בע"מ - תמי 4</t>
  </si>
  <si>
    <t>חניון מרכז עזריאלי בע"מ</t>
  </si>
  <si>
    <t>חברת פרטנר תקשורת בע"מ</t>
  </si>
  <si>
    <t>ג.ש.ניצוץ בע"מ</t>
  </si>
  <si>
    <t>מגדל חברה לבטוח בע"מ</t>
  </si>
  <si>
    <t>עיריית תל אביב</t>
  </si>
  <si>
    <t>ליבנה צפוני בע"מ IKEA</t>
  </si>
  <si>
    <t>אמזון ווב סרביסס ישראל AMAZON</t>
  </si>
  <si>
    <t>בזק החברה הישראלית לתקשורת בע"מ</t>
  </si>
  <si>
    <t>ג'יטי גט טקסי סרוויסס בע"מ</t>
  </si>
  <si>
    <t>הפניקס חברה לביטוח בע"מ</t>
  </si>
  <si>
    <t>מי אביבים 2010 בע"מ</t>
  </si>
  <si>
    <t>מיתר עורכי דין</t>
  </si>
  <si>
    <t>אברם גילברט</t>
  </si>
  <si>
    <t>אר.טו.אם קורפוראשיין בע"מ</t>
  </si>
  <si>
    <t>אלטשולר שחם - להשלים פרטים</t>
  </si>
  <si>
    <t>קיי.אס.פי. מחשבים (ראשון לציון) בע"מ</t>
  </si>
  <si>
    <t>ול"ך דן ייעוץ</t>
  </si>
  <si>
    <t>דור אלון ניהול מתחמים AM PM</t>
  </si>
  <si>
    <t>ארביב פרוייקטים משה וירין בע"מ</t>
  </si>
  <si>
    <t>מולט</t>
  </si>
  <si>
    <t>ניסקו חשמל שקע ותקע תאורה בע"מ</t>
  </si>
  <si>
    <t>גנח שמעון-שיא הובלות</t>
  </si>
  <si>
    <t>פוקס ויזל בע"מ</t>
  </si>
  <si>
    <t>UNITED</t>
  </si>
  <si>
    <t>SLACK</t>
  </si>
  <si>
    <t>HubSpot</t>
  </si>
  <si>
    <t>Microsoft</t>
  </si>
  <si>
    <t>DATABRICKS INC</t>
  </si>
  <si>
    <t>JumpCloud Inc</t>
  </si>
  <si>
    <t>INTERCONTINENTAL SAN</t>
  </si>
  <si>
    <t>10110732 Manitoba Ltd</t>
  </si>
  <si>
    <t>LUKS CORMANEY LLP</t>
  </si>
  <si>
    <t>Airbnb inc</t>
  </si>
  <si>
    <t>Brand24 Global Inc</t>
  </si>
  <si>
    <t>Treeverse, Inc</t>
  </si>
  <si>
    <t>מע'מ עסקאות</t>
  </si>
  <si>
    <t>מע'מ תשומות לנכסים</t>
  </si>
  <si>
    <t>ניכוי מס במקור - ריבית</t>
  </si>
  <si>
    <t>מקדמות בגין עודפות 2020</t>
  </si>
  <si>
    <t>חו"ז גמל</t>
  </si>
  <si>
    <t>כץ עוז</t>
  </si>
  <si>
    <t>אור עינת</t>
  </si>
  <si>
    <t>יעקובוביץ יצחק</t>
  </si>
  <si>
    <t>עמר ברק</t>
  </si>
  <si>
    <t>ריבקינד יעל</t>
  </si>
  <si>
    <t>שקד אריאל</t>
  </si>
  <si>
    <t>אדמי איתי</t>
  </si>
  <si>
    <t>מנו שיר</t>
  </si>
  <si>
    <t>גיוס והשמה מו"פ - אדד ווליו</t>
  </si>
  <si>
    <t>אחזקת תוכנה ורשיונות מו"פ</t>
  </si>
  <si>
    <t>הוצאות OPSGENIE</t>
  </si>
  <si>
    <t>הוצ רידאש אי.או</t>
  </si>
  <si>
    <t>הוצ מיסטורי-נגר אייל</t>
  </si>
  <si>
    <t>הוצ גיוס מו"פ</t>
  </si>
  <si>
    <t>הוצ יעוץ מפתחים -שימי וידר</t>
  </si>
  <si>
    <t>הוצ איתי דויד MANITOBA contractor -Itay David</t>
  </si>
  <si>
    <t>נסיעה לארה"ב עוז כץ 11.10.21-15.10.21</t>
  </si>
  <si>
    <t>שווי פלאפון מו"פ</t>
  </si>
  <si>
    <t>הוצאות ברנדינג - הלו דיזיין</t>
  </si>
  <si>
    <t>הוצאות שיווק פרסום ומיתוג</t>
  </si>
  <si>
    <t>הוצאות SITEGROUND</t>
  </si>
  <si>
    <t>הוצאות HubSpot</t>
  </si>
  <si>
    <t>הוצאות גורילה באז</t>
  </si>
  <si>
    <t>הוצאות משכורת  BUSINESS DEVELOPMENT</t>
  </si>
  <si>
    <t>הוצאות ביטוח לאומי BUSINESS DEVELOPMENT</t>
  </si>
  <si>
    <t>הוצאות גמל BUSINESS DEVELOPMENT</t>
  </si>
  <si>
    <t>הוצאות גמל פיצויים BUSINESS DEVELOPMENT</t>
  </si>
  <si>
    <t>הוצאות קה"ל BUSINESS DEVELOPMENT</t>
  </si>
  <si>
    <t>הוצאות הפרשה להבראה BUSINESS DEVELOPMENT</t>
  </si>
  <si>
    <t>שווי קיצבה שיווק BUSINESS DEVELOPMENT</t>
  </si>
  <si>
    <t>שווי מתנות שיווק BUSINESS DEVELOPMENT</t>
  </si>
  <si>
    <t>הכנסות זקופות זכות שיווק BUSINESS DEVELOPMENT</t>
  </si>
  <si>
    <t>הוצאות משכורת Marketing</t>
  </si>
  <si>
    <t>הוצאות ביטוח לאומי Marketing</t>
  </si>
  <si>
    <t>הוצאות גמל Marketing</t>
  </si>
  <si>
    <t>הוצאות גמל פיצויים Marketing</t>
  </si>
  <si>
    <t>הוצאות גמל א.כ.ע Marketing</t>
  </si>
  <si>
    <t>הוצאות קה"ל Marketing</t>
  </si>
  <si>
    <t>הוצאות מחירי העברה  IC EXPENSES</t>
  </si>
  <si>
    <t>שווי קרן השתלמות שיווק Marketing</t>
  </si>
  <si>
    <t>שווי קיצבה שיווק Marketing</t>
  </si>
  <si>
    <t>שווי א.כ.ע שיווק Marketing</t>
  </si>
  <si>
    <t>שווי פיצויים שיווק Marketing</t>
  </si>
  <si>
    <t>הכנסות זקופות זכות שיווק Marketing</t>
  </si>
  <si>
    <t>הוצאות משכורת Developer Experience</t>
  </si>
  <si>
    <t>הוצאות ביטוח לאומי Developer Experience</t>
  </si>
  <si>
    <t>הוצאות גמל Developer Experience</t>
  </si>
  <si>
    <t>הוצאות גמל פיצויים Developer Experience</t>
  </si>
  <si>
    <t>הוצאות קה"ל Developer Experience</t>
  </si>
  <si>
    <t>שווי קרן השתלמות Developer Experience</t>
  </si>
  <si>
    <t>שווי קיצבה Developer Experience</t>
  </si>
  <si>
    <t>שווי פיצויים Developer Experience</t>
  </si>
  <si>
    <t>הכנסות זקופות זכות Developer Experience</t>
  </si>
  <si>
    <t>נסיעה לחול עדי פולק 10.10-17.10.21</t>
  </si>
  <si>
    <t>ארוחות הנהלה</t>
  </si>
  <si>
    <t>יעוץ הנהלה</t>
  </si>
  <si>
    <t>אירוח חו"ל הנה"כ</t>
  </si>
  <si>
    <t>מתנות עובדים - לפצל מתנות ב 2022</t>
  </si>
  <si>
    <t>נסיעות תחבורה ומוניות</t>
  </si>
  <si>
    <t>דמי טיפול ביטוח</t>
  </si>
  <si>
    <t>דמי טיפול תגמול סוכנות לביטוח</t>
  </si>
  <si>
    <t>הוצאות ועד בית</t>
  </si>
  <si>
    <t>הוצאות VANTA INC</t>
  </si>
  <si>
    <t>הוצאות ZOOM</t>
  </si>
  <si>
    <t>ביטוח חיים מנהלים</t>
  </si>
  <si>
    <t>אחזקת תוכנה הנה"כ</t>
  </si>
  <si>
    <t>הוצ Namecheap</t>
  </si>
  <si>
    <t>הוצ מי אביבים מים</t>
  </si>
  <si>
    <t>הוצ Raintank</t>
  </si>
  <si>
    <t>הוצ אברהם גילברט</t>
  </si>
  <si>
    <t>הוצ Docusign</t>
  </si>
  <si>
    <t>מתנות ספקקים / לקוחות</t>
  </si>
  <si>
    <t>הוצ השכרת חדר ישיבות</t>
  </si>
  <si>
    <t>טלפון נייד-הנהלה</t>
  </si>
  <si>
    <t>הוצאות גמל פיצויים הנהלה</t>
  </si>
  <si>
    <t>שווי פלאפון הנהלה ח'</t>
  </si>
  <si>
    <t>ריבית מפקדון</t>
  </si>
  <si>
    <t>הפחתת נכס מקדמות עודפות</t>
  </si>
  <si>
    <t>31.12.2021</t>
  </si>
  <si>
    <t>ממוצע 2021</t>
  </si>
  <si>
    <t>הפחתת נכס מקדמות עודפות-אין צפי לקיזוז בעתיד הנראה לעין</t>
  </si>
  <si>
    <t>Options expenses R&amp;D</t>
  </si>
  <si>
    <t>Options expenses Marketing</t>
  </si>
  <si>
    <t>Options expenses G&amp;A</t>
  </si>
  <si>
    <t>Options exp</t>
  </si>
  <si>
    <t>NEW4</t>
  </si>
  <si>
    <t>1030 Chase Checking:Time Deposit</t>
  </si>
  <si>
    <t>1015 Euro Account</t>
  </si>
  <si>
    <t>1025 CAD Account</t>
  </si>
  <si>
    <t>1100 Accounts Receivable</t>
  </si>
  <si>
    <t>1300 Prepaid Expenses</t>
  </si>
  <si>
    <t>1400 Security Deposits</t>
  </si>
  <si>
    <t>1601 Fixed Assets:Fixed Asset Computers</t>
  </si>
  <si>
    <t>2000 Accounts Payable</t>
  </si>
  <si>
    <t>Accounts Payable (A/P) - EUR</t>
  </si>
  <si>
    <t>2110 Credit Card:Leumi Credit Card XXXX 6767</t>
  </si>
  <si>
    <t>2200 Accrued Expenses</t>
  </si>
  <si>
    <t>2300 Payroll Liabilities</t>
  </si>
  <si>
    <t>3130 Issuance Cost</t>
  </si>
  <si>
    <t>3200 Retained Earnings</t>
  </si>
  <si>
    <t>4010 Intercompany Income</t>
  </si>
  <si>
    <t>6010 Payroll Expenses:Gross Salary</t>
  </si>
  <si>
    <t>6040 Payroll Expenses:Payroll Taxes</t>
  </si>
  <si>
    <t>6050 Payroll Expenses:Benefits</t>
  </si>
  <si>
    <t>6060 Payroll Expenses:Worker's Compensation</t>
  </si>
  <si>
    <t>6090 Payroll Expenses:Payroll Fees</t>
  </si>
  <si>
    <t>6210 Professional Services:Accounting Fee</t>
  </si>
  <si>
    <t>6220 Professional Services:Legal Fees</t>
  </si>
  <si>
    <t>6230 Professional Services:Consulting Services</t>
  </si>
  <si>
    <t>6240 Professional Services:HR Services</t>
  </si>
  <si>
    <t>6310 Travel &amp; Entertainment:Airfare</t>
  </si>
  <si>
    <t>6320 Travel &amp; Entertainment:Auto, Miles, Parking &amp; Related</t>
  </si>
  <si>
    <t>6340 Travel &amp; Entertainment:Meals</t>
  </si>
  <si>
    <t>6410 Sales &amp; Marketing:Advertisement</t>
  </si>
  <si>
    <t>6440 Sales &amp; Marketing:Public Relations</t>
  </si>
  <si>
    <t>6450 Sales &amp; Marketing:Marketing</t>
  </si>
  <si>
    <t>6511 Depreciation</t>
  </si>
  <si>
    <t>6610 Facilities &amp; Communications:Rent</t>
  </si>
  <si>
    <t>6620 Facilities &amp; Communications:Telephone/Internet Expenses</t>
  </si>
  <si>
    <t>6720 IT &amp; Related Expenses:Software Subscription</t>
  </si>
  <si>
    <t>6730 IT &amp; Related Expenses:Software Expenses &lt;$1k</t>
  </si>
  <si>
    <t>8010 Taxes:Federal</t>
  </si>
  <si>
    <t>8020 Taxes:State</t>
  </si>
  <si>
    <t>Bank Charges &amp; Fees</t>
  </si>
  <si>
    <t>Interest Paid</t>
  </si>
  <si>
    <t>Taxes &amp; Licenses</t>
  </si>
  <si>
    <t>Exchange Gain or Loss</t>
  </si>
  <si>
    <t>Other Miscellaneous Expense</t>
  </si>
  <si>
    <t>Sales Options expenses</t>
  </si>
  <si>
    <t>Options 2021</t>
  </si>
  <si>
    <t>CONS- USD</t>
  </si>
  <si>
    <t>Number of Ordinary shares</t>
  </si>
  <si>
    <t>Amount of Ordinary shares</t>
  </si>
  <si>
    <t>Number of Seed Preferred stock</t>
  </si>
  <si>
    <t>Amount of Seed Preferred stock</t>
  </si>
  <si>
    <t>Number of A Preferred shares</t>
  </si>
  <si>
    <t>Amount of A Preferred stock</t>
  </si>
  <si>
    <t>Issuance Costs</t>
  </si>
  <si>
    <t>Stock-based compensation</t>
  </si>
  <si>
    <t>Loss for the year</t>
  </si>
  <si>
    <t>Balance as at 31/12/2020</t>
  </si>
  <si>
    <t>Balance as at 31/12/2021</t>
  </si>
  <si>
    <t>R&amp;D Allocation</t>
  </si>
  <si>
    <t>Marketing Allocation</t>
  </si>
  <si>
    <t>G&amp;A Allocation</t>
  </si>
  <si>
    <t>Expenses allocation</t>
  </si>
  <si>
    <t>NEW5</t>
  </si>
  <si>
    <t>NEW6</t>
  </si>
  <si>
    <t>NEW7</t>
  </si>
  <si>
    <t>תזרים מזומנים 2020 USD</t>
  </si>
  <si>
    <t>Cash and cash equivalents</t>
  </si>
  <si>
    <t>Accounts receivable</t>
  </si>
  <si>
    <t>Other account receivables and prepaid expenses</t>
  </si>
  <si>
    <t>Fixed assets, net</t>
  </si>
  <si>
    <t xml:space="preserve">Other current liabilties </t>
  </si>
  <si>
    <t>SAFE Liab</t>
  </si>
  <si>
    <t>Preferred shares SEED</t>
  </si>
  <si>
    <t>Receivable on account of shares</t>
  </si>
  <si>
    <t>Share based compensation</t>
  </si>
  <si>
    <t>Cash flows from operating activities:</t>
  </si>
  <si>
    <t>Cons USD</t>
  </si>
  <si>
    <t>Net loss</t>
  </si>
  <si>
    <t>Adjustments to reconcile net loss to net cash used in operating activities:</t>
  </si>
  <si>
    <t>Depreciation</t>
  </si>
  <si>
    <t>Changes in assets and liabilities:</t>
  </si>
  <si>
    <t>Increase in other accounts receivables and prepaid expenses</t>
  </si>
  <si>
    <t xml:space="preserve">Increase in Trade payables and acrrued expenses </t>
  </si>
  <si>
    <t>Increase in other current liabilities</t>
  </si>
  <si>
    <t>Net cash used in operating activities</t>
  </si>
  <si>
    <t>Cash flows from investing activities:</t>
  </si>
  <si>
    <t>Purchase of property and equipment</t>
  </si>
  <si>
    <t>Net cash used in investing activities</t>
  </si>
  <si>
    <t>Cash flows from financing activities:</t>
  </si>
  <si>
    <t>Proceeds from issuance of Round A Preferred shares, net</t>
  </si>
  <si>
    <t>Net cash provided by financing activities</t>
  </si>
  <si>
    <t>Change in cash and cash equivalents</t>
  </si>
  <si>
    <t>Cash and cash equivalents at beginning of period</t>
  </si>
  <si>
    <t>Cash and cash equivalents at end of period</t>
  </si>
  <si>
    <t>Supplemental disclosures of noncash activities:</t>
  </si>
  <si>
    <t xml:space="preserve">Fair Value of SAFE preferred A Shares </t>
  </si>
  <si>
    <t>3210 Options Fund</t>
  </si>
  <si>
    <t>1611 Fixed Assets:Fixed Assets- Accumulated Depreciation:Accumulated Depreciation- Computers</t>
  </si>
  <si>
    <t>3110 Series seed Preferred Stock</t>
  </si>
  <si>
    <t>6011 Payroll Expenses:Paul Sigman Salary expenses</t>
  </si>
  <si>
    <t>6270 Professional Services:Altshuler Shaham 409A</t>
  </si>
  <si>
    <t>6280 Professional Services:Alldus International Consulting</t>
  </si>
  <si>
    <t>6520 Other Operating Expenses:Postage and Delivery</t>
  </si>
  <si>
    <t>6530 Other Operating Expenses:Dues and Subscriptions</t>
  </si>
  <si>
    <t>6540 Other Operating Expenses:Taxes, Licenses and Permits</t>
  </si>
  <si>
    <t>6570 Other Operating Expenses:Computer Equipments</t>
  </si>
  <si>
    <t>V</t>
  </si>
  <si>
    <t>שערוך יתרת ספק ל-31.12.21</t>
  </si>
  <si>
    <t>6310</t>
  </si>
  <si>
    <t>reclassification exp from retained earning to travel</t>
  </si>
  <si>
    <t>רישום הענקת האופציות של אברום מול קרן הון בגין אופציות בחברת האם</t>
  </si>
  <si>
    <t>3210</t>
  </si>
  <si>
    <t>options grants of Avrom Gilbert</t>
  </si>
  <si>
    <t>consultant of LTD</t>
  </si>
  <si>
    <t>1410</t>
  </si>
  <si>
    <t>Options exercised</t>
  </si>
  <si>
    <t>Investor name</t>
  </si>
  <si>
    <t>Number of preferred stock</t>
  </si>
  <si>
    <t>Date</t>
  </si>
  <si>
    <t xml:space="preserve">Par value </t>
  </si>
  <si>
    <t xml:space="preserve">Dell Inc </t>
  </si>
  <si>
    <t>Norwest Venture Partners XV</t>
  </si>
  <si>
    <t>Zeev Ventures VII</t>
  </si>
  <si>
    <t>Avrom Gilbert</t>
  </si>
  <si>
    <t>Micah Breakstone</t>
  </si>
  <si>
    <t>Mnor Family</t>
  </si>
  <si>
    <t>Ocean Pacific Investment</t>
  </si>
  <si>
    <t>Date of exercise</t>
  </si>
  <si>
    <t>Name</t>
  </si>
  <si>
    <t>Number of ordinary stock</t>
  </si>
  <si>
    <t>amount (USD)</t>
  </si>
  <si>
    <t>Investment amount (USD)</t>
  </si>
  <si>
    <t>Yael Rivkind</t>
  </si>
  <si>
    <t>Diff</t>
  </si>
  <si>
    <t>Round A</t>
  </si>
  <si>
    <t>Options exercise</t>
  </si>
  <si>
    <t>Issuance cost</t>
  </si>
  <si>
    <t>מיון הוצאות הנפקה ל-INTERCIMPANY</t>
  </si>
  <si>
    <t>3130</t>
  </si>
  <si>
    <t>Issuance cost that paid by Ltd</t>
  </si>
  <si>
    <t>Current stock price</t>
  </si>
  <si>
    <t xml:space="preserve">Exercise price </t>
  </si>
  <si>
    <t>Risk-free rate of interest</t>
  </si>
  <si>
    <t>Expected life (in years)</t>
  </si>
  <si>
    <t>Stock volatility</t>
  </si>
  <si>
    <r>
      <t>d</t>
    </r>
    <r>
      <rPr>
        <vertAlign val="subscript"/>
        <sz val="10"/>
        <color indexed="57"/>
        <rFont val="Calibri"/>
        <family val="2"/>
      </rPr>
      <t>1</t>
    </r>
  </si>
  <si>
    <r>
      <t>d</t>
    </r>
    <r>
      <rPr>
        <vertAlign val="subscript"/>
        <sz val="10"/>
        <color indexed="57"/>
        <rFont val="Calibri"/>
        <family val="2"/>
      </rPr>
      <t>2</t>
    </r>
  </si>
  <si>
    <r>
      <t>N(d</t>
    </r>
    <r>
      <rPr>
        <vertAlign val="subscript"/>
        <sz val="10"/>
        <color indexed="57"/>
        <rFont val="Calibri"/>
        <family val="2"/>
      </rPr>
      <t>1</t>
    </r>
    <r>
      <rPr>
        <sz val="10"/>
        <color indexed="57"/>
        <rFont val="Calibri"/>
        <family val="2"/>
      </rPr>
      <t>)</t>
    </r>
  </si>
  <si>
    <r>
      <t>N(d</t>
    </r>
    <r>
      <rPr>
        <vertAlign val="subscript"/>
        <sz val="10"/>
        <color indexed="57"/>
        <rFont val="Calibri"/>
        <family val="2"/>
      </rPr>
      <t>2</t>
    </r>
    <r>
      <rPr>
        <sz val="10"/>
        <color indexed="57"/>
        <rFont val="Calibri"/>
        <family val="2"/>
      </rPr>
      <t>)</t>
    </r>
  </si>
  <si>
    <t>Black Scholes</t>
  </si>
  <si>
    <t>Number of warrants</t>
  </si>
  <si>
    <t>Total exp</t>
  </si>
  <si>
    <t>Date of signature</t>
  </si>
  <si>
    <t>TOTAL EXPENSES</t>
  </si>
  <si>
    <t>COST + 10%</t>
  </si>
  <si>
    <t>TOTAL TP</t>
  </si>
  <si>
    <t>Purchases</t>
  </si>
  <si>
    <t>intercompany income recorded</t>
  </si>
  <si>
    <t>4010</t>
  </si>
  <si>
    <t>Adding intercompany income</t>
  </si>
  <si>
    <t>עדכון של TP</t>
  </si>
  <si>
    <r>
      <t xml:space="preserve">ביטול הפרשי שער שנעשו על רכיב הוני בשנים קודמות- </t>
    </r>
    <r>
      <rPr>
        <sz val="11"/>
        <color rgb="FFFF0000"/>
        <rFont val="Arial"/>
        <family val="2"/>
        <scheme val="minor"/>
      </rPr>
      <t>בספרים יש להעביר את זה מול כרטיס הפרשי שער לשנת 2020 ולא לעשות שיערוכים לכרטיס 20800</t>
    </r>
  </si>
  <si>
    <t>ביטול הפרשי שער שנעשו על רכיב הוני</t>
  </si>
  <si>
    <t>Seed Round shares</t>
  </si>
  <si>
    <t>Reclassification- additional paid in dapital to share (par value)</t>
  </si>
  <si>
    <t>מיון הוצאות לשלם בגין ספקים</t>
  </si>
  <si>
    <t>NEW8</t>
  </si>
  <si>
    <t>הוצאות לשלם בגין ספקים</t>
  </si>
  <si>
    <t xml:space="preserve">הוצאות לשלם </t>
  </si>
  <si>
    <t>Restricted cash</t>
  </si>
  <si>
    <t>Warrants -  "Tmura"</t>
  </si>
  <si>
    <t>Donation Exp "Tmura"</t>
  </si>
  <si>
    <t xml:space="preserve">Trade payables </t>
  </si>
  <si>
    <t xml:space="preserve"> Acrrued expenses</t>
  </si>
  <si>
    <t>, Inc</t>
  </si>
  <si>
    <t xml:space="preserve"> INC</t>
  </si>
  <si>
    <t>Statement of Changes in Equity-</t>
  </si>
  <si>
    <t>1020 Chase Checking: INC - BUSINESS MONEY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</si>
</sst>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 #,##0.00_-;_-* &quot;-&quot;??_-;_-@_-"/>
    <numFmt numFmtId="165" formatCode="_ * #,##0_ ;_ * \-#,##0_ ;_ * &quot;-&quot;??_ ;_ @_ "/>
    <numFmt numFmtId="166" formatCode="_(* #,##0.00_);_(* \(#,##0.00\);_(* &quot;-&quot;??_);_(@_)"/>
    <numFmt numFmtId="167" formatCode="0.000"/>
    <numFmt numFmtId="168" formatCode="#,##0.00\ _€"/>
    <numFmt numFmtId="169" formatCode="_(* #,##0_);_(* \(#,##0\);_(* &quot;-&quot;??_);_(@_)"/>
    <numFmt numFmtId="170" formatCode="[$$-C09]#,##0;\-[$$-C09]#,##0"/>
    <numFmt numFmtId="171" formatCode="_-[$$-409]* #,##0.00_ ;_-[$$-409]* \-#,##0.00\ ;_-[$$-409]* &quot;-&quot;??_ ;_-@_ "/>
    <numFmt numFmtId="172" formatCode="0.0000"/>
    <numFmt numFmtId="173" formatCode="[$$-409]#,##0.00"/>
    <numFmt numFmtId="174" formatCode="_(&quot;$&quot;* #,##0_);_(&quot;$&quot;* \(#,##0\);_(&quot;$&quot;* &quot;-&quot;??_);_(@_)"/>
    <numFmt numFmtId="175" formatCode="[$$-C09]#,##0.00;\-[$$-C09]#,##0.00"/>
  </numFmts>
  <fonts count="66" x14ac:knownFonts="1">
    <font>
      <sz val="11"/>
      <color theme="1"/>
      <name val="Arial"/>
      <family val="2"/>
      <charset val="177"/>
      <scheme val="minor"/>
    </font>
    <font>
      <sz val="11"/>
      <color theme="1"/>
      <name val="Arial"/>
      <family val="2"/>
      <scheme val="minor"/>
    </font>
    <font>
      <sz val="11"/>
      <color theme="1"/>
      <name val="Arial"/>
      <family val="2"/>
      <charset val="177"/>
      <scheme val="minor"/>
    </font>
    <font>
      <b/>
      <sz val="11"/>
      <color theme="1"/>
      <name val="Arial"/>
      <family val="2"/>
      <scheme val="minor"/>
    </font>
    <font>
      <sz val="8"/>
      <color theme="1"/>
      <name val="Arial"/>
      <family val="2"/>
      <scheme val="minor"/>
    </font>
    <font>
      <b/>
      <u val="doubleAccounting"/>
      <sz val="11"/>
      <color theme="1"/>
      <name val="Arial"/>
      <family val="2"/>
      <scheme val="minor"/>
    </font>
    <font>
      <sz val="8"/>
      <name val="Arial"/>
      <family val="2"/>
      <charset val="177"/>
      <scheme val="minor"/>
    </font>
    <font>
      <sz val="10"/>
      <color theme="1"/>
      <name val="Times New Roman"/>
      <family val="1"/>
    </font>
    <font>
      <sz val="12"/>
      <color rgb="FF808080"/>
      <name val="Calibri"/>
      <family val="2"/>
    </font>
    <font>
      <sz val="12"/>
      <color rgb="FF808080"/>
      <name val="Narkisim"/>
      <family val="2"/>
    </font>
    <font>
      <u/>
      <sz val="12"/>
      <color theme="1"/>
      <name val="Narkisim"/>
      <family val="2"/>
    </font>
    <font>
      <sz val="12"/>
      <color theme="1"/>
      <name val="Narkisim"/>
      <family val="2"/>
    </font>
    <font>
      <b/>
      <sz val="12"/>
      <color theme="1"/>
      <name val="Narkisim"/>
      <family val="2"/>
    </font>
    <font>
      <b/>
      <u/>
      <sz val="12"/>
      <color rgb="FF000000"/>
      <name val="Narkisim"/>
      <family val="2"/>
    </font>
    <font>
      <b/>
      <sz val="12"/>
      <color rgb="FF000000"/>
      <name val="Narkisim"/>
      <family val="2"/>
    </font>
    <font>
      <b/>
      <sz val="12"/>
      <color rgb="FF000000"/>
      <name val="Times New Roman"/>
      <family val="1"/>
    </font>
    <font>
      <u/>
      <sz val="12"/>
      <color rgb="FF000000"/>
      <name val="Narkisim"/>
      <family val="2"/>
    </font>
    <font>
      <sz val="12"/>
      <color rgb="FF000000"/>
      <name val="Narkisim"/>
      <family val="2"/>
    </font>
    <font>
      <sz val="11"/>
      <color rgb="FF000000"/>
      <name val="Narkisim"/>
      <family val="2"/>
    </font>
    <font>
      <sz val="11"/>
      <color theme="1"/>
      <name val="Narkisim"/>
      <family val="2"/>
    </font>
    <font>
      <sz val="11"/>
      <color rgb="FF808080"/>
      <name val="Narkisim"/>
      <family val="2"/>
    </font>
    <font>
      <u/>
      <sz val="11"/>
      <color rgb="FF000000"/>
      <name val="Narkisim"/>
      <family val="2"/>
    </font>
    <font>
      <sz val="10"/>
      <color rgb="FF808080"/>
      <name val="Narkisim"/>
      <family val="2"/>
    </font>
    <font>
      <sz val="14"/>
      <color theme="1"/>
      <name val="Narkisim"/>
      <family val="2"/>
    </font>
    <font>
      <sz val="7"/>
      <color theme="1"/>
      <name val="Times New Roman"/>
      <family val="1"/>
    </font>
    <font>
      <b/>
      <u/>
      <sz val="12"/>
      <color theme="1"/>
      <name val="Narkisim"/>
      <family val="2"/>
    </font>
    <font>
      <sz val="11"/>
      <color theme="1"/>
      <name val="Arial"/>
      <family val="2"/>
      <scheme val="minor"/>
    </font>
    <font>
      <sz val="11"/>
      <name val="Arial"/>
      <family val="2"/>
      <scheme val="minor"/>
    </font>
    <font>
      <b/>
      <sz val="11"/>
      <name val="Arial"/>
      <family val="2"/>
      <scheme val="minor"/>
    </font>
    <font>
      <sz val="10"/>
      <name val="Arial"/>
      <family val="2"/>
    </font>
    <font>
      <sz val="11"/>
      <color rgb="FF92D050"/>
      <name val="Arial"/>
      <family val="2"/>
      <scheme val="minor"/>
    </font>
    <font>
      <sz val="10"/>
      <color theme="1"/>
      <name val="Arial"/>
      <family val="2"/>
      <charset val="177"/>
      <scheme val="minor"/>
    </font>
    <font>
      <sz val="10"/>
      <name val="Calibri"/>
      <family val="2"/>
    </font>
    <font>
      <b/>
      <u/>
      <sz val="11"/>
      <color theme="1"/>
      <name val="Calibri"/>
      <family val="2"/>
    </font>
    <font>
      <b/>
      <u/>
      <sz val="11"/>
      <name val="Calibri"/>
      <family val="2"/>
    </font>
    <font>
      <b/>
      <sz val="10"/>
      <name val="Calibri"/>
      <family val="2"/>
    </font>
    <font>
      <sz val="11"/>
      <color rgb="FFFF0000"/>
      <name val="Arial"/>
      <family val="2"/>
      <charset val="177"/>
      <scheme val="minor"/>
    </font>
    <font>
      <b/>
      <sz val="8"/>
      <color theme="1"/>
      <name val="Arial"/>
      <family val="2"/>
      <scheme val="minor"/>
    </font>
    <font>
      <sz val="11"/>
      <name val="Calibri"/>
      <family val="2"/>
    </font>
    <font>
      <b/>
      <sz val="10"/>
      <color indexed="8"/>
      <name val="Arial"/>
      <family val="2"/>
      <scheme val="minor"/>
    </font>
    <font>
      <sz val="10"/>
      <color theme="1"/>
      <name val="Arial"/>
      <family val="2"/>
      <scheme val="minor"/>
    </font>
    <font>
      <sz val="11"/>
      <color indexed="8"/>
      <name val="Arial"/>
      <family val="2"/>
      <scheme val="minor"/>
    </font>
    <font>
      <sz val="12"/>
      <color theme="1"/>
      <name val="David"/>
      <family val="2"/>
      <charset val="177"/>
    </font>
    <font>
      <sz val="11"/>
      <color theme="1"/>
      <name val="David"/>
      <family val="2"/>
      <charset val="177"/>
    </font>
    <font>
      <b/>
      <sz val="10"/>
      <color theme="1"/>
      <name val="Arial"/>
      <family val="2"/>
      <scheme val="minor"/>
    </font>
    <font>
      <sz val="10"/>
      <name val="Arial"/>
      <family val="2"/>
      <scheme val="minor"/>
    </font>
    <font>
      <sz val="10"/>
      <color rgb="FF92D050"/>
      <name val="Arial"/>
      <family val="2"/>
      <scheme val="minor"/>
    </font>
    <font>
      <b/>
      <u/>
      <sz val="11"/>
      <name val="Times New Roman"/>
      <family val="1"/>
      <charset val="177"/>
    </font>
    <font>
      <b/>
      <sz val="11"/>
      <color theme="1"/>
      <name val="David"/>
      <family val="2"/>
      <charset val="177"/>
    </font>
    <font>
      <b/>
      <sz val="11"/>
      <color theme="1"/>
      <name val="Times New Roman"/>
      <family val="1"/>
      <charset val="177"/>
      <scheme val="major"/>
    </font>
    <font>
      <sz val="11"/>
      <name val="Times New Roman"/>
      <family val="1"/>
    </font>
    <font>
      <sz val="11"/>
      <color theme="1"/>
      <name val="David"/>
      <family val="2"/>
    </font>
    <font>
      <u/>
      <sz val="11"/>
      <name val="Times New Roman"/>
      <family val="1"/>
    </font>
    <font>
      <b/>
      <sz val="11"/>
      <name val="Times New Roman"/>
      <family val="1"/>
    </font>
    <font>
      <sz val="12"/>
      <color theme="1"/>
      <name val="Times New Roman"/>
      <family val="1"/>
      <scheme val="major"/>
    </font>
    <font>
      <b/>
      <sz val="12"/>
      <color theme="1"/>
      <name val="Times New Roman"/>
      <family val="1"/>
      <scheme val="major"/>
    </font>
    <font>
      <b/>
      <sz val="12"/>
      <name val="Times New Roman"/>
      <family val="1"/>
      <scheme val="major"/>
    </font>
    <font>
      <sz val="12"/>
      <name val="Times New Roman"/>
      <family val="1"/>
      <scheme val="major"/>
    </font>
    <font>
      <sz val="12"/>
      <color rgb="FFFF0000"/>
      <name val="Times New Roman"/>
      <family val="1"/>
      <scheme val="major"/>
    </font>
    <font>
      <b/>
      <u/>
      <sz val="10"/>
      <name val="Calibri"/>
      <family val="2"/>
    </font>
    <font>
      <sz val="10"/>
      <color indexed="57"/>
      <name val="Calibri"/>
      <family val="2"/>
    </font>
    <font>
      <vertAlign val="subscript"/>
      <sz val="10"/>
      <color indexed="57"/>
      <name val="Calibri"/>
      <family val="2"/>
    </font>
    <font>
      <b/>
      <sz val="12"/>
      <name val="Calibri"/>
      <family val="2"/>
    </font>
    <font>
      <b/>
      <sz val="9"/>
      <color indexed="81"/>
      <name val="Tahoma"/>
      <family val="2"/>
    </font>
    <font>
      <sz val="9"/>
      <color indexed="81"/>
      <name val="Tahoma"/>
      <family val="2"/>
    </font>
    <font>
      <sz val="11"/>
      <color rgb="FFFF0000"/>
      <name val="Arial"/>
      <family val="2"/>
      <scheme val="minor"/>
    </font>
  </fonts>
  <fills count="18">
    <fill>
      <patternFill patternType="none"/>
    </fill>
    <fill>
      <patternFill patternType="gray125"/>
    </fill>
    <fill>
      <patternFill patternType="solid">
        <fgColor indexed="6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C00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indexed="42"/>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style="thin">
        <color indexed="64"/>
      </left>
      <right/>
      <top/>
      <bottom style="thin">
        <color indexed="64"/>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ck">
        <color indexed="64"/>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auto="1"/>
      </top>
      <bottom style="thin">
        <color auto="1"/>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double">
        <color indexed="64"/>
      </bottom>
      <diagonal/>
    </border>
    <border>
      <left/>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6">
    <xf numFmtId="0" fontId="0" fillId="0" borderId="0"/>
    <xf numFmtId="43" fontId="2" fillId="0" borderId="0" applyFont="0" applyFill="0" applyBorder="0" applyAlignment="0" applyProtection="0"/>
    <xf numFmtId="0" fontId="2" fillId="0" borderId="0"/>
    <xf numFmtId="166" fontId="29" fillId="0" borderId="0" applyFont="0" applyFill="0" applyBorder="0" applyAlignment="0" applyProtection="0"/>
    <xf numFmtId="43" fontId="29" fillId="0" borderId="0" applyFont="0" applyFill="0" applyBorder="0" applyAlignment="0" applyProtection="0"/>
    <xf numFmtId="0" fontId="38" fillId="0" borderId="0"/>
    <xf numFmtId="0" fontId="29" fillId="0" borderId="0"/>
    <xf numFmtId="166" fontId="43" fillId="0" borderId="0" applyFont="0" applyFill="0" applyBorder="0" applyAlignment="0" applyProtection="0"/>
    <xf numFmtId="0" fontId="1" fillId="0" borderId="0"/>
    <xf numFmtId="43" fontId="1"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9" fillId="0" borderId="0"/>
    <xf numFmtId="9" fontId="29" fillId="0" borderId="0" applyFont="0" applyFill="0" applyBorder="0" applyAlignment="0" applyProtection="0"/>
    <xf numFmtId="0" fontId="1" fillId="0" borderId="0"/>
  </cellStyleXfs>
  <cellXfs count="479">
    <xf numFmtId="0" fontId="0" fillId="0" borderId="0" xfId="0"/>
    <xf numFmtId="0" fontId="0" fillId="2" borderId="0" xfId="0" applyFill="1"/>
    <xf numFmtId="0" fontId="0" fillId="2" borderId="1" xfId="0" applyFill="1" applyBorder="1"/>
    <xf numFmtId="0" fontId="0" fillId="2" borderId="2" xfId="0" applyFill="1" applyBorder="1"/>
    <xf numFmtId="0" fontId="0" fillId="2" borderId="0" xfId="0" applyFill="1" applyAlignment="1">
      <alignment horizontal="center"/>
    </xf>
    <xf numFmtId="165" fontId="0" fillId="2" borderId="0" xfId="0" applyNumberFormat="1" applyFill="1"/>
    <xf numFmtId="0" fontId="0" fillId="2" borderId="7" xfId="0" applyFill="1" applyBorder="1"/>
    <xf numFmtId="0" fontId="0" fillId="2" borderId="8" xfId="0" applyFill="1" applyBorder="1"/>
    <xf numFmtId="165" fontId="0" fillId="2" borderId="9" xfId="0" applyNumberFormat="1" applyFill="1" applyBorder="1"/>
    <xf numFmtId="0" fontId="0" fillId="2" borderId="10" xfId="0" applyFill="1" applyBorder="1"/>
    <xf numFmtId="165" fontId="0" fillId="2" borderId="11" xfId="0" applyNumberFormat="1" applyFill="1" applyBorder="1"/>
    <xf numFmtId="0" fontId="0" fillId="2" borderId="12" xfId="0" applyFill="1" applyBorder="1"/>
    <xf numFmtId="0" fontId="0" fillId="2" borderId="13" xfId="0" applyFill="1" applyBorder="1"/>
    <xf numFmtId="0" fontId="0" fillId="2" borderId="16" xfId="0" applyFill="1" applyBorder="1"/>
    <xf numFmtId="0" fontId="0" fillId="2" borderId="17" xfId="0" applyFill="1" applyBorder="1"/>
    <xf numFmtId="0" fontId="0" fillId="2" borderId="18" xfId="0" applyFill="1" applyBorder="1"/>
    <xf numFmtId="0" fontId="0" fillId="2" borderId="19" xfId="0" applyFill="1" applyBorder="1"/>
    <xf numFmtId="165" fontId="0" fillId="2" borderId="20" xfId="0" applyNumberFormat="1" applyFill="1" applyBorder="1"/>
    <xf numFmtId="0" fontId="0" fillId="2" borderId="21" xfId="0" applyFill="1" applyBorder="1"/>
    <xf numFmtId="165" fontId="0" fillId="2" borderId="22" xfId="0" applyNumberFormat="1" applyFill="1" applyBorder="1"/>
    <xf numFmtId="0" fontId="0" fillId="2" borderId="23" xfId="0" applyFill="1" applyBorder="1"/>
    <xf numFmtId="0" fontId="0" fillId="2" borderId="25" xfId="0" applyFill="1" applyBorder="1"/>
    <xf numFmtId="0" fontId="3" fillId="3" borderId="3" xfId="0" applyFont="1" applyFill="1" applyBorder="1" applyAlignment="1">
      <alignment horizontal="center" wrapText="1"/>
    </xf>
    <xf numFmtId="0" fontId="4" fillId="4" borderId="0" xfId="0" applyFont="1" applyFill="1" applyAlignment="1">
      <alignment horizontal="center" vertical="center"/>
    </xf>
    <xf numFmtId="165" fontId="3" fillId="3" borderId="14" xfId="0" applyNumberFormat="1" applyFont="1" applyFill="1" applyBorder="1"/>
    <xf numFmtId="165" fontId="3" fillId="3" borderId="15" xfId="0" applyNumberFormat="1" applyFont="1" applyFill="1" applyBorder="1"/>
    <xf numFmtId="165" fontId="3" fillId="3" borderId="24" xfId="0" applyNumberFormat="1" applyFont="1" applyFill="1" applyBorder="1"/>
    <xf numFmtId="165" fontId="0" fillId="2" borderId="27" xfId="1" applyNumberFormat="1" applyFont="1" applyFill="1" applyBorder="1"/>
    <xf numFmtId="165" fontId="0" fillId="2" borderId="26" xfId="0" applyNumberFormat="1" applyFill="1" applyBorder="1"/>
    <xf numFmtId="165" fontId="0" fillId="2" borderId="27" xfId="0" applyNumberFormat="1" applyFill="1" applyBorder="1"/>
    <xf numFmtId="165" fontId="0" fillId="0" borderId="0" xfId="1" applyNumberFormat="1" applyFont="1"/>
    <xf numFmtId="0" fontId="3" fillId="0" borderId="0" xfId="0" applyFont="1"/>
    <xf numFmtId="165" fontId="5" fillId="0" borderId="0" xfId="1" applyNumberFormat="1" applyFont="1"/>
    <xf numFmtId="0" fontId="3" fillId="0" borderId="0" xfId="0" applyFont="1" applyAlignment="1">
      <alignment horizontal="center" vertical="center"/>
    </xf>
    <xf numFmtId="0" fontId="3" fillId="3" borderId="0" xfId="0" applyFont="1" applyFill="1" applyAlignment="1">
      <alignment horizontal="center"/>
    </xf>
    <xf numFmtId="165" fontId="0" fillId="0" borderId="0" xfId="0" applyNumberFormat="1"/>
    <xf numFmtId="0" fontId="3" fillId="5" borderId="0" xfId="0" applyFont="1" applyFill="1"/>
    <xf numFmtId="0" fontId="0" fillId="5" borderId="0" xfId="0" applyFill="1"/>
    <xf numFmtId="0" fontId="8" fillId="0" borderId="0" xfId="0" applyFont="1" applyAlignment="1">
      <alignment horizontal="center" vertical="center" readingOrder="2"/>
    </xf>
    <xf numFmtId="0" fontId="7" fillId="0" borderId="0" xfId="0" applyFont="1"/>
    <xf numFmtId="0" fontId="11" fillId="0" borderId="0" xfId="0" applyFont="1" applyAlignment="1">
      <alignment horizontal="center" vertical="center" readingOrder="2"/>
    </xf>
    <xf numFmtId="0" fontId="10" fillId="0" borderId="0" xfId="0" applyFont="1" applyAlignment="1">
      <alignment horizontal="center" vertical="center" readingOrder="2"/>
    </xf>
    <xf numFmtId="0" fontId="7" fillId="0" borderId="0" xfId="0" applyFont="1" applyAlignment="1">
      <alignment horizontal="justify" vertical="center" readingOrder="2"/>
    </xf>
    <xf numFmtId="0" fontId="11" fillId="0" borderId="0" xfId="0" applyFont="1" applyAlignment="1">
      <alignment horizontal="justify" vertical="center" readingOrder="2"/>
    </xf>
    <xf numFmtId="0" fontId="7" fillId="0" borderId="0" xfId="0" applyFont="1" applyAlignment="1">
      <alignment horizontal="justify" vertical="center" wrapText="1" readingOrder="2"/>
    </xf>
    <xf numFmtId="0" fontId="11" fillId="0" borderId="0" xfId="0" applyFont="1" applyAlignment="1">
      <alignment horizontal="justify" vertical="center" wrapText="1" readingOrder="2"/>
    </xf>
    <xf numFmtId="0" fontId="11" fillId="0" borderId="13" xfId="0" applyFont="1" applyBorder="1" applyAlignment="1">
      <alignment horizontal="center" vertical="center" wrapText="1" readingOrder="2"/>
    </xf>
    <xf numFmtId="0" fontId="11" fillId="0" borderId="0" xfId="0" applyFont="1" applyAlignment="1">
      <alignment horizontal="center" vertical="center" wrapText="1" readingOrder="2"/>
    </xf>
    <xf numFmtId="0" fontId="0" fillId="0" borderId="28" xfId="0" applyBorder="1" applyAlignment="1">
      <alignment vertical="center"/>
    </xf>
    <xf numFmtId="0" fontId="12" fillId="0" borderId="0" xfId="0" applyFont="1" applyAlignment="1">
      <alignment horizontal="justify" vertical="center" readingOrder="2"/>
    </xf>
    <xf numFmtId="0" fontId="14" fillId="0" borderId="0" xfId="0" applyFont="1" applyAlignment="1">
      <alignment horizontal="justify" vertical="center" wrapText="1" readingOrder="2"/>
    </xf>
    <xf numFmtId="0" fontId="15" fillId="0" borderId="0" xfId="0" applyFont="1" applyAlignment="1">
      <alignment horizontal="justify" vertical="center" wrapText="1" readingOrder="2"/>
    </xf>
    <xf numFmtId="0" fontId="13" fillId="0" borderId="0" xfId="0" applyFont="1" applyAlignment="1">
      <alignment horizontal="justify" vertical="center" wrapText="1" readingOrder="2"/>
    </xf>
    <xf numFmtId="0" fontId="11" fillId="0" borderId="25" xfId="0" applyFont="1" applyBorder="1" applyAlignment="1">
      <alignment horizontal="center" vertical="center" wrapText="1" readingOrder="2"/>
    </xf>
    <xf numFmtId="0" fontId="17" fillId="0" borderId="0" xfId="0" applyFont="1" applyAlignment="1">
      <alignment horizontal="justify" vertical="center" wrapText="1" readingOrder="2"/>
    </xf>
    <xf numFmtId="0" fontId="9" fillId="0" borderId="0" xfId="0" applyFont="1" applyAlignment="1">
      <alignment horizontal="center" vertical="center" wrapText="1" readingOrder="2"/>
    </xf>
    <xf numFmtId="0" fontId="9" fillId="0" borderId="13" xfId="0" applyFont="1" applyBorder="1" applyAlignment="1">
      <alignment horizontal="center" vertical="center" wrapText="1" readingOrder="2"/>
    </xf>
    <xf numFmtId="0" fontId="18" fillId="0" borderId="0" xfId="0" applyFont="1" applyAlignment="1">
      <alignment horizontal="justify" vertical="center" wrapText="1" readingOrder="2"/>
    </xf>
    <xf numFmtId="0" fontId="19" fillId="0" borderId="0" xfId="0" applyFont="1" applyAlignment="1">
      <alignment horizontal="center" vertical="center" wrapText="1" readingOrder="2"/>
    </xf>
    <xf numFmtId="0" fontId="9" fillId="0" borderId="29" xfId="0" applyFont="1" applyBorder="1" applyAlignment="1">
      <alignment horizontal="center" vertical="center" wrapText="1" readingOrder="2"/>
    </xf>
    <xf numFmtId="0" fontId="12" fillId="0" borderId="0" xfId="0" applyFont="1" applyAlignment="1">
      <alignment horizontal="justify" vertical="center" wrapText="1" readingOrder="2"/>
    </xf>
    <xf numFmtId="0" fontId="20" fillId="0" borderId="0" xfId="0" applyFont="1" applyAlignment="1">
      <alignment horizontal="center" vertical="center" wrapText="1" readingOrder="2"/>
    </xf>
    <xf numFmtId="0" fontId="20" fillId="0" borderId="13" xfId="0" applyFont="1" applyBorder="1" applyAlignment="1">
      <alignment horizontal="center" vertical="center" wrapText="1" readingOrder="2"/>
    </xf>
    <xf numFmtId="0" fontId="20" fillId="0" borderId="29" xfId="0" applyFont="1" applyBorder="1" applyAlignment="1">
      <alignment horizontal="center" vertical="center" wrapText="1" readingOrder="2"/>
    </xf>
    <xf numFmtId="0" fontId="17" fillId="0" borderId="0" xfId="0" applyFont="1" applyAlignment="1">
      <alignment horizontal="justify" vertical="center" readingOrder="2"/>
    </xf>
    <xf numFmtId="0" fontId="17" fillId="0" borderId="0" xfId="0" applyFont="1" applyAlignment="1">
      <alignment horizontal="right" vertical="center" wrapText="1" readingOrder="2"/>
    </xf>
    <xf numFmtId="0" fontId="14" fillId="0" borderId="0" xfId="0" applyFont="1" applyAlignment="1">
      <alignment horizontal="justify" vertical="center" readingOrder="2"/>
    </xf>
    <xf numFmtId="0" fontId="18" fillId="0" borderId="0" xfId="0" applyFont="1" applyAlignment="1">
      <alignment horizontal="center" vertical="center" wrapText="1" readingOrder="2"/>
    </xf>
    <xf numFmtId="0" fontId="18" fillId="0" borderId="13" xfId="0" applyFont="1" applyBorder="1" applyAlignment="1">
      <alignment horizontal="center" vertical="center" wrapText="1" readingOrder="2"/>
    </xf>
    <xf numFmtId="0" fontId="18" fillId="0" borderId="0" xfId="0" applyFont="1" applyAlignment="1">
      <alignment horizontal="right" vertical="center" wrapText="1" readingOrder="2"/>
    </xf>
    <xf numFmtId="0" fontId="20" fillId="0" borderId="25" xfId="0" applyFont="1" applyBorder="1" applyAlignment="1">
      <alignment horizontal="center" vertical="center" wrapText="1" readingOrder="2"/>
    </xf>
    <xf numFmtId="0" fontId="21" fillId="0" borderId="0" xfId="0" applyFont="1" applyAlignment="1">
      <alignment horizontal="right" vertical="center" wrapText="1" readingOrder="2"/>
    </xf>
    <xf numFmtId="0" fontId="22" fillId="0" borderId="0" xfId="0" applyFont="1" applyAlignment="1">
      <alignment horizontal="center" vertical="center" wrapText="1" readingOrder="2"/>
    </xf>
    <xf numFmtId="0" fontId="22" fillId="0" borderId="13" xfId="0" applyFont="1" applyBorder="1" applyAlignment="1">
      <alignment horizontal="center" vertical="center" wrapText="1" readingOrder="2"/>
    </xf>
    <xf numFmtId="0" fontId="22" fillId="0" borderId="29" xfId="0" applyFont="1" applyBorder="1" applyAlignment="1">
      <alignment horizontal="center" vertical="center" wrapText="1" readingOrder="2"/>
    </xf>
    <xf numFmtId="0" fontId="11" fillId="0" borderId="0" xfId="0" applyFont="1" applyAlignment="1">
      <alignment horizontal="right" vertical="center" wrapText="1" readingOrder="2"/>
    </xf>
    <xf numFmtId="0" fontId="11" fillId="0" borderId="5" xfId="0" applyFont="1" applyBorder="1" applyAlignment="1">
      <alignment horizontal="center" vertical="center" wrapText="1" readingOrder="2"/>
    </xf>
    <xf numFmtId="0" fontId="16" fillId="0" borderId="0" xfId="0" applyFont="1" applyAlignment="1">
      <alignment horizontal="right" vertical="center" wrapText="1" readingOrder="2"/>
    </xf>
    <xf numFmtId="0" fontId="11" fillId="0" borderId="25" xfId="0" applyFont="1" applyBorder="1" applyAlignment="1">
      <alignment horizontal="right" vertical="center" wrapText="1" readingOrder="2"/>
    </xf>
    <xf numFmtId="0" fontId="20" fillId="0" borderId="0" xfId="0" applyFont="1" applyAlignment="1">
      <alignment horizontal="right" vertical="center" wrapText="1" readingOrder="2"/>
    </xf>
    <xf numFmtId="0" fontId="20" fillId="0" borderId="13" xfId="0" applyFont="1" applyBorder="1" applyAlignment="1">
      <alignment horizontal="right" vertical="center" wrapText="1" readingOrder="2"/>
    </xf>
    <xf numFmtId="0" fontId="9" fillId="0" borderId="0" xfId="0" applyFont="1" applyAlignment="1">
      <alignment horizontal="right" vertical="center" wrapText="1" readingOrder="2"/>
    </xf>
    <xf numFmtId="0" fontId="9" fillId="0" borderId="25" xfId="0" applyFont="1" applyBorder="1" applyAlignment="1">
      <alignment horizontal="right" vertical="center" wrapText="1" readingOrder="2"/>
    </xf>
    <xf numFmtId="0" fontId="20" fillId="0" borderId="29" xfId="0" applyFont="1" applyBorder="1" applyAlignment="1">
      <alignment horizontal="right" vertical="center" wrapText="1" readingOrder="2"/>
    </xf>
    <xf numFmtId="0" fontId="10" fillId="0" borderId="0" xfId="0" applyFont="1" applyAlignment="1">
      <alignment horizontal="justify" vertical="center" readingOrder="2"/>
    </xf>
    <xf numFmtId="0" fontId="16" fillId="0" borderId="0" xfId="0" applyFont="1" applyAlignment="1">
      <alignment horizontal="justify" vertical="center" readingOrder="2"/>
    </xf>
    <xf numFmtId="0" fontId="11" fillId="0" borderId="0" xfId="0" applyFont="1" applyAlignment="1">
      <alignment horizontal="left" vertical="center" readingOrder="1"/>
    </xf>
    <xf numFmtId="0" fontId="23" fillId="0" borderId="0" xfId="0" applyFont="1" applyAlignment="1">
      <alignment horizontal="justify" vertical="center" readingOrder="2"/>
    </xf>
    <xf numFmtId="0" fontId="10" fillId="0" borderId="0" xfId="0" applyFont="1" applyAlignment="1">
      <alignment horizontal="right" vertical="center" wrapText="1" readingOrder="2"/>
    </xf>
    <xf numFmtId="0" fontId="20" fillId="0" borderId="0" xfId="0" applyFont="1" applyAlignment="1">
      <alignment horizontal="justify" vertical="center" wrapText="1" readingOrder="2"/>
    </xf>
    <xf numFmtId="0" fontId="20" fillId="0" borderId="13" xfId="0" applyFont="1" applyBorder="1" applyAlignment="1">
      <alignment horizontal="justify" vertical="center" wrapText="1" readingOrder="2"/>
    </xf>
    <xf numFmtId="0" fontId="20" fillId="0" borderId="29" xfId="0" applyFont="1" applyBorder="1" applyAlignment="1">
      <alignment horizontal="justify" vertical="center" wrapText="1" readingOrder="2"/>
    </xf>
    <xf numFmtId="0" fontId="11" fillId="0" borderId="0" xfId="0" applyFont="1" applyAlignment="1">
      <alignment horizontal="right" vertical="center" readingOrder="2"/>
    </xf>
    <xf numFmtId="0" fontId="10" fillId="0" borderId="0" xfId="0" applyFont="1" applyAlignment="1">
      <alignment horizontal="right" vertical="center" readingOrder="2"/>
    </xf>
    <xf numFmtId="0" fontId="11" fillId="0" borderId="25" xfId="0" applyFont="1" applyBorder="1" applyAlignment="1">
      <alignment horizontal="justify" vertical="center" wrapText="1" readingOrder="2"/>
    </xf>
    <xf numFmtId="0" fontId="11" fillId="0" borderId="13" xfId="0" applyFont="1" applyBorder="1" applyAlignment="1">
      <alignment horizontal="right" vertical="center" wrapText="1" readingOrder="2"/>
    </xf>
    <xf numFmtId="0" fontId="9" fillId="0" borderId="0" xfId="0" applyFont="1" applyAlignment="1">
      <alignment horizontal="justify" vertical="center" wrapText="1" readingOrder="2"/>
    </xf>
    <xf numFmtId="0" fontId="12" fillId="0" borderId="0" xfId="0" applyFont="1" applyAlignment="1">
      <alignment horizontal="right" vertical="center" wrapText="1" readingOrder="2"/>
    </xf>
    <xf numFmtId="0" fontId="25" fillId="0" borderId="0" xfId="0" applyFont="1" applyAlignment="1">
      <alignment horizontal="justify" vertical="center" readingOrder="2"/>
    </xf>
    <xf numFmtId="0" fontId="14" fillId="0" borderId="30" xfId="0" applyFont="1" applyBorder="1" applyAlignment="1">
      <alignment horizontal="right" vertical="center" readingOrder="2"/>
    </xf>
    <xf numFmtId="0" fontId="14" fillId="0" borderId="4" xfId="0" applyFont="1" applyBorder="1" applyAlignment="1">
      <alignment horizontal="right" vertical="center" readingOrder="2"/>
    </xf>
    <xf numFmtId="0" fontId="17" fillId="0" borderId="31" xfId="0" applyFont="1" applyBorder="1" applyAlignment="1">
      <alignment horizontal="right" vertical="center" readingOrder="2"/>
    </xf>
    <xf numFmtId="0" fontId="20" fillId="0" borderId="12" xfId="0" applyFont="1" applyBorder="1" applyAlignment="1">
      <alignment horizontal="right" vertical="center" readingOrder="2"/>
    </xf>
    <xf numFmtId="0" fontId="14" fillId="0" borderId="30" xfId="0" applyFont="1" applyBorder="1" applyAlignment="1">
      <alignment horizontal="center" vertical="center" readingOrder="2"/>
    </xf>
    <xf numFmtId="0" fontId="14" fillId="0" borderId="4" xfId="0" applyFont="1" applyBorder="1" applyAlignment="1">
      <alignment horizontal="center" vertical="center" readingOrder="2"/>
    </xf>
    <xf numFmtId="0" fontId="7" fillId="0" borderId="6" xfId="0" applyFont="1" applyBorder="1"/>
    <xf numFmtId="0" fontId="14" fillId="0" borderId="0" xfId="0" applyFont="1" applyAlignment="1">
      <alignment horizontal="center" vertical="center" wrapText="1" readingOrder="2"/>
    </xf>
    <xf numFmtId="0" fontId="14" fillId="0" borderId="5" xfId="0" applyFont="1" applyBorder="1" applyAlignment="1">
      <alignment horizontal="center" vertical="center" wrapText="1" readingOrder="2"/>
    </xf>
    <xf numFmtId="0" fontId="7" fillId="0" borderId="0" xfId="0" applyFont="1" applyAlignment="1">
      <alignment wrapText="1"/>
    </xf>
    <xf numFmtId="0" fontId="14" fillId="0" borderId="4" xfId="0" applyFont="1" applyBorder="1" applyAlignment="1">
      <alignment horizontal="center" vertical="center" wrapText="1" readingOrder="2"/>
    </xf>
    <xf numFmtId="0" fontId="7" fillId="0" borderId="32" xfId="0" applyFont="1" applyBorder="1"/>
    <xf numFmtId="0" fontId="19" fillId="0" borderId="0" xfId="0" applyFont="1" applyAlignment="1">
      <alignment horizontal="left" vertical="center" wrapText="1" readingOrder="1"/>
    </xf>
    <xf numFmtId="0" fontId="7" fillId="0" borderId="13" xfId="0" applyFont="1" applyBorder="1"/>
    <xf numFmtId="0" fontId="7" fillId="0" borderId="12" xfId="0" applyFont="1" applyBorder="1"/>
    <xf numFmtId="0" fontId="14" fillId="0" borderId="32" xfId="0" applyFont="1" applyBorder="1" applyAlignment="1">
      <alignment horizontal="right" vertical="center" readingOrder="2"/>
    </xf>
    <xf numFmtId="0" fontId="18" fillId="0" borderId="0" xfId="0" applyFont="1" applyAlignment="1">
      <alignment horizontal="left" vertical="center" wrapText="1" readingOrder="1"/>
    </xf>
    <xf numFmtId="0" fontId="18" fillId="0" borderId="13" xfId="0" applyFont="1" applyBorder="1" applyAlignment="1">
      <alignment horizontal="right" vertical="center" readingOrder="2"/>
    </xf>
    <xf numFmtId="0" fontId="18" fillId="0" borderId="12" xfId="0" applyFont="1" applyBorder="1" applyAlignment="1">
      <alignment horizontal="right" vertical="center" readingOrder="2"/>
    </xf>
    <xf numFmtId="0" fontId="17" fillId="0" borderId="32" xfId="0" applyFont="1" applyBorder="1" applyAlignment="1">
      <alignment horizontal="right" vertical="center" readingOrder="2"/>
    </xf>
    <xf numFmtId="0" fontId="20" fillId="0" borderId="0" xfId="0" applyFont="1" applyAlignment="1">
      <alignment horizontal="center" vertical="center" wrapText="1" readingOrder="1"/>
    </xf>
    <xf numFmtId="0" fontId="7" fillId="0" borderId="30" xfId="0" applyFont="1" applyBorder="1"/>
    <xf numFmtId="0" fontId="14" fillId="0" borderId="4" xfId="0" applyFont="1" applyBorder="1" applyAlignment="1">
      <alignment horizontal="right" vertical="center" wrapText="1" readingOrder="2"/>
    </xf>
    <xf numFmtId="0" fontId="7" fillId="0" borderId="31" xfId="0" applyFont="1" applyBorder="1"/>
    <xf numFmtId="0" fontId="17" fillId="0" borderId="12" xfId="0" applyFont="1" applyBorder="1" applyAlignment="1">
      <alignment horizontal="left" vertical="center" readingOrder="1"/>
    </xf>
    <xf numFmtId="0" fontId="16" fillId="0" borderId="31" xfId="0" applyFont="1" applyBorder="1" applyAlignment="1">
      <alignment horizontal="right" vertical="center" readingOrder="2"/>
    </xf>
    <xf numFmtId="0" fontId="17" fillId="0" borderId="31" xfId="0" applyFont="1" applyBorder="1" applyAlignment="1">
      <alignment horizontal="right" vertical="center" wrapText="1" readingOrder="2"/>
    </xf>
    <xf numFmtId="0" fontId="14" fillId="0" borderId="31" xfId="0" applyFont="1" applyBorder="1" applyAlignment="1">
      <alignment horizontal="right" vertical="center" readingOrder="2"/>
    </xf>
    <xf numFmtId="0" fontId="9" fillId="0" borderId="12" xfId="0" applyFont="1" applyBorder="1" applyAlignment="1">
      <alignment horizontal="center" vertical="center" readingOrder="1"/>
    </xf>
    <xf numFmtId="0" fontId="7" fillId="0" borderId="13" xfId="0" applyFont="1" applyBorder="1" applyAlignment="1">
      <alignment wrapText="1"/>
    </xf>
    <xf numFmtId="0" fontId="7" fillId="0" borderId="12" xfId="0" applyFont="1" applyBorder="1" applyAlignment="1">
      <alignment wrapText="1"/>
    </xf>
    <xf numFmtId="0" fontId="9" fillId="0" borderId="13" xfId="0" applyFont="1" applyBorder="1" applyAlignment="1">
      <alignment horizontal="center" vertical="center" readingOrder="1"/>
    </xf>
    <xf numFmtId="0" fontId="11" fillId="0" borderId="31" xfId="0" applyFont="1" applyBorder="1" applyAlignment="1">
      <alignment horizontal="right" vertical="center" readingOrder="2"/>
    </xf>
    <xf numFmtId="0" fontId="11" fillId="0" borderId="31" xfId="0" applyFont="1" applyBorder="1" applyAlignment="1">
      <alignment horizontal="left" vertical="center" readingOrder="1"/>
    </xf>
    <xf numFmtId="0" fontId="11" fillId="0" borderId="12" xfId="0" applyFont="1" applyBorder="1" applyAlignment="1">
      <alignment horizontal="right" vertical="center" readingOrder="1"/>
    </xf>
    <xf numFmtId="0" fontId="26" fillId="2" borderId="0" xfId="2" applyFont="1" applyFill="1"/>
    <xf numFmtId="0" fontId="3" fillId="2" borderId="0" xfId="2" applyFont="1" applyFill="1" applyAlignment="1">
      <alignment horizontal="center"/>
    </xf>
    <xf numFmtId="165" fontId="3" fillId="2" borderId="0" xfId="1" applyNumberFormat="1" applyFont="1" applyFill="1" applyAlignment="1">
      <alignment horizontal="center"/>
    </xf>
    <xf numFmtId="3" fontId="26" fillId="2" borderId="0" xfId="0" applyNumberFormat="1" applyFont="1" applyFill="1"/>
    <xf numFmtId="165" fontId="26" fillId="2" borderId="0" xfId="1" applyNumberFormat="1" applyFont="1" applyFill="1"/>
    <xf numFmtId="165" fontId="26" fillId="2" borderId="0" xfId="2" applyNumberFormat="1" applyFont="1" applyFill="1"/>
    <xf numFmtId="165" fontId="27" fillId="2" borderId="0" xfId="1" applyNumberFormat="1" applyFont="1" applyFill="1"/>
    <xf numFmtId="43" fontId="26" fillId="2" borderId="0" xfId="2" applyNumberFormat="1" applyFont="1" applyFill="1"/>
    <xf numFmtId="165" fontId="27" fillId="2" borderId="0" xfId="2" applyNumberFormat="1" applyFont="1" applyFill="1"/>
    <xf numFmtId="0" fontId="27" fillId="2" borderId="0" xfId="0" applyFont="1" applyFill="1"/>
    <xf numFmtId="0" fontId="27" fillId="2" borderId="0" xfId="2" applyFont="1" applyFill="1"/>
    <xf numFmtId="43" fontId="27" fillId="2" borderId="0" xfId="2" applyNumberFormat="1" applyFont="1" applyFill="1"/>
    <xf numFmtId="3" fontId="27" fillId="2" borderId="0" xfId="0" applyNumberFormat="1" applyFont="1" applyFill="1"/>
    <xf numFmtId="165" fontId="28" fillId="2" borderId="0" xfId="2" applyNumberFormat="1" applyFont="1" applyFill="1"/>
    <xf numFmtId="165" fontId="26" fillId="2" borderId="0" xfId="3" applyNumberFormat="1" applyFont="1" applyFill="1"/>
    <xf numFmtId="165" fontId="30" fillId="2" borderId="0" xfId="1" applyNumberFormat="1" applyFont="1" applyFill="1"/>
    <xf numFmtId="3" fontId="0" fillId="2" borderId="0" xfId="0" applyNumberFormat="1" applyFill="1"/>
    <xf numFmtId="165" fontId="3" fillId="2" borderId="34" xfId="3" applyNumberFormat="1" applyFont="1" applyFill="1" applyBorder="1"/>
    <xf numFmtId="0" fontId="26" fillId="0" borderId="0" xfId="2" applyFont="1"/>
    <xf numFmtId="3" fontId="26" fillId="0" borderId="0" xfId="0" applyNumberFormat="1" applyFont="1"/>
    <xf numFmtId="165" fontId="26" fillId="0" borderId="0" xfId="1" applyNumberFormat="1" applyFont="1" applyFill="1"/>
    <xf numFmtId="43" fontId="27" fillId="0" borderId="0" xfId="2" applyNumberFormat="1" applyFont="1"/>
    <xf numFmtId="165" fontId="27" fillId="0" borderId="0" xfId="1" applyNumberFormat="1" applyFont="1" applyFill="1"/>
    <xf numFmtId="165" fontId="26" fillId="0" borderId="0" xfId="2" applyNumberFormat="1" applyFont="1"/>
    <xf numFmtId="165" fontId="0" fillId="0" borderId="9" xfId="0" applyNumberFormat="1" applyBorder="1"/>
    <xf numFmtId="165" fontId="0" fillId="0" borderId="11" xfId="0" applyNumberFormat="1" applyBorder="1"/>
    <xf numFmtId="165" fontId="0" fillId="0" borderId="26" xfId="1" applyNumberFormat="1" applyFont="1" applyFill="1" applyBorder="1"/>
    <xf numFmtId="165" fontId="0" fillId="0" borderId="27" xfId="1" applyNumberFormat="1" applyFont="1" applyFill="1" applyBorder="1"/>
    <xf numFmtId="165" fontId="0" fillId="0" borderId="20" xfId="0" applyNumberFormat="1" applyBorder="1"/>
    <xf numFmtId="165" fontId="0" fillId="0" borderId="22" xfId="0" applyNumberFormat="1" applyBorder="1"/>
    <xf numFmtId="165" fontId="0" fillId="0" borderId="26" xfId="0" applyNumberFormat="1" applyBorder="1"/>
    <xf numFmtId="165" fontId="0" fillId="0" borderId="27" xfId="0" applyNumberFormat="1" applyBorder="1"/>
    <xf numFmtId="0" fontId="0" fillId="0" borderId="35" xfId="0" applyBorder="1"/>
    <xf numFmtId="0" fontId="0" fillId="0" borderId="12" xfId="0" applyBorder="1"/>
    <xf numFmtId="43" fontId="3" fillId="0" borderId="18" xfId="0" applyNumberFormat="1" applyFont="1" applyBorder="1"/>
    <xf numFmtId="0" fontId="26" fillId="0" borderId="37" xfId="0" applyFont="1" applyBorder="1" applyAlignment="1">
      <alignment horizontal="right"/>
    </xf>
    <xf numFmtId="0" fontId="26" fillId="0" borderId="37" xfId="0" applyFont="1" applyBorder="1"/>
    <xf numFmtId="0" fontId="26" fillId="0" borderId="32" xfId="0" applyFont="1" applyBorder="1" applyAlignment="1">
      <alignment horizontal="right"/>
    </xf>
    <xf numFmtId="0" fontId="26" fillId="0" borderId="0" xfId="0" applyFont="1" applyAlignment="1">
      <alignment horizontal="right"/>
    </xf>
    <xf numFmtId="165" fontId="3" fillId="2" borderId="0" xfId="1" applyNumberFormat="1" applyFont="1" applyFill="1"/>
    <xf numFmtId="1" fontId="20" fillId="0" borderId="13" xfId="0" applyNumberFormat="1" applyFont="1" applyBorder="1" applyAlignment="1">
      <alignment horizontal="center" vertical="center" wrapText="1" readingOrder="2"/>
    </xf>
    <xf numFmtId="1" fontId="20" fillId="0" borderId="0" xfId="0" applyNumberFormat="1" applyFont="1" applyAlignment="1">
      <alignment horizontal="center" vertical="center" wrapText="1" readingOrder="2"/>
    </xf>
    <xf numFmtId="1" fontId="9" fillId="0" borderId="29" xfId="0" applyNumberFormat="1" applyFont="1" applyBorder="1" applyAlignment="1">
      <alignment horizontal="center" vertical="center" wrapText="1" readingOrder="2"/>
    </xf>
    <xf numFmtId="1" fontId="9" fillId="0" borderId="13" xfId="0" applyNumberFormat="1" applyFont="1" applyBorder="1" applyAlignment="1">
      <alignment horizontal="center" vertical="center" wrapText="1" readingOrder="2"/>
    </xf>
    <xf numFmtId="1" fontId="9" fillId="0" borderId="0" xfId="0" applyNumberFormat="1" applyFont="1" applyAlignment="1">
      <alignment horizontal="center" vertical="center" wrapText="1" readingOrder="2"/>
    </xf>
    <xf numFmtId="1" fontId="20" fillId="0" borderId="29" xfId="0" applyNumberFormat="1" applyFont="1" applyBorder="1" applyAlignment="1">
      <alignment horizontal="center" vertical="center" wrapText="1" readingOrder="2"/>
    </xf>
    <xf numFmtId="1" fontId="22" fillId="0" borderId="0" xfId="0" applyNumberFormat="1" applyFont="1" applyAlignment="1">
      <alignment horizontal="center" vertical="center" wrapText="1" readingOrder="2"/>
    </xf>
    <xf numFmtId="1" fontId="22" fillId="0" borderId="29" xfId="0" applyNumberFormat="1" applyFont="1" applyBorder="1" applyAlignment="1">
      <alignment horizontal="center" vertical="center" wrapText="1" readingOrder="2"/>
    </xf>
    <xf numFmtId="1" fontId="20" fillId="0" borderId="0" xfId="0" applyNumberFormat="1" applyFont="1" applyAlignment="1">
      <alignment horizontal="right" vertical="center" wrapText="1" readingOrder="2"/>
    </xf>
    <xf numFmtId="1" fontId="20" fillId="0" borderId="13" xfId="0" applyNumberFormat="1" applyFont="1" applyBorder="1" applyAlignment="1">
      <alignment horizontal="right" vertical="center" wrapText="1" readingOrder="2"/>
    </xf>
    <xf numFmtId="1" fontId="20" fillId="0" borderId="12" xfId="0" applyNumberFormat="1" applyFont="1" applyBorder="1" applyAlignment="1">
      <alignment horizontal="right" vertical="center" readingOrder="2"/>
    </xf>
    <xf numFmtId="1" fontId="20" fillId="0" borderId="29" xfId="0" applyNumberFormat="1" applyFont="1" applyBorder="1" applyAlignment="1">
      <alignment horizontal="right" vertical="center" wrapText="1" readingOrder="2"/>
    </xf>
    <xf numFmtId="1" fontId="20" fillId="0" borderId="0" xfId="0" applyNumberFormat="1" applyFont="1" applyAlignment="1">
      <alignment horizontal="justify" vertical="center" wrapText="1" readingOrder="2"/>
    </xf>
    <xf numFmtId="1" fontId="20" fillId="0" borderId="29" xfId="0" applyNumberFormat="1" applyFont="1" applyBorder="1" applyAlignment="1">
      <alignment horizontal="justify" vertical="center" wrapText="1" readingOrder="2"/>
    </xf>
    <xf numFmtId="165" fontId="31" fillId="0" borderId="0" xfId="3" applyNumberFormat="1" applyFont="1" applyFill="1"/>
    <xf numFmtId="1" fontId="20" fillId="0" borderId="13" xfId="0" applyNumberFormat="1" applyFont="1" applyBorder="1" applyAlignment="1">
      <alignment horizontal="justify" vertical="center" wrapText="1" readingOrder="2"/>
    </xf>
    <xf numFmtId="0" fontId="25" fillId="8" borderId="0" xfId="0" applyFont="1" applyFill="1" applyAlignment="1">
      <alignment horizontal="justify" vertical="center" readingOrder="2"/>
    </xf>
    <xf numFmtId="3" fontId="20" fillId="0" borderId="29" xfId="0" applyNumberFormat="1" applyFont="1" applyBorder="1" applyAlignment="1">
      <alignment horizontal="right" vertical="center" wrapText="1" readingOrder="2"/>
    </xf>
    <xf numFmtId="0" fontId="32" fillId="2" borderId="0" xfId="0" applyFont="1" applyFill="1"/>
    <xf numFmtId="0" fontId="34" fillId="9" borderId="0" xfId="0" applyFont="1" applyFill="1" applyAlignment="1">
      <alignment horizontal="center"/>
    </xf>
    <xf numFmtId="0" fontId="32" fillId="2" borderId="0" xfId="0" applyFont="1" applyFill="1" applyAlignment="1">
      <alignment horizontal="center"/>
    </xf>
    <xf numFmtId="0" fontId="32" fillId="10" borderId="0" xfId="0" applyFont="1" applyFill="1" applyAlignment="1">
      <alignment horizontal="center"/>
    </xf>
    <xf numFmtId="0" fontId="32" fillId="10" borderId="0" xfId="0" applyFont="1" applyFill="1"/>
    <xf numFmtId="0" fontId="35" fillId="2" borderId="0" xfId="0" applyFont="1" applyFill="1"/>
    <xf numFmtId="165" fontId="32" fillId="2" borderId="0" xfId="4" applyNumberFormat="1" applyFont="1" applyFill="1"/>
    <xf numFmtId="165" fontId="32" fillId="10" borderId="0" xfId="4" applyNumberFormat="1" applyFont="1" applyFill="1"/>
    <xf numFmtId="165" fontId="35" fillId="2" borderId="0" xfId="4" applyNumberFormat="1" applyFont="1" applyFill="1"/>
    <xf numFmtId="0" fontId="32" fillId="2" borderId="1" xfId="0" applyFont="1" applyFill="1" applyBorder="1"/>
    <xf numFmtId="165" fontId="32" fillId="2" borderId="1" xfId="4" applyNumberFormat="1" applyFont="1" applyFill="1" applyBorder="1"/>
    <xf numFmtId="165" fontId="32" fillId="10" borderId="1" xfId="4" applyNumberFormat="1" applyFont="1" applyFill="1" applyBorder="1"/>
    <xf numFmtId="165" fontId="32" fillId="10" borderId="0" xfId="0" applyNumberFormat="1" applyFont="1" applyFill="1"/>
    <xf numFmtId="165" fontId="32" fillId="2" borderId="38" xfId="4" applyNumberFormat="1" applyFont="1" applyFill="1" applyBorder="1"/>
    <xf numFmtId="165" fontId="35" fillId="2" borderId="38" xfId="4" applyNumberFormat="1" applyFont="1" applyFill="1" applyBorder="1"/>
    <xf numFmtId="165" fontId="32" fillId="5" borderId="38" xfId="4" applyNumberFormat="1" applyFont="1" applyFill="1" applyBorder="1"/>
    <xf numFmtId="43" fontId="0" fillId="2" borderId="0" xfId="0" applyNumberFormat="1" applyFill="1"/>
    <xf numFmtId="1" fontId="19" fillId="0" borderId="0" xfId="0" applyNumberFormat="1" applyFont="1" applyAlignment="1">
      <alignment horizontal="center" vertical="center" wrapText="1" readingOrder="2"/>
    </xf>
    <xf numFmtId="1" fontId="22" fillId="0" borderId="13" xfId="0" applyNumberFormat="1" applyFont="1" applyBorder="1" applyAlignment="1">
      <alignment horizontal="center" vertical="center" wrapText="1" readingOrder="2"/>
    </xf>
    <xf numFmtId="3" fontId="22" fillId="0" borderId="0" xfId="0" applyNumberFormat="1" applyFont="1" applyAlignment="1">
      <alignment horizontal="center" vertical="center" wrapText="1" readingOrder="2"/>
    </xf>
    <xf numFmtId="43" fontId="0" fillId="0" borderId="0" xfId="0" applyNumberFormat="1"/>
    <xf numFmtId="1" fontId="0" fillId="0" borderId="0" xfId="0" applyNumberFormat="1"/>
    <xf numFmtId="17" fontId="11" fillId="0" borderId="0" xfId="0" applyNumberFormat="1" applyFont="1" applyAlignment="1">
      <alignment horizontal="right" vertical="center" wrapText="1" readingOrder="2"/>
    </xf>
    <xf numFmtId="9" fontId="11" fillId="0" borderId="0" xfId="0" applyNumberFormat="1" applyFont="1" applyAlignment="1">
      <alignment horizontal="right" vertical="center" wrapText="1" readingOrder="2"/>
    </xf>
    <xf numFmtId="0" fontId="0" fillId="0" borderId="0" xfId="0" applyAlignment="1">
      <alignment horizontal="right"/>
    </xf>
    <xf numFmtId="0" fontId="9" fillId="8" borderId="13" xfId="0" applyFont="1" applyFill="1" applyBorder="1" applyAlignment="1">
      <alignment horizontal="center" vertical="center" readingOrder="1"/>
    </xf>
    <xf numFmtId="0" fontId="9" fillId="0" borderId="12" xfId="0" applyFont="1" applyBorder="1" applyAlignment="1">
      <alignment horizontal="left" vertical="center" readingOrder="1"/>
    </xf>
    <xf numFmtId="0" fontId="20" fillId="0" borderId="13" xfId="0" applyFont="1" applyBorder="1" applyAlignment="1">
      <alignment horizontal="right" vertical="center" readingOrder="2"/>
    </xf>
    <xf numFmtId="0" fontId="10" fillId="8" borderId="0" xfId="0" applyFont="1" applyFill="1" applyAlignment="1">
      <alignment horizontal="justify" vertical="center" readingOrder="2"/>
    </xf>
    <xf numFmtId="0" fontId="11" fillId="8" borderId="0" xfId="0" applyFont="1" applyFill="1" applyAlignment="1">
      <alignment horizontal="right" vertical="center" readingOrder="2"/>
    </xf>
    <xf numFmtId="0" fontId="10" fillId="8" borderId="0" xfId="0" applyFont="1" applyFill="1" applyAlignment="1">
      <alignment horizontal="right" vertical="center" readingOrder="2"/>
    </xf>
    <xf numFmtId="0" fontId="17" fillId="8" borderId="0" xfId="0" applyFont="1" applyFill="1" applyAlignment="1">
      <alignment horizontal="right" vertical="center" wrapText="1" readingOrder="2"/>
    </xf>
    <xf numFmtId="165" fontId="36" fillId="0" borderId="0" xfId="0" applyNumberFormat="1" applyFont="1"/>
    <xf numFmtId="165" fontId="20" fillId="0" borderId="0" xfId="1" applyNumberFormat="1" applyFont="1" applyAlignment="1">
      <alignment horizontal="justify" vertical="center" wrapText="1" readingOrder="2"/>
    </xf>
    <xf numFmtId="165" fontId="20" fillId="0" borderId="13" xfId="1" applyNumberFormat="1" applyFont="1" applyBorder="1" applyAlignment="1">
      <alignment horizontal="justify" vertical="center" wrapText="1" readingOrder="2"/>
    </xf>
    <xf numFmtId="165" fontId="11" fillId="0" borderId="0" xfId="1" applyNumberFormat="1" applyFont="1" applyAlignment="1">
      <alignment horizontal="justify" vertical="center" wrapText="1" readingOrder="2"/>
    </xf>
    <xf numFmtId="165" fontId="20" fillId="0" borderId="29" xfId="1" applyNumberFormat="1" applyFont="1" applyBorder="1" applyAlignment="1">
      <alignment horizontal="justify" vertical="center" wrapText="1" readingOrder="2"/>
    </xf>
    <xf numFmtId="0" fontId="37" fillId="4" borderId="0" xfId="0" applyFont="1" applyFill="1" applyAlignment="1">
      <alignment horizontal="center" vertical="center"/>
    </xf>
    <xf numFmtId="0" fontId="0" fillId="0" borderId="18" xfId="0" applyBorder="1"/>
    <xf numFmtId="165" fontId="0" fillId="2" borderId="40" xfId="0" applyNumberFormat="1" applyFill="1" applyBorder="1"/>
    <xf numFmtId="0" fontId="1" fillId="0" borderId="37" xfId="0" applyFont="1" applyBorder="1" applyAlignment="1">
      <alignment horizontal="right"/>
    </xf>
    <xf numFmtId="0" fontId="1" fillId="0" borderId="32" xfId="0" applyFont="1" applyBorder="1" applyAlignment="1">
      <alignment horizontal="right"/>
    </xf>
    <xf numFmtId="0" fontId="1" fillId="2" borderId="0" xfId="2" applyFont="1" applyFill="1"/>
    <xf numFmtId="165" fontId="26" fillId="6" borderId="0" xfId="2" applyNumberFormat="1" applyFont="1" applyFill="1"/>
    <xf numFmtId="165" fontId="3" fillId="0" borderId="34" xfId="3" applyNumberFormat="1" applyFont="1" applyFill="1" applyBorder="1"/>
    <xf numFmtId="165" fontId="27" fillId="6" borderId="0" xfId="1" applyNumberFormat="1" applyFont="1" applyFill="1"/>
    <xf numFmtId="165" fontId="26" fillId="6" borderId="0" xfId="1" applyNumberFormat="1" applyFont="1" applyFill="1"/>
    <xf numFmtId="165" fontId="26" fillId="6" borderId="0" xfId="3" applyNumberFormat="1" applyFont="1" applyFill="1"/>
    <xf numFmtId="3" fontId="0" fillId="6" borderId="36" xfId="0" applyNumberFormat="1" applyFill="1" applyBorder="1"/>
    <xf numFmtId="0" fontId="0" fillId="6" borderId="36" xfId="0" applyFill="1" applyBorder="1"/>
    <xf numFmtId="165" fontId="0" fillId="6" borderId="12" xfId="0" applyNumberFormat="1" applyFill="1" applyBorder="1"/>
    <xf numFmtId="0" fontId="26" fillId="6" borderId="37" xfId="0" applyFont="1" applyFill="1" applyBorder="1" applyAlignment="1">
      <alignment horizontal="right"/>
    </xf>
    <xf numFmtId="0" fontId="1" fillId="6" borderId="37" xfId="0" applyFont="1" applyFill="1" applyBorder="1"/>
    <xf numFmtId="0" fontId="26" fillId="6" borderId="32" xfId="0" applyFont="1" applyFill="1" applyBorder="1" applyAlignment="1">
      <alignment horizontal="right"/>
    </xf>
    <xf numFmtId="165" fontId="32" fillId="6" borderId="1" xfId="4" applyNumberFormat="1" applyFont="1" applyFill="1" applyBorder="1"/>
    <xf numFmtId="165" fontId="35" fillId="6" borderId="38" xfId="4" applyNumberFormat="1" applyFont="1" applyFill="1" applyBorder="1"/>
    <xf numFmtId="0" fontId="38" fillId="0" borderId="0" xfId="5"/>
    <xf numFmtId="0" fontId="38" fillId="8" borderId="0" xfId="5" applyFill="1"/>
    <xf numFmtId="164" fontId="0" fillId="0" borderId="0" xfId="0" applyNumberFormat="1"/>
    <xf numFmtId="165" fontId="0" fillId="5" borderId="0" xfId="0" applyNumberFormat="1" applyFill="1"/>
    <xf numFmtId="0" fontId="35" fillId="2" borderId="0" xfId="0" applyFont="1" applyFill="1" applyAlignment="1">
      <alignment horizontal="center"/>
    </xf>
    <xf numFmtId="0" fontId="3" fillId="0" borderId="0" xfId="0" applyFont="1" applyAlignment="1">
      <alignment horizontal="center"/>
    </xf>
    <xf numFmtId="167" fontId="3" fillId="5" borderId="0" xfId="0" applyNumberFormat="1" applyFont="1" applyFill="1"/>
    <xf numFmtId="165" fontId="0" fillId="0" borderId="0" xfId="1" applyNumberFormat="1" applyFont="1" applyFill="1" applyBorder="1"/>
    <xf numFmtId="165" fontId="3" fillId="3" borderId="0" xfId="1" applyNumberFormat="1" applyFont="1" applyFill="1" applyAlignment="1">
      <alignment horizontal="center"/>
    </xf>
    <xf numFmtId="165" fontId="0" fillId="0" borderId="0" xfId="1" applyNumberFormat="1" applyFont="1" applyBorder="1"/>
    <xf numFmtId="165" fontId="3" fillId="0" borderId="0" xfId="1" applyNumberFormat="1" applyFont="1" applyFill="1" applyBorder="1"/>
    <xf numFmtId="43" fontId="0" fillId="0" borderId="0" xfId="1" applyFont="1" applyFill="1" applyBorder="1"/>
    <xf numFmtId="43" fontId="3" fillId="0" borderId="0" xfId="1" applyFont="1" applyFill="1" applyBorder="1"/>
    <xf numFmtId="165" fontId="0" fillId="0" borderId="0" xfId="1" applyNumberFormat="1" applyFont="1" applyFill="1"/>
    <xf numFmtId="0" fontId="0" fillId="0" borderId="1" xfId="0" applyBorder="1" applyAlignment="1">
      <alignment horizontal="center"/>
    </xf>
    <xf numFmtId="165" fontId="0" fillId="0" borderId="1" xfId="1" applyNumberFormat="1" applyFont="1" applyBorder="1" applyAlignment="1">
      <alignment horizontal="center"/>
    </xf>
    <xf numFmtId="0" fontId="3" fillId="0" borderId="1" xfId="0" applyFont="1" applyBorder="1" applyAlignment="1">
      <alignment horizontal="center"/>
    </xf>
    <xf numFmtId="165" fontId="3" fillId="0" borderId="1" xfId="1" applyNumberFormat="1" applyFont="1" applyBorder="1" applyAlignment="1">
      <alignment horizontal="center"/>
    </xf>
    <xf numFmtId="0" fontId="0" fillId="0" borderId="25" xfId="0" applyBorder="1"/>
    <xf numFmtId="165" fontId="0" fillId="0" borderId="25" xfId="1" applyNumberFormat="1" applyFont="1" applyBorder="1"/>
    <xf numFmtId="0" fontId="0" fillId="0" borderId="13" xfId="0" applyBorder="1"/>
    <xf numFmtId="165" fontId="0" fillId="0" borderId="13" xfId="1" applyNumberFormat="1" applyFont="1" applyFill="1" applyBorder="1"/>
    <xf numFmtId="1" fontId="0" fillId="0" borderId="18" xfId="0" applyNumberFormat="1" applyBorder="1"/>
    <xf numFmtId="0" fontId="0" fillId="0" borderId="36" xfId="0" applyBorder="1"/>
    <xf numFmtId="1" fontId="0" fillId="0" borderId="12" xfId="0" applyNumberFormat="1" applyBorder="1"/>
    <xf numFmtId="0" fontId="0" fillId="0" borderId="0" xfId="0" applyAlignment="1">
      <alignment horizontal="left"/>
    </xf>
    <xf numFmtId="43" fontId="0" fillId="0" borderId="0" xfId="1" applyFont="1"/>
    <xf numFmtId="0" fontId="0" fillId="3" borderId="41" xfId="0" applyFill="1" applyBorder="1"/>
    <xf numFmtId="0" fontId="3" fillId="3" borderId="41" xfId="0" applyFont="1" applyFill="1" applyBorder="1"/>
    <xf numFmtId="0" fontId="1" fillId="0" borderId="0" xfId="0" applyFont="1"/>
    <xf numFmtId="43" fontId="1" fillId="0" borderId="0" xfId="1" applyFont="1" applyBorder="1"/>
    <xf numFmtId="0" fontId="39" fillId="0" borderId="0" xfId="0" applyFont="1" applyAlignment="1">
      <alignment horizontal="left" wrapText="1"/>
    </xf>
    <xf numFmtId="0" fontId="40" fillId="0" borderId="0" xfId="0" applyFont="1"/>
    <xf numFmtId="168" fontId="41" fillId="0" borderId="0" xfId="0" applyNumberFormat="1" applyFont="1" applyAlignment="1">
      <alignment horizontal="right" wrapText="1"/>
    </xf>
    <xf numFmtId="43" fontId="3" fillId="0" borderId="0" xfId="1" applyFont="1" applyBorder="1"/>
    <xf numFmtId="0" fontId="0" fillId="8" borderId="0" xfId="0" applyFill="1"/>
    <xf numFmtId="1" fontId="0" fillId="8" borderId="0" xfId="0" applyNumberFormat="1" applyFill="1"/>
    <xf numFmtId="0" fontId="1" fillId="8" borderId="0" xfId="0" applyFont="1" applyFill="1"/>
    <xf numFmtId="0" fontId="39" fillId="8" borderId="0" xfId="0" applyFont="1" applyFill="1" applyAlignment="1">
      <alignment horizontal="left" wrapText="1"/>
    </xf>
    <xf numFmtId="0" fontId="0" fillId="0" borderId="0" xfId="0" applyAlignment="1">
      <alignment vertical="center"/>
    </xf>
    <xf numFmtId="0" fontId="1" fillId="0" borderId="0" xfId="8"/>
    <xf numFmtId="0" fontId="40" fillId="0" borderId="0" xfId="2" applyFont="1"/>
    <xf numFmtId="0" fontId="44" fillId="0" borderId="0" xfId="2" applyFont="1" applyAlignment="1">
      <alignment horizontal="center"/>
    </xf>
    <xf numFmtId="165" fontId="44" fillId="0" borderId="0" xfId="9" applyNumberFormat="1" applyFont="1" applyFill="1" applyAlignment="1">
      <alignment horizontal="center"/>
    </xf>
    <xf numFmtId="0" fontId="44" fillId="0" borderId="0" xfId="2" applyFont="1"/>
    <xf numFmtId="43" fontId="1" fillId="0" borderId="0" xfId="8" applyNumberFormat="1"/>
    <xf numFmtId="0" fontId="40" fillId="0" borderId="0" xfId="10" applyFont="1"/>
    <xf numFmtId="3" fontId="40" fillId="0" borderId="0" xfId="8" applyNumberFormat="1" applyFont="1"/>
    <xf numFmtId="165" fontId="40" fillId="0" borderId="0" xfId="9" applyNumberFormat="1" applyFont="1" applyFill="1"/>
    <xf numFmtId="165" fontId="40" fillId="0" borderId="0" xfId="2" applyNumberFormat="1" applyFont="1"/>
    <xf numFmtId="165" fontId="45" fillId="0" borderId="0" xfId="9" applyNumberFormat="1" applyFont="1" applyFill="1"/>
    <xf numFmtId="165" fontId="45" fillId="0" borderId="0" xfId="2" applyNumberFormat="1" applyFont="1"/>
    <xf numFmtId="165" fontId="45" fillId="0" borderId="0" xfId="8" applyNumberFormat="1" applyFont="1"/>
    <xf numFmtId="165" fontId="46" fillId="0" borderId="0" xfId="9" applyNumberFormat="1" applyFont="1" applyFill="1"/>
    <xf numFmtId="0" fontId="40" fillId="0" borderId="0" xfId="8" applyFont="1"/>
    <xf numFmtId="165" fontId="40" fillId="0" borderId="0" xfId="11" applyNumberFormat="1" applyFont="1" applyFill="1"/>
    <xf numFmtId="165" fontId="44" fillId="0" borderId="34" xfId="11" applyNumberFormat="1" applyFont="1" applyFill="1" applyBorder="1"/>
    <xf numFmtId="0" fontId="47" fillId="13" borderId="18" xfId="8" applyFont="1" applyFill="1" applyBorder="1" applyAlignment="1">
      <alignment horizontal="left" vertical="center" wrapText="1" indent="1"/>
    </xf>
    <xf numFmtId="0" fontId="48" fillId="13" borderId="25" xfId="8" applyFont="1" applyFill="1" applyBorder="1" applyAlignment="1">
      <alignment horizontal="right" vertical="center" wrapText="1" indent="1" readingOrder="2"/>
    </xf>
    <xf numFmtId="0" fontId="49" fillId="13" borderId="35" xfId="8" applyFont="1" applyFill="1" applyBorder="1" applyAlignment="1">
      <alignment horizontal="right" vertical="center" indent="1" readingOrder="2"/>
    </xf>
    <xf numFmtId="0" fontId="50" fillId="0" borderId="36" xfId="8" applyFont="1" applyBorder="1" applyAlignment="1">
      <alignment horizontal="left" vertical="center" wrapText="1" indent="1"/>
    </xf>
    <xf numFmtId="0" fontId="51" fillId="0" borderId="0" xfId="8" applyFont="1" applyAlignment="1">
      <alignment horizontal="right" vertical="center" wrapText="1" indent="1" readingOrder="2"/>
    </xf>
    <xf numFmtId="169" fontId="42" fillId="0" borderId="37" xfId="7" applyNumberFormat="1" applyFont="1" applyBorder="1" applyAlignment="1">
      <alignment horizontal="left"/>
    </xf>
    <xf numFmtId="0" fontId="50" fillId="0" borderId="36" xfId="8" applyFont="1" applyBorder="1" applyAlignment="1">
      <alignment horizontal="left" vertical="center" wrapText="1" indent="3"/>
    </xf>
    <xf numFmtId="0" fontId="1" fillId="0" borderId="37" xfId="8" applyBorder="1"/>
    <xf numFmtId="169" fontId="42" fillId="0" borderId="37" xfId="7" applyNumberFormat="1" applyFont="1" applyBorder="1" applyAlignment="1"/>
    <xf numFmtId="169" fontId="42" fillId="0" borderId="37" xfId="7" applyNumberFormat="1" applyFont="1" applyFill="1" applyBorder="1" applyAlignment="1"/>
    <xf numFmtId="169" fontId="42" fillId="0" borderId="37" xfId="7" applyNumberFormat="1" applyFont="1" applyFill="1" applyBorder="1" applyAlignment="1">
      <alignment horizontal="left"/>
    </xf>
    <xf numFmtId="0" fontId="52" fillId="0" borderId="36" xfId="8" applyFont="1" applyBorder="1" applyAlignment="1">
      <alignment horizontal="left" vertical="center" wrapText="1" indent="1"/>
    </xf>
    <xf numFmtId="169" fontId="1" fillId="0" borderId="0" xfId="8" applyNumberFormat="1"/>
    <xf numFmtId="0" fontId="1" fillId="0" borderId="36" xfId="8" applyBorder="1"/>
    <xf numFmtId="0" fontId="53" fillId="0" borderId="36" xfId="8" applyFont="1" applyBorder="1" applyAlignment="1">
      <alignment horizontal="left" vertical="center" wrapText="1" indent="1"/>
    </xf>
    <xf numFmtId="0" fontId="1" fillId="0" borderId="12" xfId="8" applyBorder="1"/>
    <xf numFmtId="0" fontId="1" fillId="0" borderId="13" xfId="8" applyBorder="1"/>
    <xf numFmtId="165" fontId="1" fillId="0" borderId="32" xfId="8" applyNumberFormat="1" applyBorder="1"/>
    <xf numFmtId="43" fontId="0" fillId="2" borderId="0" xfId="1" applyFont="1" applyFill="1"/>
    <xf numFmtId="43" fontId="0" fillId="8" borderId="0" xfId="1" applyFont="1" applyFill="1"/>
    <xf numFmtId="165" fontId="0" fillId="8" borderId="0" xfId="1" applyNumberFormat="1" applyFont="1" applyFill="1" applyBorder="1"/>
    <xf numFmtId="165" fontId="3" fillId="8" borderId="0" xfId="1" applyNumberFormat="1" applyFont="1" applyFill="1" applyBorder="1"/>
    <xf numFmtId="43" fontId="0" fillId="14" borderId="0" xfId="1" applyFont="1" applyFill="1"/>
    <xf numFmtId="43" fontId="0" fillId="5" borderId="0" xfId="1" applyFont="1" applyFill="1"/>
    <xf numFmtId="165" fontId="0" fillId="0" borderId="25" xfId="1" applyNumberFormat="1" applyFont="1" applyFill="1" applyBorder="1"/>
    <xf numFmtId="1" fontId="0" fillId="5" borderId="0" xfId="0" applyNumberFormat="1" applyFill="1"/>
    <xf numFmtId="165" fontId="0" fillId="5" borderId="0" xfId="1" applyNumberFormat="1" applyFont="1" applyFill="1" applyBorder="1"/>
    <xf numFmtId="165" fontId="3" fillId="5" borderId="0" xfId="1" applyNumberFormat="1" applyFont="1" applyFill="1" applyBorder="1"/>
    <xf numFmtId="43" fontId="0" fillId="5" borderId="0" xfId="0" applyNumberFormat="1" applyFill="1"/>
    <xf numFmtId="4" fontId="0" fillId="0" borderId="0" xfId="0" applyNumberFormat="1"/>
    <xf numFmtId="0" fontId="0" fillId="15" borderId="0" xfId="0" applyFill="1"/>
    <xf numFmtId="1" fontId="0" fillId="15" borderId="0" xfId="0" applyNumberFormat="1" applyFill="1"/>
    <xf numFmtId="43" fontId="0" fillId="15" borderId="0" xfId="1" applyFont="1" applyFill="1"/>
    <xf numFmtId="165" fontId="0" fillId="15" borderId="0" xfId="1" applyNumberFormat="1" applyFont="1" applyFill="1" applyBorder="1"/>
    <xf numFmtId="165" fontId="3" fillId="15" borderId="0" xfId="1" applyNumberFormat="1" applyFont="1" applyFill="1" applyBorder="1"/>
    <xf numFmtId="43" fontId="0" fillId="15" borderId="0" xfId="0" applyNumberFormat="1" applyFill="1"/>
    <xf numFmtId="0" fontId="38" fillId="15" borderId="0" xfId="5" applyFill="1"/>
    <xf numFmtId="165" fontId="0" fillId="15" borderId="0" xfId="0" applyNumberFormat="1" applyFill="1"/>
    <xf numFmtId="43" fontId="0" fillId="0" borderId="25" xfId="1" applyFont="1" applyBorder="1"/>
    <xf numFmtId="43" fontId="0" fillId="0" borderId="13" xfId="1" applyFont="1" applyBorder="1"/>
    <xf numFmtId="0" fontId="39" fillId="0" borderId="25" xfId="0" applyFont="1" applyBorder="1" applyAlignment="1">
      <alignment horizontal="left" wrapText="1"/>
    </xf>
    <xf numFmtId="0" fontId="39" fillId="0" borderId="13" xfId="0" applyFont="1" applyBorder="1" applyAlignment="1">
      <alignment horizontal="left"/>
    </xf>
    <xf numFmtId="0" fontId="0" fillId="0" borderId="32" xfId="0" applyBorder="1"/>
    <xf numFmtId="0" fontId="54" fillId="0" borderId="0" xfId="0" applyFont="1"/>
    <xf numFmtId="43" fontId="54" fillId="0" borderId="0" xfId="1" applyFont="1"/>
    <xf numFmtId="170" fontId="54" fillId="0" borderId="0" xfId="0" applyNumberFormat="1" applyFont="1"/>
    <xf numFmtId="43" fontId="54" fillId="0" borderId="0" xfId="0" applyNumberFormat="1" applyFont="1"/>
    <xf numFmtId="0" fontId="55" fillId="0" borderId="0" xfId="0" applyFont="1"/>
    <xf numFmtId="0" fontId="54" fillId="0" borderId="0" xfId="0" applyFont="1" applyAlignment="1">
      <alignment horizontal="center" vertical="center" wrapText="1"/>
    </xf>
    <xf numFmtId="0" fontId="54" fillId="0" borderId="0" xfId="0" applyFont="1" applyAlignment="1">
      <alignment horizontal="center" vertical="center"/>
    </xf>
    <xf numFmtId="0" fontId="55" fillId="16" borderId="1" xfId="0" applyFont="1" applyFill="1" applyBorder="1" applyAlignment="1">
      <alignment horizontal="center" vertical="center"/>
    </xf>
    <xf numFmtId="14" fontId="54" fillId="0" borderId="1" xfId="0" applyNumberFormat="1" applyFont="1" applyBorder="1"/>
    <xf numFmtId="0" fontId="54" fillId="0" borderId="1" xfId="0" applyFont="1" applyBorder="1"/>
    <xf numFmtId="165" fontId="54" fillId="0" borderId="1" xfId="1" applyNumberFormat="1" applyFont="1" applyBorder="1"/>
    <xf numFmtId="170" fontId="54" fillId="0" borderId="1" xfId="0" applyNumberFormat="1" applyFont="1" applyBorder="1"/>
    <xf numFmtId="170" fontId="54" fillId="0" borderId="1" xfId="1" applyNumberFormat="1" applyFont="1" applyBorder="1"/>
    <xf numFmtId="14" fontId="55" fillId="16" borderId="1" xfId="0" applyNumberFormat="1" applyFont="1" applyFill="1" applyBorder="1" applyAlignment="1">
      <alignment horizontal="center" vertical="center"/>
    </xf>
    <xf numFmtId="14" fontId="54" fillId="0" borderId="0" xfId="0" applyNumberFormat="1" applyFont="1"/>
    <xf numFmtId="165" fontId="55" fillId="0" borderId="1" xfId="1" applyNumberFormat="1" applyFont="1" applyBorder="1"/>
    <xf numFmtId="170" fontId="55" fillId="0" borderId="1" xfId="1" applyNumberFormat="1" applyFont="1" applyBorder="1"/>
    <xf numFmtId="0" fontId="56" fillId="11" borderId="1" xfId="6" applyFont="1" applyFill="1" applyBorder="1"/>
    <xf numFmtId="0" fontId="57" fillId="0" borderId="0" xfId="6" applyFont="1"/>
    <xf numFmtId="0" fontId="54" fillId="0" borderId="0" xfId="6" applyFont="1"/>
    <xf numFmtId="0" fontId="55" fillId="0" borderId="16" xfId="6" applyFont="1" applyBorder="1" applyAlignment="1">
      <alignment wrapText="1"/>
    </xf>
    <xf numFmtId="0" fontId="55" fillId="0" borderId="34" xfId="6" applyFont="1" applyBorder="1" applyAlignment="1">
      <alignment wrapText="1"/>
    </xf>
    <xf numFmtId="0" fontId="55" fillId="0" borderId="43" xfId="6" applyFont="1" applyBorder="1" applyAlignment="1">
      <alignment wrapText="1"/>
    </xf>
    <xf numFmtId="0" fontId="55" fillId="0" borderId="16" xfId="6" applyFont="1" applyBorder="1"/>
    <xf numFmtId="169" fontId="55" fillId="0" borderId="0" xfId="7" applyNumberFormat="1" applyFont="1" applyBorder="1"/>
    <xf numFmtId="0" fontId="54" fillId="0" borderId="16" xfId="6" applyFont="1" applyBorder="1"/>
    <xf numFmtId="0" fontId="54" fillId="0" borderId="17" xfId="6" applyFont="1" applyBorder="1"/>
    <xf numFmtId="169" fontId="55" fillId="0" borderId="33" xfId="7" applyNumberFormat="1" applyFont="1" applyBorder="1"/>
    <xf numFmtId="169" fontId="55" fillId="0" borderId="44" xfId="7" applyNumberFormat="1" applyFont="1" applyBorder="1"/>
    <xf numFmtId="169" fontId="54" fillId="0" borderId="0" xfId="7" applyNumberFormat="1" applyFont="1" applyBorder="1"/>
    <xf numFmtId="169" fontId="54" fillId="0" borderId="0" xfId="7" applyNumberFormat="1" applyFont="1" applyFill="1" applyBorder="1"/>
    <xf numFmtId="43" fontId="54" fillId="0" borderId="0" xfId="1" applyFont="1" applyBorder="1"/>
    <xf numFmtId="0" fontId="55" fillId="0" borderId="0" xfId="6" applyFont="1"/>
    <xf numFmtId="0" fontId="55" fillId="0" borderId="0" xfId="6" applyFont="1" applyAlignment="1">
      <alignment wrapText="1"/>
    </xf>
    <xf numFmtId="169" fontId="55" fillId="0" borderId="0" xfId="7" applyNumberFormat="1" applyFont="1" applyFill="1" applyBorder="1"/>
    <xf numFmtId="0" fontId="54" fillId="0" borderId="0" xfId="6" applyFont="1" applyAlignment="1">
      <alignment horizontal="left"/>
    </xf>
    <xf numFmtId="0" fontId="55" fillId="0" borderId="0" xfId="6" applyFont="1" applyAlignment="1">
      <alignment horizontal="left"/>
    </xf>
    <xf numFmtId="169" fontId="55" fillId="0" borderId="44" xfId="0" applyNumberFormat="1" applyFont="1" applyBorder="1"/>
    <xf numFmtId="169" fontId="55" fillId="0" borderId="45" xfId="0" applyNumberFormat="1" applyFont="1" applyBorder="1"/>
    <xf numFmtId="0" fontId="54" fillId="0" borderId="44" xfId="0" applyFont="1" applyBorder="1"/>
    <xf numFmtId="165" fontId="55" fillId="0" borderId="44" xfId="1" applyNumberFormat="1" applyFont="1" applyBorder="1"/>
    <xf numFmtId="165" fontId="0" fillId="0" borderId="13" xfId="1" applyNumberFormat="1" applyFont="1" applyBorder="1"/>
    <xf numFmtId="1" fontId="0" fillId="0" borderId="18" xfId="0" applyNumberFormat="1" applyBorder="1" applyAlignment="1">
      <alignment horizontal="left"/>
    </xf>
    <xf numFmtId="0" fontId="0" fillId="0" borderId="25"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58" fillId="0" borderId="17" xfId="6" applyFont="1" applyBorder="1"/>
    <xf numFmtId="0" fontId="58" fillId="0" borderId="33" xfId="0" applyFont="1" applyBorder="1"/>
    <xf numFmtId="169" fontId="58" fillId="0" borderId="33" xfId="7" applyNumberFormat="1" applyFont="1" applyBorder="1"/>
    <xf numFmtId="0" fontId="59" fillId="0" borderId="0" xfId="13" applyFont="1"/>
    <xf numFmtId="14" fontId="0" fillId="0" borderId="0" xfId="0" applyNumberFormat="1"/>
    <xf numFmtId="0" fontId="32" fillId="0" borderId="0" xfId="13" applyFont="1"/>
    <xf numFmtId="9" fontId="32" fillId="0" borderId="0" xfId="14" applyFont="1"/>
    <xf numFmtId="9" fontId="62" fillId="17" borderId="30" xfId="14" applyFont="1" applyFill="1" applyBorder="1"/>
    <xf numFmtId="173" fontId="62" fillId="17" borderId="30" xfId="14" applyNumberFormat="1" applyFont="1" applyFill="1" applyBorder="1"/>
    <xf numFmtId="0" fontId="3" fillId="0" borderId="30" xfId="0" applyFont="1" applyBorder="1"/>
    <xf numFmtId="9" fontId="32" fillId="0" borderId="18" xfId="14" applyFont="1" applyBorder="1"/>
    <xf numFmtId="171" fontId="32" fillId="8" borderId="35" xfId="12" applyNumberFormat="1" applyFont="1" applyFill="1" applyBorder="1"/>
    <xf numFmtId="9" fontId="32" fillId="0" borderId="36" xfId="14" applyFont="1" applyFill="1" applyBorder="1"/>
    <xf numFmtId="171" fontId="32" fillId="0" borderId="37" xfId="12" applyNumberFormat="1" applyFont="1" applyFill="1" applyBorder="1"/>
    <xf numFmtId="9" fontId="32" fillId="0" borderId="36" xfId="14" applyFont="1" applyBorder="1"/>
    <xf numFmtId="10" fontId="0" fillId="0" borderId="37" xfId="0" applyNumberFormat="1" applyBorder="1"/>
    <xf numFmtId="165" fontId="0" fillId="0" borderId="37" xfId="0" applyNumberFormat="1" applyBorder="1"/>
    <xf numFmtId="9" fontId="0" fillId="0" borderId="37" xfId="0" applyNumberFormat="1" applyBorder="1"/>
    <xf numFmtId="0" fontId="0" fillId="0" borderId="37" xfId="0" applyBorder="1"/>
    <xf numFmtId="9" fontId="60" fillId="0" borderId="36" xfId="14" applyFont="1" applyBorder="1"/>
    <xf numFmtId="172" fontId="60" fillId="0" borderId="37" xfId="14" quotePrefix="1" applyNumberFormat="1" applyFont="1" applyBorder="1"/>
    <xf numFmtId="172" fontId="60" fillId="0" borderId="37" xfId="14" applyNumberFormat="1" applyFont="1" applyBorder="1"/>
    <xf numFmtId="9" fontId="60" fillId="0" borderId="12" xfId="14" applyFont="1" applyBorder="1"/>
    <xf numFmtId="172" fontId="60" fillId="0" borderId="32" xfId="14" applyNumberFormat="1" applyFont="1" applyBorder="1"/>
    <xf numFmtId="170" fontId="3" fillId="0" borderId="30" xfId="1" applyNumberFormat="1" applyFont="1" applyBorder="1"/>
    <xf numFmtId="0" fontId="0" fillId="0" borderId="18" xfId="0" applyBorder="1" applyAlignment="1">
      <alignment horizontal="left"/>
    </xf>
    <xf numFmtId="0" fontId="0" fillId="0" borderId="12" xfId="1" applyNumberFormat="1" applyFont="1" applyBorder="1" applyAlignment="1">
      <alignment horizontal="left"/>
    </xf>
    <xf numFmtId="0" fontId="1" fillId="0" borderId="18" xfId="0" applyFont="1" applyBorder="1" applyAlignment="1">
      <alignment horizontal="left"/>
    </xf>
    <xf numFmtId="0" fontId="3" fillId="5" borderId="46" xfId="15" applyFont="1" applyFill="1" applyBorder="1"/>
    <xf numFmtId="0" fontId="3" fillId="5" borderId="47" xfId="15" applyFont="1" applyFill="1" applyBorder="1"/>
    <xf numFmtId="174" fontId="1" fillId="0" borderId="20" xfId="15" applyNumberFormat="1" applyBorder="1"/>
    <xf numFmtId="0" fontId="3" fillId="5" borderId="48" xfId="15" applyFont="1" applyFill="1" applyBorder="1"/>
    <xf numFmtId="0" fontId="3" fillId="5" borderId="1" xfId="15" applyFont="1" applyFill="1" applyBorder="1"/>
    <xf numFmtId="9" fontId="1" fillId="0" borderId="22" xfId="15" applyNumberFormat="1" applyBorder="1"/>
    <xf numFmtId="0" fontId="3" fillId="5" borderId="49" xfId="15" applyFont="1" applyFill="1" applyBorder="1"/>
    <xf numFmtId="0" fontId="3" fillId="5" borderId="50" xfId="15" applyFont="1" applyFill="1" applyBorder="1"/>
    <xf numFmtId="0" fontId="3" fillId="0" borderId="0" xfId="15" applyFont="1"/>
    <xf numFmtId="169" fontId="0" fillId="0" borderId="0" xfId="0" applyNumberFormat="1"/>
    <xf numFmtId="174" fontId="0" fillId="0" borderId="0" xfId="0" applyNumberFormat="1"/>
    <xf numFmtId="175" fontId="1" fillId="0" borderId="14" xfId="15" applyNumberFormat="1" applyBorder="1"/>
    <xf numFmtId="175" fontId="0" fillId="0" borderId="38" xfId="0" applyNumberFormat="1" applyBorder="1"/>
    <xf numFmtId="169" fontId="54" fillId="0" borderId="0" xfId="0" applyNumberFormat="1" applyFont="1"/>
    <xf numFmtId="165" fontId="58" fillId="0" borderId="45" xfId="0" applyNumberFormat="1" applyFont="1" applyBorder="1"/>
    <xf numFmtId="0" fontId="40" fillId="0" borderId="36" xfId="8" applyFont="1" applyBorder="1"/>
    <xf numFmtId="165" fontId="40" fillId="0" borderId="0" xfId="1" applyNumberFormat="1" applyFont="1" applyBorder="1"/>
    <xf numFmtId="165" fontId="40" fillId="0" borderId="37" xfId="1" applyNumberFormat="1" applyFont="1" applyBorder="1"/>
    <xf numFmtId="0" fontId="40" fillId="0" borderId="12" xfId="8" applyFont="1" applyBorder="1"/>
    <xf numFmtId="165" fontId="40" fillId="0" borderId="13" xfId="1" applyNumberFormat="1" applyFont="1" applyBorder="1"/>
    <xf numFmtId="165" fontId="40" fillId="0" borderId="32" xfId="1" applyNumberFormat="1" applyFont="1" applyBorder="1"/>
    <xf numFmtId="0" fontId="44" fillId="16" borderId="4" xfId="8" applyFont="1" applyFill="1" applyBorder="1"/>
    <xf numFmtId="14" fontId="44" fillId="16" borderId="5" xfId="8" applyNumberFormat="1" applyFont="1" applyFill="1" applyBorder="1"/>
    <xf numFmtId="14" fontId="44" fillId="16" borderId="6" xfId="8" applyNumberFormat="1" applyFont="1" applyFill="1" applyBorder="1"/>
    <xf numFmtId="0" fontId="1" fillId="0" borderId="18" xfId="0" applyFont="1" applyBorder="1"/>
    <xf numFmtId="0" fontId="0" fillId="0" borderId="36" xfId="0" applyBorder="1" applyAlignment="1">
      <alignment horizontal="left"/>
    </xf>
    <xf numFmtId="169" fontId="55" fillId="8" borderId="0" xfId="7" applyNumberFormat="1" applyFont="1" applyFill="1" applyBorder="1"/>
    <xf numFmtId="0" fontId="3" fillId="4" borderId="4" xfId="0" applyFont="1" applyFill="1" applyBorder="1" applyAlignment="1">
      <alignment horizontal="center"/>
    </xf>
    <xf numFmtId="0" fontId="3" fillId="4" borderId="5" xfId="0" applyFont="1" applyFill="1" applyBorder="1" applyAlignment="1">
      <alignment horizontal="center"/>
    </xf>
    <xf numFmtId="0" fontId="3" fillId="4" borderId="6" xfId="0" applyFont="1" applyFill="1" applyBorder="1" applyAlignment="1">
      <alignment horizontal="center"/>
    </xf>
    <xf numFmtId="0" fontId="37" fillId="4" borderId="39" xfId="0" applyFont="1" applyFill="1" applyBorder="1" applyAlignment="1">
      <alignment horizontal="center" vertical="center"/>
    </xf>
    <xf numFmtId="0" fontId="0" fillId="0" borderId="35" xfId="0" applyBorder="1" applyAlignment="1">
      <alignment horizontal="center" wrapText="1"/>
    </xf>
    <xf numFmtId="0" fontId="0" fillId="0" borderId="32" xfId="0" applyBorder="1" applyAlignment="1">
      <alignment horizontal="center" wrapText="1"/>
    </xf>
    <xf numFmtId="0" fontId="0" fillId="0" borderId="35" xfId="0" applyBorder="1" applyAlignment="1">
      <alignment horizontal="center" vertical="center"/>
    </xf>
    <xf numFmtId="0" fontId="0" fillId="0" borderId="37" xfId="0" applyBorder="1" applyAlignment="1">
      <alignment horizontal="center" vertical="center"/>
    </xf>
    <xf numFmtId="0" fontId="0" fillId="0" borderId="32" xfId="0" applyBorder="1" applyAlignment="1">
      <alignment horizontal="center" vertical="center"/>
    </xf>
    <xf numFmtId="0" fontId="0" fillId="0" borderId="35" xfId="0" applyBorder="1" applyAlignment="1">
      <alignment horizontal="center" vertical="center" wrapText="1"/>
    </xf>
    <xf numFmtId="0" fontId="0" fillId="0" borderId="32" xfId="0" applyBorder="1" applyAlignment="1">
      <alignment horizontal="center" vertical="center" wrapText="1"/>
    </xf>
    <xf numFmtId="0" fontId="0" fillId="0" borderId="37" xfId="0" applyBorder="1" applyAlignment="1">
      <alignment horizontal="center" vertical="center" wrapText="1"/>
    </xf>
    <xf numFmtId="0" fontId="55" fillId="12" borderId="42" xfId="6" applyFont="1" applyFill="1" applyBorder="1" applyAlignment="1">
      <alignment horizontal="center" wrapText="1"/>
    </xf>
    <xf numFmtId="0" fontId="55" fillId="12" borderId="34" xfId="6" applyFont="1" applyFill="1" applyBorder="1" applyAlignment="1">
      <alignment horizontal="center" wrapText="1"/>
    </xf>
    <xf numFmtId="0" fontId="55" fillId="12" borderId="43" xfId="6" applyFont="1" applyFill="1" applyBorder="1" applyAlignment="1">
      <alignment horizontal="center" wrapText="1"/>
    </xf>
    <xf numFmtId="0" fontId="44" fillId="13" borderId="33" xfId="2" applyFont="1" applyFill="1" applyBorder="1" applyAlignment="1">
      <alignment horizontal="center"/>
    </xf>
    <xf numFmtId="0" fontId="11" fillId="0" borderId="13" xfId="0" applyFont="1" applyBorder="1" applyAlignment="1">
      <alignment horizontal="center" vertical="center" wrapText="1" readingOrder="2"/>
    </xf>
    <xf numFmtId="0" fontId="14" fillId="0" borderId="0" xfId="0" applyFont="1" applyAlignment="1">
      <alignment horizontal="justify" vertical="center" wrapText="1" readingOrder="2"/>
    </xf>
    <xf numFmtId="0" fontId="11" fillId="0" borderId="0" xfId="0" applyFont="1" applyAlignment="1">
      <alignment horizontal="center" vertical="center" wrapText="1" readingOrder="2"/>
    </xf>
    <xf numFmtId="0" fontId="19" fillId="0" borderId="0" xfId="0" applyFont="1" applyAlignment="1">
      <alignment horizontal="right" vertical="center" wrapText="1" readingOrder="2"/>
    </xf>
    <xf numFmtId="0" fontId="18" fillId="0" borderId="0" xfId="0" applyFont="1" applyAlignment="1">
      <alignment horizontal="center" vertical="center" wrapText="1" readingOrder="2"/>
    </xf>
    <xf numFmtId="0" fontId="18" fillId="0" borderId="13" xfId="0" applyFont="1" applyBorder="1" applyAlignment="1">
      <alignment horizontal="center" vertical="center" wrapText="1" readingOrder="2"/>
    </xf>
    <xf numFmtId="0" fontId="11" fillId="0" borderId="5" xfId="0" applyFont="1" applyBorder="1" applyAlignment="1">
      <alignment horizontal="center" vertical="center" wrapText="1" readingOrder="2"/>
    </xf>
    <xf numFmtId="0" fontId="11" fillId="0" borderId="0" xfId="0" applyFont="1" applyAlignment="1">
      <alignment horizontal="right" vertical="center" wrapText="1" readingOrder="2"/>
    </xf>
    <xf numFmtId="0" fontId="11" fillId="0" borderId="0" xfId="0" applyFont="1" applyAlignment="1">
      <alignment horizontal="justify" vertical="center" wrapText="1" readingOrder="2"/>
    </xf>
    <xf numFmtId="0" fontId="11" fillId="0" borderId="25" xfId="0" applyFont="1" applyBorder="1" applyAlignment="1">
      <alignment horizontal="center" vertical="center" wrapText="1" readingOrder="2"/>
    </xf>
    <xf numFmtId="0" fontId="11" fillId="0" borderId="13" xfId="0" applyFont="1" applyBorder="1" applyAlignment="1">
      <alignment horizontal="right" vertical="center" wrapText="1" readingOrder="2"/>
    </xf>
    <xf numFmtId="0" fontId="3" fillId="7" borderId="33" xfId="2" applyFont="1" applyFill="1" applyBorder="1" applyAlignment="1">
      <alignment horizontal="center"/>
    </xf>
    <xf numFmtId="0" fontId="33" fillId="9" borderId="0" xfId="0" applyFont="1" applyFill="1" applyAlignment="1">
      <alignment horizontal="center"/>
    </xf>
    <xf numFmtId="0" fontId="55" fillId="13" borderId="33" xfId="0" applyFont="1" applyFill="1" applyBorder="1" applyAlignment="1">
      <alignment horizontal="center"/>
    </xf>
  </cellXfs>
  <cellStyles count="16">
    <cellStyle name="Comma" xfId="1" builtinId="3"/>
    <cellStyle name="Comma 2" xfId="3" xr:uid="{41EB1207-8980-4973-AB78-23572DF0FE7F}"/>
    <cellStyle name="Comma 2 2" xfId="11" xr:uid="{12D2AAC4-75D4-4B23-A442-3CB0B3AD7A46}"/>
    <cellStyle name="Comma 2 3" xfId="4" xr:uid="{336BCBE8-E1E6-4553-86E1-382C95F5CCD7}"/>
    <cellStyle name="Comma 3" xfId="9" xr:uid="{008F80C6-69B0-47A4-857B-FB8F33757449}"/>
    <cellStyle name="Comma 3 2" xfId="7" xr:uid="{958B146B-3DD2-46B8-A1E4-31A0441CE9A8}"/>
    <cellStyle name="Currency" xfId="12" builtinId="4"/>
    <cellStyle name="Normal" xfId="0" builtinId="0"/>
    <cellStyle name="Normal 10" xfId="13" xr:uid="{9FC8AC23-01BB-49DD-8ED8-58E94CF7CA5F}"/>
    <cellStyle name="Normal 2" xfId="8" xr:uid="{59ECB566-A388-411C-9E6E-A94F0E748740}"/>
    <cellStyle name="Normal 2 2" xfId="6" xr:uid="{51974AE3-AF2E-4D73-A77C-03E93B10B769}"/>
    <cellStyle name="Normal 2 3" xfId="10" xr:uid="{E5E0810B-85C8-4337-B37F-09320949B717}"/>
    <cellStyle name="Normal 21" xfId="15" xr:uid="{C3E86FBA-1DB7-47E0-9053-EFE29F061899}"/>
    <cellStyle name="Normal 3" xfId="5" xr:uid="{457A4AE9-8362-4047-A511-73514F8B440D}"/>
    <cellStyle name="Normal 5 10" xfId="2" xr:uid="{DCA4C2D3-2D85-4AD4-AD79-B32F5A8A39A0}"/>
    <cellStyle name="Percent 2" xfId="14" xr:uid="{EBC16825-43DB-4206-AF69-074B60C58C7A}"/>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9" Type="http://schemas.openxmlformats.org/officeDocument/2006/relationships/externalLink" Target="externalLinks/externalLink25.xml"/><Relationship Id="rId21" Type="http://schemas.openxmlformats.org/officeDocument/2006/relationships/externalLink" Target="externalLinks/externalLink7.xml"/><Relationship Id="rId34" Type="http://schemas.openxmlformats.org/officeDocument/2006/relationships/externalLink" Target="externalLinks/externalLink20.xml"/><Relationship Id="rId42" Type="http://schemas.openxmlformats.org/officeDocument/2006/relationships/externalLink" Target="externalLinks/externalLink28.xml"/><Relationship Id="rId47" Type="http://schemas.openxmlformats.org/officeDocument/2006/relationships/externalLink" Target="externalLinks/externalLink33.xml"/><Relationship Id="rId50" Type="http://schemas.openxmlformats.org/officeDocument/2006/relationships/externalLink" Target="externalLinks/externalLink36.xml"/><Relationship Id="rId55" Type="http://schemas.openxmlformats.org/officeDocument/2006/relationships/externalLink" Target="externalLinks/externalLink41.xml"/><Relationship Id="rId63" Type="http://schemas.openxmlformats.org/officeDocument/2006/relationships/externalLink" Target="externalLinks/externalLink49.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2.xml"/><Relationship Id="rId29"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externalLink" Target="externalLinks/externalLink18.xml"/><Relationship Id="rId37" Type="http://schemas.openxmlformats.org/officeDocument/2006/relationships/externalLink" Target="externalLinks/externalLink23.xml"/><Relationship Id="rId40" Type="http://schemas.openxmlformats.org/officeDocument/2006/relationships/externalLink" Target="externalLinks/externalLink26.xml"/><Relationship Id="rId45" Type="http://schemas.openxmlformats.org/officeDocument/2006/relationships/externalLink" Target="externalLinks/externalLink31.xml"/><Relationship Id="rId53" Type="http://schemas.openxmlformats.org/officeDocument/2006/relationships/externalLink" Target="externalLinks/externalLink39.xml"/><Relationship Id="rId58" Type="http://schemas.openxmlformats.org/officeDocument/2006/relationships/externalLink" Target="externalLinks/externalLink44.xml"/><Relationship Id="rId66"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externalLink" Target="externalLinks/externalLink22.xml"/><Relationship Id="rId49" Type="http://schemas.openxmlformats.org/officeDocument/2006/relationships/externalLink" Target="externalLinks/externalLink35.xml"/><Relationship Id="rId57" Type="http://schemas.openxmlformats.org/officeDocument/2006/relationships/externalLink" Target="externalLinks/externalLink43.xml"/><Relationship Id="rId61" Type="http://schemas.openxmlformats.org/officeDocument/2006/relationships/externalLink" Target="externalLinks/externalLink47.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externalLink" Target="externalLinks/externalLink17.xml"/><Relationship Id="rId44" Type="http://schemas.openxmlformats.org/officeDocument/2006/relationships/externalLink" Target="externalLinks/externalLink30.xml"/><Relationship Id="rId52" Type="http://schemas.openxmlformats.org/officeDocument/2006/relationships/externalLink" Target="externalLinks/externalLink38.xml"/><Relationship Id="rId60" Type="http://schemas.openxmlformats.org/officeDocument/2006/relationships/externalLink" Target="externalLinks/externalLink46.xml"/><Relationship Id="rId65" Type="http://schemas.openxmlformats.org/officeDocument/2006/relationships/externalLink" Target="externalLinks/externalLink5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43" Type="http://schemas.openxmlformats.org/officeDocument/2006/relationships/externalLink" Target="externalLinks/externalLink29.xml"/><Relationship Id="rId48" Type="http://schemas.openxmlformats.org/officeDocument/2006/relationships/externalLink" Target="externalLinks/externalLink34.xml"/><Relationship Id="rId56" Type="http://schemas.openxmlformats.org/officeDocument/2006/relationships/externalLink" Target="externalLinks/externalLink42.xml"/><Relationship Id="rId64" Type="http://schemas.openxmlformats.org/officeDocument/2006/relationships/externalLink" Target="externalLinks/externalLink50.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37.xml"/><Relationship Id="rId72"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 Id="rId46" Type="http://schemas.openxmlformats.org/officeDocument/2006/relationships/externalLink" Target="externalLinks/externalLink32.xml"/><Relationship Id="rId59" Type="http://schemas.openxmlformats.org/officeDocument/2006/relationships/externalLink" Target="externalLinks/externalLink45.xml"/><Relationship Id="rId67" Type="http://schemas.openxmlformats.org/officeDocument/2006/relationships/styles" Target="styles.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54" Type="http://schemas.openxmlformats.org/officeDocument/2006/relationships/externalLink" Target="externalLinks/externalLink40.xml"/><Relationship Id="rId62" Type="http://schemas.openxmlformats.org/officeDocument/2006/relationships/externalLink" Target="externalLinks/externalLink48.xml"/><Relationship Id="rId70"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nextagecoil-my.sharepoint.com/WINDOWS/TEMP/ALISUB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NDOWS/TEMP/ALISUB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ltelvmeyfp09\data\KLF\OFER_E\AUDIT\NESS\06_01\ness%20tech\ran%2006_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OST_2\SYS\NESS\3_01\ATL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EXCEL\HAGIT\OPTIONS\QUTER\2005\F123R\KPM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DOWS/TEMP/rafiXL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nextagecoil-my.sharepoint.com/WINDOWS/TEMP/rafiX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K-K\VOL6\DATA\ZVIKA\LEVY\ALIS\1998\ALIS9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ILTELVMEYFP04\Data\EXCEL\HAGIT\OPTIONS\QUTER\2005\F123R\KPM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LTELVMEYFP14\Data\Audit\Akavia\Data\Clients\RedC\2004\Tax%202004\&#1504;&#1497;&#1497;&#1512;&#1493;&#1514;%20&#1506;&#1489;&#1493;&#1491;&#1492;\&#1502;&#1497;&#1499;&#1508;&#1500;_&#1492;&#1499;&#1504;&#1505;&#1493;&#1514;%20&#1494;&#1511;&#1493;&#1508;&#1493;&#151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nextagecoil-my.sharepoint.com/Clients/Foresight/Reports/2014/02.14/Foresight%20-Feb%2014-V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lients/Foresight/Reports/2014/02.14/Foresight%20-Feb%2014-V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Documents%20and%20Settings\KMedwards\Local%20Settings\Temporary%20Internet%20Files\OLK30C\New_Belgium_template_Oc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C\Documents%20and%20Settings\vgawade\Local%20Settings\Temporary%20Internet%20Files\OLK54\Standard%20Reporting%20Pack%20(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ltelvmeyfp09\data\NESS\3773\02\03.02\FS900212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ILTELVMEYFP09\data\Documents%20and%20Settings\avika\Desktop\30406\DILIGENT\ISRAEL\12-20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KOST_2\SYS\My%20Documents\DAVIDRAM\Shadow\revenue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nextagecoil-my.sharepoint.com/Clients/Wilocity/Reports/2009/09_09/Wilocity%20Report%2009_09%20V3.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lients/Wilocity/Reports/2009/09_09/Wilocity%20Report%2009_09%20V3.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yuliak\Downloads\Nifilecl\Users\arawool\Desktop\Audit%20Trai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WINDOWS\TEMP\notesE1EF34\TB\Wilocity%20Report%2012-07%20%20-E&amp;Y-%20PBC.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us.f1f.yahoofs.com/Seamus/Models/JE_Log.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My%20Documents\Misc\Journal%20Voucher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y%20Document/pkudo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nextagecoil-my.sharepoint.com/my%20Document/pkudo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nextagecoil-my.sharepoint.com/Data/Clients/Maxbill/TRAVEL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ata/Clients/Maxbill/TRAVEL99.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0.14\planning\HR\Options%20management%20fi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LTELVMEYFP04\Data\data\private\acc-curr\PAYE\2005\MasterTria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Users\stephenl\AppData\Local\Microsoft\Windows\Temporary%20Internet%20Files\Content.Outlook\ACI8KFOH\Budget%20for%2011-21%20Paul%20Street%20v5%20for%20Norton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P&amp;A/Internal/Templates/Light%20Budget/Nextage_Super_Light_Template_v14.xlsm"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ILTELVMEYFP04\Data\5723\M\2008\annual%20audit\FS\Kontera%20%20December%20%2008%20%20April%202%2009%20-%20&#1492;&#1512;&#1499;&#1489;&#149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NORTON%20FILES\Client%20Files\SumoLogic%20UK\ACCOUNTS\2014-15\201415%20January\Management%20Accounts%20201501%20January.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NORTON%20FILES\Client%20Files\ZVC%20UK%20Ltd\ACCOUNTS\2018\2018%2004\ZVC%20UK%20Ltd%20-%20Financials%20-%20April%202018-%20Final%20v2.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NORTON%20FILES\Client%20Files\If%20you%20Can\ACCOUNTS\2014\Management%20Accounts%20201406%20Jun%202014.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Draft%20Management%20Accounts%20Packv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92.168.0.14\planning\HR\Dune%20budget%202007%20-%202008%20Q4%20V10%20-%20Sep%2007%20BOD%20approved.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My%20Documents\&#1513;&#1512;&#1493;&#1514;&#1497;%20&#1502;&#1497;&#1491;&#1506;\2001\Tax%20Proforma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ocuments%20and%20Settings/ofer/Local%20Settings/Temporary%20Internet%20Files/OLK2/&#1491;&#1493;&#1495;%20&#1502;&#1505;%2012.0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nextagecoil-my.sharepoint.com/Documents%20and%20Settings/ofer/Local%20Settings/Temporary%20Internet%20Files/OLK2/&#1491;&#1493;&#1495;%20&#1502;&#1505;%201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KLF\YORAM_T\4823\Q2\P&amp;L06.02%20V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K:\DATA\LEVY\047522\1999\AUDIT\ALIS99RT.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A:\KLF\DORON_S\2225\G\6_98\TASHKIF_\TASH_697.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KLF\OFER_S\4646\2001\12_01\nsc%20120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nextagecoil-my.sharepoint.com/My%20Documents/&#1506;&#1493;&#1512;&#1511;%20&#1513;&#1512;&#1493;&#1514;&#1497;%20&#1502;&#1497;&#1491;&#1506;/1200/&#1489;&#1497;&#1511;&#1493;&#1512;&#1514;%20&#1502;&#1488;&#1493;&#1495;&#1491;%20200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My%20Documents/&#1506;&#1493;&#1512;&#1511;%20&#1513;&#1512;&#1493;&#1514;&#1497;%20&#1502;&#1497;&#1491;&#1506;/1200/&#1489;&#1497;&#1511;&#1493;&#1512;&#1514;%20&#1502;&#1488;&#1493;&#1495;&#1491;%20200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sbserver\Users\KLF\YORAM_T\3933\2001\Audit%202001\Tax\HARKAVA.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LTELVMEYFP09\data\Documents%20and%20Settings\sagit_halpern\Desktop\&#1504;&#1497;&#1497;&#1512;&#1493;&#1514;%20&#1506;&#1489;&#1493;&#1491;&#1492;%20&#1500;&#1491;&#1493;&#1490;&#1502;&#1488;.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Iltelvmeyfp09\data\WINDOWS\TEMP\NesTECHISR120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Clients/Buildots/Managerial%20Reports/2020/06.20/LTD/&#1502;&#1488;&#1494;&#1503;%20&#1489;&#1493;&#1495;&#1503;%20&#1513;&#1511;&#1500;&#1497;&#1501;%20&#1493;&#1491;&#1493;&#1500;&#1512;&#1497;&#1501;%206.20%20%20-%20&#1489;&#1491;&#1497;&#1511;&#1492;%20&#1488;&#1505;&#1507;.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Clients/Stoke/Audit/2019/Tax/Stoke%20Talent%20Tax%20Report%20for%20audit%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ער&quot;ז"/>
      <sheetName val="עידן 1099"/>
      <sheetName val="ערוצי זהב 1099"/>
      <sheetName val="ערוצי אדום 1099"/>
      <sheetName val="טורים 98"/>
      <sheetName val="מדריכי פנאי"/>
      <sheetName val="netcom "/>
    </sheetNames>
    <sheetDataSet>
      <sheetData sheetId="0" refreshError="1"/>
      <sheetData sheetId="1" refreshError="1"/>
      <sheetData sheetId="2" refreshError="1"/>
      <sheetData sheetId="3" refreshError="1"/>
      <sheetData sheetId="4" refreshError="1">
        <row r="1">
          <cell r="A1">
            <v>1998</v>
          </cell>
          <cell r="B1">
            <v>4.16</v>
          </cell>
          <cell r="G1" t="str">
            <v>עורק שמ"מ</v>
          </cell>
          <cell r="Q1" t="str">
            <v>דוחות מאוחדים</v>
          </cell>
          <cell r="AF1">
            <v>36160</v>
          </cell>
          <cell r="AZ1">
            <v>0</v>
          </cell>
          <cell r="BE1" t="str">
            <v>;</v>
          </cell>
          <cell r="BG1" t="str">
            <v>CONSOLIDATED STATEMENTS</v>
          </cell>
          <cell r="BS1" t="str">
            <v xml:space="preserve"> AS AT </v>
          </cell>
          <cell r="BU1">
            <v>36160</v>
          </cell>
          <cell r="CX1">
            <v>36160</v>
          </cell>
          <cell r="FG1" t="str">
            <v>מד"פ</v>
          </cell>
          <cell r="FH1" t="str">
            <v>נטקום</v>
          </cell>
          <cell r="FI1" t="str">
            <v>ער"ז</v>
          </cell>
          <cell r="FJ1" t="str">
            <v>עידן</v>
          </cell>
          <cell r="FK1" t="str">
            <v>עידן</v>
          </cell>
          <cell r="FL1" t="str">
            <v>ע.אדום</v>
          </cell>
          <cell r="FM1" t="str">
            <v>פקודת  איחוד</v>
          </cell>
          <cell r="FN1" t="str">
            <v>ער"ז</v>
          </cell>
          <cell r="FO1" t="str">
            <v>דרה"ש</v>
          </cell>
          <cell r="FP1" t="str">
            <v>ט.ל.מ.</v>
          </cell>
          <cell r="FQ1" t="str">
            <v>פקודת איחוד</v>
          </cell>
          <cell r="FR1" t="str">
            <v>דר"ש</v>
          </cell>
          <cell r="FS1" t="str">
            <v>מ. ער"ז</v>
          </cell>
          <cell r="FT1" t="str">
            <v>TOTAL</v>
          </cell>
          <cell r="FU1" t="str">
            <v>פקודות</v>
          </cell>
          <cell r="FV1" t="str">
            <v>TOTAL</v>
          </cell>
          <cell r="GG1" t="str">
            <v>TOTAL</v>
          </cell>
        </row>
        <row r="2">
          <cell r="A2">
            <v>36160</v>
          </cell>
          <cell r="B2">
            <v>3.536</v>
          </cell>
          <cell r="C2">
            <v>153.1</v>
          </cell>
          <cell r="AX2" t="str">
            <v>$</v>
          </cell>
          <cell r="FC2" t="str">
            <v>"31/12/98</v>
          </cell>
          <cell r="FG2" t="str">
            <v>"31/12/98</v>
          </cell>
          <cell r="FH2" t="str">
            <v>"31/12/98</v>
          </cell>
          <cell r="FI2" t="str">
            <v>"31/12/98</v>
          </cell>
          <cell r="FJ2" t="str">
            <v>כניסה לאיחוד</v>
          </cell>
          <cell r="FK2">
            <v>0.5</v>
          </cell>
          <cell r="FL2" t="str">
            <v>"31/12/98</v>
          </cell>
          <cell r="FN2" t="str">
            <v>מאוחד</v>
          </cell>
          <cell r="FO2" t="str">
            <v>"31/12/98</v>
          </cell>
          <cell r="FP2" t="str">
            <v>"31/12/98</v>
          </cell>
          <cell r="FR2" t="str">
            <v>מאוחד</v>
          </cell>
          <cell r="FS2" t="str">
            <v>"31/12/98</v>
          </cell>
          <cell r="FT2" t="str">
            <v>"31/12/98</v>
          </cell>
          <cell r="FU2" t="str">
            <v>נוספות</v>
          </cell>
          <cell r="FV2" t="str">
            <v>"31/12/98</v>
          </cell>
          <cell r="FW2" t="str">
            <v>שע"מ 1998</v>
          </cell>
          <cell r="FX2" t="str">
            <v>ער"ז מאוחד</v>
          </cell>
          <cell r="FY2" t="str">
            <v>דרום השרון מאוחד</v>
          </cell>
          <cell r="FZ2" t="str">
            <v>הוספת פקודות של ביטול מחזורים</v>
          </cell>
          <cell r="GA2" t="str">
            <v xml:space="preserve">ער"ז+דרהמ"ש בניטרול עסקאות עם </v>
          </cell>
          <cell r="GB2" t="str">
            <v xml:space="preserve">ער"ז+דרהמ"ש בניטרול עסקאות עם </v>
          </cell>
          <cell r="GC2" t="str">
            <v xml:space="preserve">עורק מאוחד בניטרול ער"ז </v>
          </cell>
          <cell r="GD2" t="str">
            <v xml:space="preserve">עורק מאוחד בניטרול ער"ז </v>
          </cell>
          <cell r="GE2" t="str">
            <v xml:space="preserve">עורק מאוחד בניטרול ער"ז </v>
          </cell>
          <cell r="GG2" t="str">
            <v>31/12/97</v>
          </cell>
          <cell r="GS2" t="str">
            <v>{EDIT}*a:Gx44/a:Gy44~{DOWN}</v>
          </cell>
        </row>
        <row r="3">
          <cell r="B3" t="str">
            <v xml:space="preserve">    =1$</v>
          </cell>
          <cell r="C3" t="str">
            <v>מדד</v>
          </cell>
          <cell r="G3" t="str">
            <v>עורק שמ"מ</v>
          </cell>
          <cell r="S3" t="str">
            <v>ערוצי זהב</v>
          </cell>
          <cell r="AB3" t="str">
            <v>ערוצי זהב - מאוחד</v>
          </cell>
          <cell r="AF3" t="str">
            <v>דרום השרון</v>
          </cell>
          <cell r="AJ3" t="str">
            <v>דרה"ש</v>
          </cell>
          <cell r="AL3" t="str">
            <v>ט.ל.מ.</v>
          </cell>
          <cell r="AP3" t="str">
            <v>דרה"ש - מאוחד</v>
          </cell>
          <cell r="AR3" t="str">
            <v>מרכז ער"ז</v>
          </cell>
          <cell r="AX3" t="str">
            <v>עורק שמ"מ - מאוחד</v>
          </cell>
          <cell r="BG3" t="str">
            <v>A.C.T.V.</v>
          </cell>
          <cell r="BS3" t="str">
            <v>G.C.&amp; CO.</v>
          </cell>
          <cell r="BZ3" t="str">
            <v>G.C.&amp; CO. CONSOLIDATED</v>
          </cell>
          <cell r="CF3" t="str">
            <v>SOUTH SHARON COMM.</v>
          </cell>
          <cell r="CL3" t="str">
            <v>T.L.M</v>
          </cell>
          <cell r="CN3" t="str">
            <v>S.S.C.-CONSOLIDATED</v>
          </cell>
          <cell r="CR3" t="str">
            <v>MERCAZ</v>
          </cell>
          <cell r="CV3" t="str">
            <v xml:space="preserve">CONSOLIDATED </v>
          </cell>
          <cell r="FC3" t="str">
            <v>שמ"מ חברה</v>
          </cell>
          <cell r="FD3" t="str">
            <v>שמ"מ</v>
          </cell>
          <cell r="FE3" t="str">
            <v>פקודות נוספות</v>
          </cell>
          <cell r="FF3" t="str">
            <v>TOTAL</v>
          </cell>
          <cell r="FG3" t="str">
            <v>מד"פ</v>
          </cell>
          <cell r="FH3" t="str">
            <v>נטקום</v>
          </cell>
          <cell r="FI3" t="str">
            <v>ער"ז</v>
          </cell>
          <cell r="FL3" t="str">
            <v>ע.אדום</v>
          </cell>
          <cell r="FO3" t="str">
            <v>דרה"ש</v>
          </cell>
          <cell r="FP3" t="str">
            <v>ט.ל.מ.</v>
          </cell>
          <cell r="FS3" t="str">
            <v>מ. ער"ז</v>
          </cell>
          <cell r="FT3" t="str">
            <v>שממ - מאוחד</v>
          </cell>
          <cell r="FX3" t="str">
            <v>מותאם למדד 12/98</v>
          </cell>
          <cell r="FY3" t="str">
            <v>מותאם למדד 12/98</v>
          </cell>
          <cell r="FZ3" t="str">
            <v>בין דרום השרון ער"ז לשאר הקבוצה</v>
          </cell>
          <cell r="GA3" t="str">
            <v>שאר הקבוצה</v>
          </cell>
          <cell r="GB3" t="str">
            <v>ש"ח 12/99</v>
          </cell>
          <cell r="GD3" t="str">
            <v>ודרום השרון</v>
          </cell>
          <cell r="GE3" t="str">
            <v>ודרום השרון</v>
          </cell>
          <cell r="GG3" t="str">
            <v>שממ מאוחד</v>
          </cell>
        </row>
        <row r="4">
          <cell r="C4" t="str">
            <v>U.S dollar</v>
          </cell>
          <cell r="BB4" t="str">
            <v>Nominal NIS</v>
          </cell>
          <cell r="CX4" t="str">
            <v>Nominal NIS</v>
          </cell>
          <cell r="FC4" t="str">
            <v>Adjusted NIS</v>
          </cell>
          <cell r="GD4" t="str">
            <v>ש"ח 12/99</v>
          </cell>
        </row>
        <row r="5">
          <cell r="A5" t="str">
            <v>בדיקת איזון</v>
          </cell>
          <cell r="C5">
            <v>-654.16539999999804</v>
          </cell>
          <cell r="E5">
            <v>6.2999999998282874E-2</v>
          </cell>
          <cell r="G5">
            <v>655.80807821267035</v>
          </cell>
          <cell r="I5">
            <v>1.7056782126746839</v>
          </cell>
          <cell r="M5">
            <v>-2.1664038461537132</v>
          </cell>
          <cell r="O5">
            <v>-0.5</v>
          </cell>
          <cell r="Q5">
            <v>0.28200000003562309</v>
          </cell>
          <cell r="S5">
            <v>0</v>
          </cell>
          <cell r="U5">
            <v>0.28200000000651926</v>
          </cell>
          <cell r="W5">
            <v>-1.25</v>
          </cell>
          <cell r="X5">
            <v>0</v>
          </cell>
          <cell r="Z5">
            <v>2.5950000000002547</v>
          </cell>
          <cell r="AB5">
            <v>-0.64581538461561649</v>
          </cell>
          <cell r="AD5">
            <v>-0.19281538468203507</v>
          </cell>
          <cell r="AF5">
            <v>9.9999999656574801E-4</v>
          </cell>
          <cell r="AH5">
            <v>0</v>
          </cell>
          <cell r="AJ5">
            <v>9.9999999656574801E-4</v>
          </cell>
          <cell r="AL5">
            <v>-0.21899999999732245</v>
          </cell>
          <cell r="AN5">
            <v>0.9180000000014843</v>
          </cell>
          <cell r="AP5">
            <v>0.70000000000436557</v>
          </cell>
          <cell r="AR5">
            <v>1.1666515837059706</v>
          </cell>
          <cell r="AT5">
            <v>0.55073075788095593</v>
          </cell>
          <cell r="AV5">
            <v>-1.8870480769110145</v>
          </cell>
          <cell r="AX5">
            <v>-1.336317318957299</v>
          </cell>
          <cell r="AZ5" t="str">
            <v>ACTIV</v>
          </cell>
          <cell r="BC5">
            <v>-0.67198000004282221</v>
          </cell>
          <cell r="BE5">
            <v>0.67900000000372529</v>
          </cell>
          <cell r="BG5">
            <v>0</v>
          </cell>
          <cell r="BI5">
            <v>7.0200000773184001E-3</v>
          </cell>
          <cell r="BM5">
            <v>-4.9999999964711606E-4</v>
          </cell>
          <cell r="BO5">
            <v>0.22499999999854481</v>
          </cell>
          <cell r="BQ5">
            <v>-8.999999996740371E-2</v>
          </cell>
          <cell r="BS5">
            <v>0</v>
          </cell>
          <cell r="BU5">
            <v>-8.999999996740371E-2</v>
          </cell>
          <cell r="BW5">
            <v>-0.28299999999580905</v>
          </cell>
          <cell r="BX5">
            <v>0</v>
          </cell>
          <cell r="BZ5">
            <v>-7.8000000003157766E-2</v>
          </cell>
          <cell r="CB5">
            <v>-0.78099999999994907</v>
          </cell>
          <cell r="CD5">
            <v>-1.2319999999599531</v>
          </cell>
          <cell r="CF5">
            <v>-0.5</v>
          </cell>
          <cell r="CH5">
            <v>0</v>
          </cell>
          <cell r="CJ5">
            <v>-0.50000000000090949</v>
          </cell>
          <cell r="CL5">
            <v>-1.1000000000058208</v>
          </cell>
          <cell r="CN5">
            <v>-0.79200000000128057</v>
          </cell>
          <cell r="CP5">
            <v>-2.3919999999925494</v>
          </cell>
          <cell r="CR5">
            <v>-0.30799999998998828</v>
          </cell>
          <cell r="CT5">
            <v>-3.4974800001364201</v>
          </cell>
          <cell r="CV5">
            <v>0.38790000014705583</v>
          </cell>
          <cell r="CX5">
            <v>-3.1095799999311566</v>
          </cell>
          <cell r="FC5">
            <v>-0.10369562375126407</v>
          </cell>
          <cell r="FD5">
            <v>-0.22047200000088196</v>
          </cell>
          <cell r="FE5">
            <v>1.2446000000054482</v>
          </cell>
          <cell r="FF5">
            <v>0.92043237620964646</v>
          </cell>
          <cell r="FG5">
            <v>-1.5000000005329639E-3</v>
          </cell>
          <cell r="FH5">
            <v>0</v>
          </cell>
          <cell r="FI5">
            <v>-0.23599999980069697</v>
          </cell>
          <cell r="FJ5">
            <v>-0.28299999999580905</v>
          </cell>
          <cell r="FK5">
            <v>0</v>
          </cell>
          <cell r="FL5">
            <v>0.12900000000081491</v>
          </cell>
          <cell r="FM5">
            <v>0.31099999999969441</v>
          </cell>
          <cell r="FN5">
            <v>-7.9000000027008355E-2</v>
          </cell>
          <cell r="FO5">
            <v>0</v>
          </cell>
          <cell r="FP5">
            <v>-0.45207184844184667</v>
          </cell>
          <cell r="FQ5">
            <v>-0.3090000000083819</v>
          </cell>
          <cell r="FR5">
            <v>-0.76107184845022857</v>
          </cell>
          <cell r="FS5">
            <v>-0.11200000000826549</v>
          </cell>
          <cell r="FT5">
            <v>-3.3139471663162112E-2</v>
          </cell>
          <cell r="FU5">
            <v>-3.4795708599267527</v>
          </cell>
          <cell r="FV5">
            <v>-4.1310970068443567</v>
          </cell>
          <cell r="FX5">
            <v>-7.9000000027008355E-2</v>
          </cell>
          <cell r="FY5">
            <v>-0.76107184845022857</v>
          </cell>
          <cell r="FZ5">
            <v>-4.6048449999507284</v>
          </cell>
          <cell r="GA5">
            <v>-5.4449168485589325</v>
          </cell>
          <cell r="GB5">
            <v>-5.5179304655175656</v>
          </cell>
          <cell r="GC5">
            <v>-4.1310970068443567</v>
          </cell>
          <cell r="GD5">
            <v>-4.1864929564762861</v>
          </cell>
          <cell r="GE5">
            <v>-56728.977280158928</v>
          </cell>
          <cell r="GG5">
            <v>7.5622143634827808</v>
          </cell>
        </row>
        <row r="6">
          <cell r="A6" t="str">
            <v>ACTIV</v>
          </cell>
          <cell r="C6" t="str">
            <v>שממ</v>
          </cell>
          <cell r="E6" t="str">
            <v>שממ</v>
          </cell>
          <cell r="G6" t="str">
            <v>פ. נוספות</v>
          </cell>
          <cell r="I6" t="str">
            <v>TOTAL</v>
          </cell>
          <cell r="K6" t="str">
            <v>טלפאואר</v>
          </cell>
          <cell r="M6" t="str">
            <v>מד"פ</v>
          </cell>
          <cell r="O6" t="str">
            <v>נטקום</v>
          </cell>
          <cell r="Q6" t="str">
            <v>ער"ז</v>
          </cell>
          <cell r="S6" t="str">
            <v>פ. נוספות</v>
          </cell>
          <cell r="U6" t="str">
            <v>TOTAL</v>
          </cell>
          <cell r="W6" t="str">
            <v>עידן</v>
          </cell>
          <cell r="X6" t="str">
            <v>עידן</v>
          </cell>
          <cell r="Z6" t="str">
            <v>ע. אדום</v>
          </cell>
          <cell r="AB6" t="str">
            <v>פ.נוספות</v>
          </cell>
          <cell r="AD6" t="str">
            <v>TOTAL</v>
          </cell>
          <cell r="AF6" t="str">
            <v>דרה"ש</v>
          </cell>
          <cell r="AH6" t="str">
            <v>פ. נוספות</v>
          </cell>
          <cell r="AJ6" t="str">
            <v>TOTAL</v>
          </cell>
          <cell r="AL6" t="str">
            <v>ט.ל.מ.</v>
          </cell>
          <cell r="AN6" t="str">
            <v>פ. נוספות</v>
          </cell>
          <cell r="AP6" t="str">
            <v>TOTAL</v>
          </cell>
          <cell r="AR6" t="str">
            <v>מרכז ער"ז</v>
          </cell>
          <cell r="AT6" t="str">
            <v>TOTAL</v>
          </cell>
          <cell r="AV6" t="str">
            <v>פ. נוספות</v>
          </cell>
          <cell r="AX6" t="str">
            <v>TOTAL</v>
          </cell>
          <cell r="AZ6">
            <v>36661.599855671295</v>
          </cell>
          <cell r="BC6" t="str">
            <v>A.C.T.V.</v>
          </cell>
          <cell r="BE6" t="str">
            <v>A.L.I.S</v>
          </cell>
          <cell r="BG6" t="str">
            <v>J.ENTRIES</v>
          </cell>
          <cell r="BI6" t="str">
            <v>TOTAL</v>
          </cell>
          <cell r="BK6" t="str">
            <v>T.POWER</v>
          </cell>
          <cell r="BM6" t="str">
            <v>Madrichei Pnai</v>
          </cell>
          <cell r="BO6" t="str">
            <v>Netcom</v>
          </cell>
          <cell r="BQ6" t="str">
            <v>G.C.&amp; CO.</v>
          </cell>
          <cell r="BS6" t="str">
            <v>J.ENTRIES</v>
          </cell>
          <cell r="BU6" t="str">
            <v>TOTAL</v>
          </cell>
          <cell r="BW6" t="str">
            <v>IDAN</v>
          </cell>
          <cell r="BX6" t="str">
            <v>עידן %50</v>
          </cell>
          <cell r="BZ6" t="str">
            <v>EDOM</v>
          </cell>
          <cell r="CB6" t="str">
            <v>J.ENTRIES</v>
          </cell>
          <cell r="CD6" t="str">
            <v>Total</v>
          </cell>
          <cell r="CF6" t="str">
            <v>S.S.C.</v>
          </cell>
          <cell r="CH6" t="str">
            <v>J.ENTRIES</v>
          </cell>
          <cell r="CJ6" t="str">
            <v>TOTAL</v>
          </cell>
          <cell r="CL6" t="str">
            <v>T.L.M</v>
          </cell>
          <cell r="CN6" t="str">
            <v>J.ENTRIES</v>
          </cell>
          <cell r="CP6" t="str">
            <v>TOTAL</v>
          </cell>
          <cell r="CR6" t="str">
            <v>MERCAZ</v>
          </cell>
          <cell r="CT6" t="str">
            <v>TOTAL</v>
          </cell>
          <cell r="CV6" t="str">
            <v>J.ENTRIES</v>
          </cell>
          <cell r="CX6" t="str">
            <v>TOTAL</v>
          </cell>
          <cell r="FW6" t="str">
            <v>ACTIVE</v>
          </cell>
          <cell r="GT6" t="str">
            <v>{edit}*A:hX90/A:hY96~{down}</v>
          </cell>
        </row>
        <row r="7">
          <cell r="FX7">
            <v>0</v>
          </cell>
          <cell r="FY7">
            <v>0</v>
          </cell>
        </row>
        <row r="8">
          <cell r="FX8">
            <v>0</v>
          </cell>
          <cell r="FY8">
            <v>0</v>
          </cell>
        </row>
        <row r="9">
          <cell r="FX9">
            <v>0</v>
          </cell>
          <cell r="FY9">
            <v>0</v>
          </cell>
        </row>
        <row r="10">
          <cell r="FX10">
            <v>0</v>
          </cell>
          <cell r="FY10">
            <v>0</v>
          </cell>
        </row>
        <row r="11">
          <cell r="FX11">
            <v>0</v>
          </cell>
          <cell r="FY11">
            <v>0</v>
          </cell>
        </row>
        <row r="12">
          <cell r="A12" t="str">
            <v>FIXED ASSETS</v>
          </cell>
          <cell r="E12">
            <v>0.15899999999996339</v>
          </cell>
          <cell r="M12">
            <v>1.8028846153844924E-2</v>
          </cell>
          <cell r="O12">
            <v>0</v>
          </cell>
          <cell r="U12">
            <v>-0.96399999999266583</v>
          </cell>
          <cell r="Z12">
            <v>-7.5000000000272848E-2</v>
          </cell>
          <cell r="AB12" t="str">
            <v xml:space="preserve"> </v>
          </cell>
          <cell r="AL12">
            <v>-0.21699999998963904</v>
          </cell>
          <cell r="AP12">
            <v>-0.21699999998963904</v>
          </cell>
          <cell r="AR12">
            <v>0</v>
          </cell>
          <cell r="AX12">
            <v>444.32902884625946</v>
          </cell>
          <cell r="AZ12" t="str">
            <v>FIXED ASSETS</v>
          </cell>
          <cell r="BE12">
            <v>0</v>
          </cell>
          <cell r="BG12">
            <v>0</v>
          </cell>
          <cell r="BM12">
            <v>53.964500000000001</v>
          </cell>
          <cell r="BO12">
            <v>0</v>
          </cell>
          <cell r="BQ12">
            <v>-5750.8410000000149</v>
          </cell>
          <cell r="BU12">
            <v>-5750.8410000000149</v>
          </cell>
          <cell r="BZ12">
            <v>-495.48500000000058</v>
          </cell>
          <cell r="CB12">
            <v>-7.8000000003157766E-2</v>
          </cell>
          <cell r="CL12">
            <v>-15947</v>
          </cell>
          <cell r="CR12">
            <v>2998.4870000000083</v>
          </cell>
          <cell r="FG12">
            <v>-1140.7650000000001</v>
          </cell>
          <cell r="FP12">
            <v>-0.1463096016086638</v>
          </cell>
          <cell r="FV12">
            <v>0.24459787225350738</v>
          </cell>
          <cell r="FW12" t="str">
            <v>FIXED ASSETS</v>
          </cell>
          <cell r="FX12">
            <v>0</v>
          </cell>
          <cell r="FY12">
            <v>0</v>
          </cell>
          <cell r="GA12">
            <v>0</v>
          </cell>
        </row>
        <row r="13">
          <cell r="A13" t="str">
            <v>total-cost</v>
          </cell>
          <cell r="I13">
            <v>0</v>
          </cell>
          <cell r="M13">
            <v>17.48497596153846</v>
          </cell>
          <cell r="O13">
            <v>1144</v>
          </cell>
          <cell r="Q13">
            <v>112483.67600000001</v>
          </cell>
          <cell r="U13">
            <v>112483.67600000001</v>
          </cell>
          <cell r="W13">
            <v>41905.5</v>
          </cell>
          <cell r="X13">
            <v>41905.5</v>
          </cell>
          <cell r="Z13">
            <v>1896.7860000000001</v>
          </cell>
          <cell r="AB13">
            <v>1377.838</v>
          </cell>
          <cell r="AD13">
            <v>199569.3</v>
          </cell>
          <cell r="AL13">
            <v>86659</v>
          </cell>
          <cell r="AN13">
            <v>0</v>
          </cell>
          <cell r="AP13">
            <v>86659</v>
          </cell>
          <cell r="AR13">
            <v>21867.181</v>
          </cell>
          <cell r="AT13">
            <v>309256.96597596159</v>
          </cell>
          <cell r="AV13">
            <v>0</v>
          </cell>
          <cell r="AX13">
            <v>309256.96597596159</v>
          </cell>
          <cell r="AY13">
            <v>0</v>
          </cell>
          <cell r="AZ13" t="str">
            <v>total-cost</v>
          </cell>
          <cell r="BC13">
            <v>0</v>
          </cell>
          <cell r="BE13">
            <v>0</v>
          </cell>
          <cell r="BG13">
            <v>0</v>
          </cell>
          <cell r="BI13">
            <v>0</v>
          </cell>
          <cell r="BM13">
            <v>69.030500000000004</v>
          </cell>
          <cell r="BO13">
            <v>3768.5</v>
          </cell>
          <cell r="BQ13">
            <v>326524.80499999999</v>
          </cell>
          <cell r="BU13">
            <v>326524.80499999999</v>
          </cell>
          <cell r="BW13">
            <v>117928.5</v>
          </cell>
          <cell r="BX13">
            <v>117928.5</v>
          </cell>
          <cell r="BZ13">
            <v>6038.6689999999999</v>
          </cell>
          <cell r="CD13">
            <v>568420.47399999993</v>
          </cell>
          <cell r="CH13">
            <v>0</v>
          </cell>
          <cell r="CJ13">
            <v>0</v>
          </cell>
          <cell r="CL13">
            <v>254841</v>
          </cell>
          <cell r="CN13">
            <v>0</v>
          </cell>
          <cell r="CP13">
            <v>254841</v>
          </cell>
          <cell r="CR13">
            <v>76213.039000000004</v>
          </cell>
          <cell r="CT13">
            <v>903312.04349999991</v>
          </cell>
          <cell r="CV13">
            <v>0</v>
          </cell>
          <cell r="CX13">
            <v>903312.04349999991</v>
          </cell>
          <cell r="FF13">
            <v>0</v>
          </cell>
          <cell r="FG13">
            <v>72.737499999999997</v>
          </cell>
          <cell r="FH13">
            <v>4569</v>
          </cell>
          <cell r="FI13">
            <v>492225.87800000003</v>
          </cell>
          <cell r="FJ13">
            <v>184884.5</v>
          </cell>
          <cell r="FK13">
            <v>184884.5</v>
          </cell>
          <cell r="FL13">
            <v>7273.2939999999999</v>
          </cell>
          <cell r="FN13">
            <v>869268.17200000002</v>
          </cell>
          <cell r="FO13">
            <v>0</v>
          </cell>
          <cell r="FP13">
            <v>372163.45852384064</v>
          </cell>
          <cell r="FQ13">
            <v>0</v>
          </cell>
          <cell r="FR13">
            <v>372163.45852384064</v>
          </cell>
          <cell r="FS13">
            <v>83754.096999999994</v>
          </cell>
          <cell r="FT13">
            <v>1329827.4650238408</v>
          </cell>
          <cell r="FU13">
            <v>0</v>
          </cell>
          <cell r="FV13">
            <v>1329827.4650238408</v>
          </cell>
          <cell r="FW13" t="str">
            <v>total-cost</v>
          </cell>
          <cell r="FX13">
            <v>869268.17200000002</v>
          </cell>
          <cell r="FY13">
            <v>372163.45852384064</v>
          </cell>
          <cell r="GA13">
            <v>1241431.6305238407</v>
          </cell>
          <cell r="GB13">
            <v>1258078.6090931019</v>
          </cell>
          <cell r="GC13">
            <v>1329827.4650238408</v>
          </cell>
          <cell r="GD13">
            <v>1347659.7876155614</v>
          </cell>
          <cell r="GE13">
            <v>88395.834500000114</v>
          </cell>
          <cell r="GF13">
            <v>4.3000727916576915</v>
          </cell>
          <cell r="GG13">
            <v>834613</v>
          </cell>
          <cell r="GH13">
            <v>-834613</v>
          </cell>
          <cell r="GT13" t="str">
            <v>{MENUBRANCH main}</v>
          </cell>
        </row>
        <row r="14">
          <cell r="A14" t="str">
            <v>Depreciation</v>
          </cell>
          <cell r="G14">
            <v>0</v>
          </cell>
          <cell r="I14">
            <v>0</v>
          </cell>
          <cell r="M14">
            <v>-3.9669471153846154</v>
          </cell>
          <cell r="O14">
            <v>-428</v>
          </cell>
          <cell r="Q14">
            <v>-54907.004000000001</v>
          </cell>
          <cell r="U14">
            <v>-54907.004000000001</v>
          </cell>
          <cell r="W14">
            <v>-20771.5</v>
          </cell>
          <cell r="X14">
            <v>-20771.5</v>
          </cell>
          <cell r="Z14">
            <v>-546.55600000000004</v>
          </cell>
          <cell r="AB14">
            <v>-80.430000000000007</v>
          </cell>
          <cell r="AD14">
            <v>-97076.99</v>
          </cell>
          <cell r="AL14">
            <v>-35176</v>
          </cell>
          <cell r="AN14">
            <v>0</v>
          </cell>
          <cell r="AP14">
            <v>-35176</v>
          </cell>
          <cell r="AR14">
            <v>-1266.8440000000001</v>
          </cell>
          <cell r="AT14">
            <v>-133951.80094711535</v>
          </cell>
          <cell r="AV14">
            <v>0</v>
          </cell>
          <cell r="AX14">
            <v>-133951.80094711535</v>
          </cell>
          <cell r="AY14">
            <v>0</v>
          </cell>
          <cell r="AZ14" t="str">
            <v>Depreciation</v>
          </cell>
          <cell r="BC14">
            <v>0</v>
          </cell>
          <cell r="BE14">
            <v>0</v>
          </cell>
          <cell r="BG14">
            <v>0</v>
          </cell>
          <cell r="BI14">
            <v>0</v>
          </cell>
          <cell r="BM14">
            <v>-15.066000000000001</v>
          </cell>
          <cell r="BO14">
            <v>-1337.5</v>
          </cell>
          <cell r="BQ14">
            <v>-137589.96799999999</v>
          </cell>
          <cell r="BU14">
            <v>-137589.96799999999</v>
          </cell>
          <cell r="BW14">
            <v>-53533</v>
          </cell>
          <cell r="BX14">
            <v>-53533</v>
          </cell>
          <cell r="BZ14">
            <v>-1706.154</v>
          </cell>
          <cell r="CB14">
            <v>0</v>
          </cell>
          <cell r="CD14">
            <v>-246362.122</v>
          </cell>
          <cell r="CH14">
            <v>0</v>
          </cell>
          <cell r="CJ14">
            <v>0</v>
          </cell>
          <cell r="CL14">
            <v>-97795</v>
          </cell>
          <cell r="CN14">
            <v>0</v>
          </cell>
          <cell r="CP14">
            <v>-97795</v>
          </cell>
          <cell r="CR14">
            <v>-4389.5519999999997</v>
          </cell>
          <cell r="CT14">
            <v>-349899.24</v>
          </cell>
          <cell r="CV14">
            <v>0</v>
          </cell>
          <cell r="CX14">
            <v>-349899.24</v>
          </cell>
          <cell r="DU14">
            <v>-17553</v>
          </cell>
          <cell r="FC14">
            <v>0</v>
          </cell>
          <cell r="FE14">
            <v>0</v>
          </cell>
          <cell r="FF14">
            <v>0</v>
          </cell>
          <cell r="FG14">
            <v>-16.502500000000001</v>
          </cell>
          <cell r="FH14">
            <v>-1762</v>
          </cell>
          <cell r="FI14">
            <v>-252037.40599999999</v>
          </cell>
          <cell r="FJ14">
            <v>-95140.5</v>
          </cell>
          <cell r="FK14">
            <v>-95140.5</v>
          </cell>
          <cell r="FL14">
            <v>-2079.0160000000001</v>
          </cell>
          <cell r="FM14">
            <v>0</v>
          </cell>
          <cell r="FN14">
            <v>-444397.42199999996</v>
          </cell>
          <cell r="FO14">
            <v>0</v>
          </cell>
          <cell r="FP14">
            <v>-155845</v>
          </cell>
          <cell r="FQ14">
            <v>0</v>
          </cell>
          <cell r="FR14">
            <v>-155845</v>
          </cell>
          <cell r="FS14">
            <v>-4815.6570000000002</v>
          </cell>
          <cell r="FT14">
            <v>-606836.58149999997</v>
          </cell>
          <cell r="FU14">
            <v>0</v>
          </cell>
          <cell r="FV14">
            <v>-606836.58149999997</v>
          </cell>
          <cell r="FW14" t="str">
            <v>Depreciation</v>
          </cell>
          <cell r="FX14">
            <v>-444397.42199999996</v>
          </cell>
          <cell r="FY14">
            <v>-155845</v>
          </cell>
          <cell r="GA14">
            <v>-600242.42200000002</v>
          </cell>
          <cell r="GB14">
            <v>-608291.37329921825</v>
          </cell>
          <cell r="GC14">
            <v>-606836.58149999997</v>
          </cell>
          <cell r="GD14">
            <v>-614973.95718698134</v>
          </cell>
          <cell r="GE14">
            <v>-6594.1594999999506</v>
          </cell>
          <cell r="GF14">
            <v>4.5302607147445615</v>
          </cell>
          <cell r="GG14">
            <v>-319946.32149902027</v>
          </cell>
          <cell r="GH14">
            <v>0</v>
          </cell>
        </row>
        <row r="15">
          <cell r="A15" t="str">
            <v>Total Fix.Assets</v>
          </cell>
          <cell r="C15">
            <v>0</v>
          </cell>
          <cell r="E15">
            <v>0</v>
          </cell>
          <cell r="G15">
            <v>0</v>
          </cell>
          <cell r="I15">
            <v>0</v>
          </cell>
          <cell r="M15">
            <v>13.518028846153845</v>
          </cell>
          <cell r="O15">
            <v>716</v>
          </cell>
          <cell r="Q15">
            <v>57576.672000000006</v>
          </cell>
          <cell r="S15">
            <v>0</v>
          </cell>
          <cell r="U15">
            <v>57576.672000000006</v>
          </cell>
          <cell r="W15">
            <v>21134</v>
          </cell>
          <cell r="X15">
            <v>21134</v>
          </cell>
          <cell r="Z15">
            <v>1350.23</v>
          </cell>
          <cell r="AB15">
            <v>1297.4079999999999</v>
          </cell>
          <cell r="AD15">
            <v>102492.31</v>
          </cell>
          <cell r="AH15">
            <v>0</v>
          </cell>
          <cell r="AJ15">
            <v>0</v>
          </cell>
          <cell r="AL15">
            <v>51483</v>
          </cell>
          <cell r="AN15">
            <v>0</v>
          </cell>
          <cell r="AP15">
            <v>51483</v>
          </cell>
          <cell r="AR15">
            <v>20600.337</v>
          </cell>
          <cell r="AT15">
            <v>175305.16502884624</v>
          </cell>
          <cell r="AV15">
            <v>0</v>
          </cell>
          <cell r="AX15">
            <v>175305.16502884624</v>
          </cell>
          <cell r="AY15">
            <v>0</v>
          </cell>
          <cell r="AZ15" t="str">
            <v>Total Fix.Assets</v>
          </cell>
          <cell r="BC15">
            <v>0</v>
          </cell>
          <cell r="BE15">
            <v>0</v>
          </cell>
          <cell r="BG15">
            <v>0</v>
          </cell>
          <cell r="BI15">
            <v>0</v>
          </cell>
          <cell r="BM15">
            <v>53.964500000000001</v>
          </cell>
          <cell r="BO15">
            <v>2431</v>
          </cell>
          <cell r="BQ15">
            <v>188934.837</v>
          </cell>
          <cell r="BS15">
            <v>0</v>
          </cell>
          <cell r="BU15">
            <v>188934.837</v>
          </cell>
          <cell r="BW15">
            <v>64395.5</v>
          </cell>
          <cell r="BX15">
            <v>64395.5</v>
          </cell>
          <cell r="BZ15">
            <v>4332.5149999999994</v>
          </cell>
          <cell r="CB15">
            <v>0</v>
          </cell>
          <cell r="CD15">
            <v>322058.35200000001</v>
          </cell>
          <cell r="CF15">
            <v>0</v>
          </cell>
          <cell r="CH15">
            <v>0</v>
          </cell>
          <cell r="CJ15">
            <v>0</v>
          </cell>
          <cell r="CL15">
            <v>157046</v>
          </cell>
          <cell r="CN15">
            <v>0</v>
          </cell>
          <cell r="CP15">
            <v>157046</v>
          </cell>
          <cell r="CR15">
            <v>71823.487000000008</v>
          </cell>
          <cell r="CT15">
            <v>553412.80349999992</v>
          </cell>
          <cell r="CV15">
            <v>0</v>
          </cell>
          <cell r="CX15">
            <v>553412.80349999992</v>
          </cell>
          <cell r="FC15">
            <v>0</v>
          </cell>
          <cell r="FD15">
            <v>0</v>
          </cell>
          <cell r="FE15">
            <v>0</v>
          </cell>
          <cell r="FF15">
            <v>0</v>
          </cell>
          <cell r="FG15">
            <v>56.234999999999999</v>
          </cell>
          <cell r="FH15">
            <v>2807</v>
          </cell>
          <cell r="FI15">
            <v>240188.47200000004</v>
          </cell>
          <cell r="FJ15">
            <v>89744</v>
          </cell>
          <cell r="FK15">
            <v>89744</v>
          </cell>
          <cell r="FL15">
            <v>5194.2780000000002</v>
          </cell>
          <cell r="FM15">
            <v>0</v>
          </cell>
          <cell r="FN15">
            <v>424870.75</v>
          </cell>
          <cell r="FO15">
            <v>0</v>
          </cell>
          <cell r="FP15">
            <v>216318.45852384064</v>
          </cell>
          <cell r="FQ15">
            <v>0</v>
          </cell>
          <cell r="FR15">
            <v>216318.45852384064</v>
          </cell>
          <cell r="FS15">
            <v>78938.44</v>
          </cell>
          <cell r="FT15">
            <v>722990.88352384081</v>
          </cell>
          <cell r="FU15">
            <v>0</v>
          </cell>
          <cell r="FV15">
            <v>722990.88352384081</v>
          </cell>
          <cell r="FW15" t="str">
            <v>Total Fix.Assets</v>
          </cell>
          <cell r="FX15">
            <v>424870.75</v>
          </cell>
          <cell r="FY15">
            <v>216318.45852384064</v>
          </cell>
          <cell r="FZ15">
            <v>0</v>
          </cell>
          <cell r="GA15">
            <v>641189.20852384064</v>
          </cell>
          <cell r="GB15">
            <v>649787.23579388368</v>
          </cell>
          <cell r="GC15">
            <v>722990.88352384081</v>
          </cell>
          <cell r="GD15">
            <v>732685.83042858006</v>
          </cell>
          <cell r="GE15">
            <v>81801.675000000163</v>
          </cell>
          <cell r="GF15">
            <v>4.124184723278824</v>
          </cell>
          <cell r="GG15">
            <v>514666.67850097973</v>
          </cell>
          <cell r="GH15">
            <v>0</v>
          </cell>
          <cell r="GT15" t="str">
            <v xml:space="preserve"> עורק שמ"מ </v>
          </cell>
        </row>
        <row r="16">
          <cell r="FX16">
            <v>0</v>
          </cell>
          <cell r="FY16">
            <v>0</v>
          </cell>
          <cell r="GA16">
            <v>0</v>
          </cell>
          <cell r="GB16">
            <v>0</v>
          </cell>
          <cell r="GC16">
            <v>0</v>
          </cell>
          <cell r="GD16">
            <v>0</v>
          </cell>
          <cell r="GE16">
            <v>0</v>
          </cell>
        </row>
        <row r="17">
          <cell r="A17" t="str">
            <v>INVESTMENTS</v>
          </cell>
          <cell r="AT17">
            <v>0</v>
          </cell>
          <cell r="AY17">
            <v>0</v>
          </cell>
          <cell r="AZ17" t="str">
            <v>INVESTMENTS</v>
          </cell>
          <cell r="BX17">
            <v>0</v>
          </cell>
          <cell r="CD17">
            <v>0</v>
          </cell>
          <cell r="FS17">
            <v>0</v>
          </cell>
          <cell r="FT17">
            <v>0</v>
          </cell>
          <cell r="FW17" t="str">
            <v>INVESTMENTS</v>
          </cell>
          <cell r="FX17">
            <v>0</v>
          </cell>
          <cell r="FY17">
            <v>0</v>
          </cell>
          <cell r="GA17">
            <v>0</v>
          </cell>
          <cell r="GB17">
            <v>0</v>
          </cell>
          <cell r="GC17">
            <v>0</v>
          </cell>
          <cell r="GD17">
            <v>0</v>
          </cell>
          <cell r="GE17">
            <v>0</v>
          </cell>
          <cell r="GF17" t="e">
            <v>#DIV/0!</v>
          </cell>
          <cell r="GH17">
            <v>0</v>
          </cell>
        </row>
        <row r="18">
          <cell r="A18" t="str">
            <v>G.C.&amp; CO.</v>
          </cell>
          <cell r="B18">
            <v>0.7</v>
          </cell>
          <cell r="C18">
            <v>-3591.5340000000001</v>
          </cell>
          <cell r="G18">
            <v>984.702</v>
          </cell>
          <cell r="I18">
            <v>-2606.8320000000003</v>
          </cell>
          <cell r="U18">
            <v>0</v>
          </cell>
          <cell r="AD18">
            <v>0</v>
          </cell>
          <cell r="AJ18">
            <v>0</v>
          </cell>
          <cell r="AP18">
            <v>0</v>
          </cell>
          <cell r="AR18">
            <v>0</v>
          </cell>
          <cell r="AT18">
            <v>-2606.8320000000003</v>
          </cell>
          <cell r="AV18">
            <v>2606.8320000000003</v>
          </cell>
          <cell r="AX18">
            <v>0</v>
          </cell>
          <cell r="AY18">
            <v>0</v>
          </cell>
          <cell r="AZ18" t="str">
            <v>G.C.&amp; CO.</v>
          </cell>
          <cell r="BA18">
            <v>0.7</v>
          </cell>
          <cell r="BC18">
            <v>-14783.111000000001</v>
          </cell>
          <cell r="BE18">
            <v>0</v>
          </cell>
          <cell r="BG18">
            <v>26872.384000000002</v>
          </cell>
          <cell r="BI18">
            <v>12089.273000000001</v>
          </cell>
          <cell r="BQ18">
            <v>0</v>
          </cell>
          <cell r="BU18">
            <v>0</v>
          </cell>
          <cell r="BX18">
            <v>0</v>
          </cell>
          <cell r="CD18">
            <v>0</v>
          </cell>
          <cell r="CF18">
            <v>0</v>
          </cell>
          <cell r="CH18">
            <v>0</v>
          </cell>
          <cell r="CJ18">
            <v>0</v>
          </cell>
          <cell r="CN18">
            <v>0</v>
          </cell>
          <cell r="CP18">
            <v>0</v>
          </cell>
          <cell r="CR18">
            <v>0</v>
          </cell>
          <cell r="CT18">
            <v>12089.273000000001</v>
          </cell>
          <cell r="CV18">
            <v>-12089.273000000001</v>
          </cell>
          <cell r="CX18">
            <v>0</v>
          </cell>
          <cell r="FC18">
            <v>11180.316000000001</v>
          </cell>
          <cell r="FF18">
            <v>11180.316000000001</v>
          </cell>
          <cell r="FR18">
            <v>0</v>
          </cell>
          <cell r="FS18">
            <v>0</v>
          </cell>
          <cell r="FT18">
            <v>11180.316000000001</v>
          </cell>
          <cell r="FU18">
            <v>-11180.316000000001</v>
          </cell>
          <cell r="FV18">
            <v>0</v>
          </cell>
          <cell r="FW18" t="str">
            <v>G.C.&amp; CO.</v>
          </cell>
          <cell r="FX18">
            <v>0</v>
          </cell>
          <cell r="FY18">
            <v>0</v>
          </cell>
          <cell r="GA18">
            <v>0</v>
          </cell>
          <cell r="GB18">
            <v>0</v>
          </cell>
          <cell r="GC18">
            <v>0</v>
          </cell>
          <cell r="GD18">
            <v>0</v>
          </cell>
          <cell r="GE18">
            <v>0</v>
          </cell>
          <cell r="GF18" t="e">
            <v>#DIV/0!</v>
          </cell>
          <cell r="GH18">
            <v>0</v>
          </cell>
        </row>
        <row r="19">
          <cell r="A19" t="str">
            <v xml:space="preserve"> long term loans</v>
          </cell>
          <cell r="I19">
            <v>0</v>
          </cell>
          <cell r="U19">
            <v>0</v>
          </cell>
          <cell r="AD19">
            <v>0</v>
          </cell>
          <cell r="AJ19">
            <v>0</v>
          </cell>
          <cell r="AN19">
            <v>0</v>
          </cell>
          <cell r="AP19">
            <v>0</v>
          </cell>
          <cell r="AR19">
            <v>0</v>
          </cell>
          <cell r="AT19">
            <v>0</v>
          </cell>
          <cell r="AV19">
            <v>0</v>
          </cell>
          <cell r="AX19">
            <v>0</v>
          </cell>
          <cell r="AY19">
            <v>0</v>
          </cell>
          <cell r="AZ19" t="str">
            <v xml:space="preserve"> long term loans</v>
          </cell>
          <cell r="BC19">
            <v>0</v>
          </cell>
          <cell r="BE19">
            <v>0</v>
          </cell>
          <cell r="BG19">
            <v>0</v>
          </cell>
          <cell r="BI19">
            <v>0</v>
          </cell>
          <cell r="BQ19">
            <v>0</v>
          </cell>
          <cell r="BU19">
            <v>0</v>
          </cell>
          <cell r="BX19">
            <v>0</v>
          </cell>
          <cell r="CD19">
            <v>0</v>
          </cell>
          <cell r="CF19">
            <v>0</v>
          </cell>
          <cell r="CH19">
            <v>0</v>
          </cell>
          <cell r="CJ19">
            <v>0</v>
          </cell>
          <cell r="CP19">
            <v>0</v>
          </cell>
          <cell r="CR19">
            <v>0</v>
          </cell>
          <cell r="CT19">
            <v>0</v>
          </cell>
          <cell r="CV19">
            <v>0</v>
          </cell>
          <cell r="CX19">
            <v>0</v>
          </cell>
          <cell r="FF19">
            <v>0</v>
          </cell>
          <cell r="FN19">
            <v>0</v>
          </cell>
          <cell r="FO19">
            <v>0</v>
          </cell>
          <cell r="FQ19">
            <v>0</v>
          </cell>
          <cell r="FR19">
            <v>0</v>
          </cell>
          <cell r="FS19">
            <v>0</v>
          </cell>
          <cell r="FT19">
            <v>0</v>
          </cell>
          <cell r="FU19">
            <v>0</v>
          </cell>
          <cell r="FV19">
            <v>0</v>
          </cell>
          <cell r="FW19" t="str">
            <v xml:space="preserve"> long term loans</v>
          </cell>
          <cell r="FX19">
            <v>0</v>
          </cell>
          <cell r="FY19">
            <v>0</v>
          </cell>
          <cell r="GA19">
            <v>0</v>
          </cell>
          <cell r="GB19">
            <v>0</v>
          </cell>
          <cell r="GC19">
            <v>0</v>
          </cell>
          <cell r="GD19">
            <v>0</v>
          </cell>
          <cell r="GE19">
            <v>0</v>
          </cell>
          <cell r="GF19" t="e">
            <v>#DIV/0!</v>
          </cell>
          <cell r="GH19">
            <v>0</v>
          </cell>
        </row>
        <row r="20">
          <cell r="A20" t="str">
            <v xml:space="preserve"> accumulated profit</v>
          </cell>
          <cell r="C20">
            <v>33834.866000000002</v>
          </cell>
          <cell r="I20">
            <v>33834.866000000002</v>
          </cell>
          <cell r="U20">
            <v>0</v>
          </cell>
          <cell r="AD20">
            <v>0</v>
          </cell>
          <cell r="AJ20">
            <v>0</v>
          </cell>
          <cell r="AP20">
            <v>0</v>
          </cell>
          <cell r="AR20">
            <v>0</v>
          </cell>
          <cell r="AT20">
            <v>33834.866000000002</v>
          </cell>
          <cell r="AV20">
            <v>-33834.866000000002</v>
          </cell>
          <cell r="AX20">
            <v>0</v>
          </cell>
          <cell r="AY20">
            <v>0</v>
          </cell>
          <cell r="AZ20" t="str">
            <v xml:space="preserve"> accumulated profit</v>
          </cell>
          <cell r="BC20">
            <v>99863.627999999997</v>
          </cell>
          <cell r="BE20">
            <v>0</v>
          </cell>
          <cell r="BG20">
            <v>0</v>
          </cell>
          <cell r="BI20">
            <v>99863.627999999997</v>
          </cell>
          <cell r="BQ20">
            <v>0</v>
          </cell>
          <cell r="BU20">
            <v>0</v>
          </cell>
          <cell r="BX20">
            <v>0</v>
          </cell>
          <cell r="CD20">
            <v>0</v>
          </cell>
          <cell r="CF20">
            <v>0</v>
          </cell>
          <cell r="CH20">
            <v>0</v>
          </cell>
          <cell r="CJ20">
            <v>0</v>
          </cell>
          <cell r="CP20">
            <v>0</v>
          </cell>
          <cell r="CR20">
            <v>0</v>
          </cell>
          <cell r="CT20">
            <v>99863.627999999997</v>
          </cell>
          <cell r="CV20">
            <v>-99863.627999999997</v>
          </cell>
          <cell r="CX20">
            <v>0</v>
          </cell>
          <cell r="FC20">
            <v>137520.64990202483</v>
          </cell>
          <cell r="FF20">
            <v>137520.64990202483</v>
          </cell>
          <cell r="FN20">
            <v>0</v>
          </cell>
          <cell r="FO20">
            <v>0</v>
          </cell>
          <cell r="FR20">
            <v>0</v>
          </cell>
          <cell r="FS20">
            <v>0</v>
          </cell>
          <cell r="FT20">
            <v>137520.64990202483</v>
          </cell>
          <cell r="FU20">
            <v>-137520.64990202483</v>
          </cell>
          <cell r="FV20">
            <v>0</v>
          </cell>
          <cell r="FW20" t="str">
            <v xml:space="preserve"> accumulated profit</v>
          </cell>
          <cell r="FX20">
            <v>0</v>
          </cell>
          <cell r="FY20">
            <v>0</v>
          </cell>
          <cell r="GA20">
            <v>0</v>
          </cell>
          <cell r="GB20">
            <v>0</v>
          </cell>
          <cell r="GC20">
            <v>0</v>
          </cell>
          <cell r="GD20">
            <v>0</v>
          </cell>
          <cell r="GE20">
            <v>0</v>
          </cell>
          <cell r="GF20" t="e">
            <v>#DIV/0!</v>
          </cell>
          <cell r="GH20">
            <v>0</v>
          </cell>
          <cell r="GT20" t="str">
            <v xml:space="preserve">דוח דולר  </v>
          </cell>
        </row>
        <row r="21">
          <cell r="A21" t="str">
            <v xml:space="preserve"> profit-(equity method)</v>
          </cell>
          <cell r="C21">
            <v>13677</v>
          </cell>
          <cell r="E21" t="str">
            <v xml:space="preserve"> </v>
          </cell>
          <cell r="G21">
            <v>4397</v>
          </cell>
          <cell r="I21">
            <v>18074</v>
          </cell>
          <cell r="U21">
            <v>0</v>
          </cell>
          <cell r="AD21">
            <v>0</v>
          </cell>
          <cell r="AJ21">
            <v>0</v>
          </cell>
          <cell r="AP21">
            <v>0</v>
          </cell>
          <cell r="AR21">
            <v>0</v>
          </cell>
          <cell r="AT21">
            <v>18074</v>
          </cell>
          <cell r="AV21">
            <v>-18074</v>
          </cell>
          <cell r="AX21">
            <v>0</v>
          </cell>
          <cell r="AY21">
            <v>0</v>
          </cell>
          <cell r="AZ21" t="str">
            <v xml:space="preserve"> profit-(equity method)</v>
          </cell>
          <cell r="BC21">
            <v>31186</v>
          </cell>
          <cell r="BE21">
            <v>0</v>
          </cell>
          <cell r="BG21">
            <v>-758</v>
          </cell>
          <cell r="BI21">
            <v>30428</v>
          </cell>
          <cell r="BQ21">
            <v>0</v>
          </cell>
          <cell r="BU21">
            <v>0</v>
          </cell>
          <cell r="BX21">
            <v>0</v>
          </cell>
          <cell r="CD21">
            <v>0</v>
          </cell>
          <cell r="CF21">
            <v>0</v>
          </cell>
          <cell r="CH21">
            <v>0</v>
          </cell>
          <cell r="CJ21">
            <v>0</v>
          </cell>
          <cell r="CP21">
            <v>0</v>
          </cell>
          <cell r="CR21">
            <v>0</v>
          </cell>
          <cell r="CT21">
            <v>30428</v>
          </cell>
          <cell r="CV21">
            <v>-30428</v>
          </cell>
          <cell r="CX21">
            <v>0</v>
          </cell>
          <cell r="FC21">
            <v>44193</v>
          </cell>
          <cell r="FE21">
            <v>1019</v>
          </cell>
          <cell r="FF21">
            <v>45212</v>
          </cell>
          <cell r="FN21">
            <v>0</v>
          </cell>
          <cell r="FO21">
            <v>0</v>
          </cell>
          <cell r="FR21">
            <v>0</v>
          </cell>
          <cell r="FS21">
            <v>0</v>
          </cell>
          <cell r="FT21">
            <v>45212</v>
          </cell>
          <cell r="FU21">
            <v>-45212</v>
          </cell>
          <cell r="FV21">
            <v>0</v>
          </cell>
          <cell r="FW21" t="str">
            <v xml:space="preserve"> profit-(equity method)</v>
          </cell>
          <cell r="FX21">
            <v>0</v>
          </cell>
          <cell r="FY21">
            <v>0</v>
          </cell>
          <cell r="GA21">
            <v>0</v>
          </cell>
          <cell r="GB21">
            <v>0</v>
          </cell>
          <cell r="GC21">
            <v>0</v>
          </cell>
          <cell r="GD21">
            <v>0</v>
          </cell>
          <cell r="GE21">
            <v>0</v>
          </cell>
          <cell r="GF21" t="e">
            <v>#DIV/0!</v>
          </cell>
          <cell r="GH21">
            <v>0</v>
          </cell>
        </row>
        <row r="22">
          <cell r="A22" t="str">
            <v xml:space="preserve"> s. IEDIOT accumulated loss</v>
          </cell>
          <cell r="C22">
            <v>-735</v>
          </cell>
          <cell r="I22">
            <v>-735</v>
          </cell>
          <cell r="U22">
            <v>0</v>
          </cell>
          <cell r="AD22">
            <v>0</v>
          </cell>
          <cell r="AJ22">
            <v>0</v>
          </cell>
          <cell r="AP22">
            <v>0</v>
          </cell>
          <cell r="AT22">
            <v>-735</v>
          </cell>
          <cell r="AV22">
            <v>735</v>
          </cell>
          <cell r="AX22">
            <v>0</v>
          </cell>
          <cell r="AY22">
            <v>0</v>
          </cell>
          <cell r="AZ22" t="str">
            <v xml:space="preserve"> s. IEDIOT accumulated loss</v>
          </cell>
          <cell r="BC22">
            <v>-2458.9899999999998</v>
          </cell>
          <cell r="BG22">
            <v>0</v>
          </cell>
          <cell r="BI22">
            <v>-2458.9899999999998</v>
          </cell>
          <cell r="BU22">
            <v>0</v>
          </cell>
          <cell r="BX22">
            <v>0</v>
          </cell>
          <cell r="CD22">
            <v>0</v>
          </cell>
          <cell r="CJ22">
            <v>0</v>
          </cell>
          <cell r="CP22">
            <v>0</v>
          </cell>
          <cell r="CT22">
            <v>-2458.9899999999998</v>
          </cell>
          <cell r="CV22">
            <v>2458.9899999999998</v>
          </cell>
          <cell r="CX22">
            <v>0</v>
          </cell>
          <cell r="FC22">
            <v>-2791.5806662312216</v>
          </cell>
          <cell r="FF22">
            <v>-2791.5806662312216</v>
          </cell>
          <cell r="FN22">
            <v>0</v>
          </cell>
          <cell r="FO22">
            <v>0</v>
          </cell>
          <cell r="FR22">
            <v>0</v>
          </cell>
          <cell r="FS22">
            <v>0</v>
          </cell>
          <cell r="FT22">
            <v>-2791.5806662312216</v>
          </cell>
          <cell r="FU22">
            <v>2791.5806662312216</v>
          </cell>
          <cell r="FV22">
            <v>0</v>
          </cell>
          <cell r="FW22" t="str">
            <v xml:space="preserve"> s. IEDIOT accumulated loss</v>
          </cell>
          <cell r="FX22">
            <v>0</v>
          </cell>
          <cell r="FY22">
            <v>0</v>
          </cell>
          <cell r="GA22">
            <v>0</v>
          </cell>
          <cell r="GB22">
            <v>0</v>
          </cell>
          <cell r="GC22">
            <v>0</v>
          </cell>
          <cell r="GD22">
            <v>0</v>
          </cell>
          <cell r="GE22">
            <v>0</v>
          </cell>
          <cell r="GF22" t="e">
            <v>#DIV/0!</v>
          </cell>
          <cell r="GH22">
            <v>0</v>
          </cell>
        </row>
        <row r="23">
          <cell r="A23" t="str">
            <v xml:space="preserve"> s. IEDIOT loss-(equity method)</v>
          </cell>
          <cell r="G23">
            <v>-245</v>
          </cell>
          <cell r="I23">
            <v>-245</v>
          </cell>
          <cell r="U23">
            <v>0</v>
          </cell>
          <cell r="AD23">
            <v>0</v>
          </cell>
          <cell r="AJ23">
            <v>0</v>
          </cell>
          <cell r="AP23">
            <v>0</v>
          </cell>
          <cell r="AT23">
            <v>-245</v>
          </cell>
          <cell r="AV23">
            <v>245</v>
          </cell>
          <cell r="AX23">
            <v>0</v>
          </cell>
          <cell r="AY23">
            <v>0</v>
          </cell>
          <cell r="AZ23" t="str">
            <v xml:space="preserve"> s. IEDIOT loss-(equity method)</v>
          </cell>
          <cell r="BG23">
            <v>-1019.2</v>
          </cell>
          <cell r="BI23">
            <v>-1019.2</v>
          </cell>
          <cell r="BX23">
            <v>0</v>
          </cell>
          <cell r="CD23">
            <v>0</v>
          </cell>
          <cell r="CT23">
            <v>-1019.2</v>
          </cell>
          <cell r="CV23">
            <v>1019.2</v>
          </cell>
          <cell r="CX23">
            <v>0</v>
          </cell>
          <cell r="FE23">
            <v>-1019.2</v>
          </cell>
          <cell r="FF23">
            <v>-1019.2</v>
          </cell>
          <cell r="FN23">
            <v>0</v>
          </cell>
          <cell r="FR23">
            <v>0</v>
          </cell>
          <cell r="FS23">
            <v>0</v>
          </cell>
          <cell r="FT23">
            <v>-1019.2</v>
          </cell>
          <cell r="FU23">
            <v>1019.2</v>
          </cell>
          <cell r="FV23">
            <v>0</v>
          </cell>
          <cell r="FW23" t="str">
            <v xml:space="preserve"> s. IEDIOT loss-(equity method)</v>
          </cell>
          <cell r="FX23">
            <v>0</v>
          </cell>
          <cell r="FY23">
            <v>0</v>
          </cell>
          <cell r="GA23">
            <v>0</v>
          </cell>
          <cell r="GB23">
            <v>0</v>
          </cell>
          <cell r="GC23">
            <v>0</v>
          </cell>
          <cell r="GD23">
            <v>0</v>
          </cell>
          <cell r="GE23">
            <v>0</v>
          </cell>
          <cell r="GF23" t="e">
            <v>#DIV/0!</v>
          </cell>
          <cell r="GH23">
            <v>0</v>
          </cell>
        </row>
        <row r="24">
          <cell r="B24" t="str">
            <v xml:space="preserve">total </v>
          </cell>
          <cell r="C24">
            <v>43185.332000000002</v>
          </cell>
          <cell r="E24">
            <v>0</v>
          </cell>
          <cell r="G24">
            <v>5136.7020000000002</v>
          </cell>
          <cell r="I24">
            <v>48322.034</v>
          </cell>
          <cell r="M24">
            <v>0</v>
          </cell>
          <cell r="O24">
            <v>0</v>
          </cell>
          <cell r="Q24">
            <v>0</v>
          </cell>
          <cell r="S24">
            <v>0</v>
          </cell>
          <cell r="U24">
            <v>0</v>
          </cell>
          <cell r="Z24">
            <v>0</v>
          </cell>
          <cell r="AB24">
            <v>0</v>
          </cell>
          <cell r="AD24">
            <v>0</v>
          </cell>
          <cell r="AF24">
            <v>0</v>
          </cell>
          <cell r="AH24">
            <v>0</v>
          </cell>
          <cell r="AJ24">
            <v>0</v>
          </cell>
          <cell r="AL24">
            <v>0</v>
          </cell>
          <cell r="AN24">
            <v>0</v>
          </cell>
          <cell r="AP24">
            <v>0</v>
          </cell>
          <cell r="AR24">
            <v>0</v>
          </cell>
          <cell r="AT24">
            <v>48322.034</v>
          </cell>
          <cell r="AV24">
            <v>-48322.034</v>
          </cell>
          <cell r="AX24">
            <v>0</v>
          </cell>
          <cell r="AY24">
            <v>0</v>
          </cell>
          <cell r="BA24" t="str">
            <v xml:space="preserve">total </v>
          </cell>
          <cell r="BC24">
            <v>113807.52699999999</v>
          </cell>
          <cell r="BE24">
            <v>0</v>
          </cell>
          <cell r="BG24">
            <v>25095.184000000001</v>
          </cell>
          <cell r="BI24">
            <v>138902.71100000001</v>
          </cell>
          <cell r="BO24">
            <v>0</v>
          </cell>
          <cell r="BQ24">
            <v>0</v>
          </cell>
          <cell r="BS24">
            <v>0</v>
          </cell>
          <cell r="BU24">
            <v>0</v>
          </cell>
          <cell r="BX24">
            <v>0</v>
          </cell>
          <cell r="BZ24">
            <v>0</v>
          </cell>
          <cell r="CB24">
            <v>0</v>
          </cell>
          <cell r="CD24">
            <v>0</v>
          </cell>
          <cell r="CF24">
            <v>0</v>
          </cell>
          <cell r="CH24">
            <v>0</v>
          </cell>
          <cell r="CJ24">
            <v>0</v>
          </cell>
          <cell r="CL24">
            <v>0</v>
          </cell>
          <cell r="CN24">
            <v>0</v>
          </cell>
          <cell r="CP24">
            <v>0</v>
          </cell>
          <cell r="CR24">
            <v>0</v>
          </cell>
          <cell r="CT24">
            <v>138902.71100000001</v>
          </cell>
          <cell r="CV24">
            <v>-138902.71100000001</v>
          </cell>
          <cell r="CX24">
            <v>0</v>
          </cell>
          <cell r="FC24">
            <v>190102.3852357936</v>
          </cell>
          <cell r="FE24">
            <v>-0.19999999999993179</v>
          </cell>
          <cell r="FF24">
            <v>190102.18523579359</v>
          </cell>
          <cell r="FI24">
            <v>0</v>
          </cell>
          <cell r="FL24">
            <v>0</v>
          </cell>
          <cell r="FM24">
            <v>0</v>
          </cell>
          <cell r="FN24">
            <v>0</v>
          </cell>
          <cell r="FO24">
            <v>0</v>
          </cell>
          <cell r="FQ24">
            <v>0</v>
          </cell>
          <cell r="FR24">
            <v>0</v>
          </cell>
          <cell r="FS24">
            <v>0</v>
          </cell>
          <cell r="FT24">
            <v>190102.18523579359</v>
          </cell>
          <cell r="FU24">
            <v>-190102.18523579359</v>
          </cell>
          <cell r="FV24">
            <v>0</v>
          </cell>
          <cell r="FX24">
            <v>0</v>
          </cell>
          <cell r="FY24">
            <v>0</v>
          </cell>
          <cell r="FZ24">
            <v>0</v>
          </cell>
          <cell r="GA24">
            <v>0</v>
          </cell>
          <cell r="GB24">
            <v>0</v>
          </cell>
          <cell r="GC24">
            <v>0</v>
          </cell>
          <cell r="GD24">
            <v>0</v>
          </cell>
          <cell r="GE24">
            <v>0</v>
          </cell>
          <cell r="GF24" t="e">
            <v>#DIV/0!</v>
          </cell>
          <cell r="GG24">
            <v>0</v>
          </cell>
          <cell r="GH24">
            <v>0</v>
          </cell>
        </row>
        <row r="25">
          <cell r="A25" t="str">
            <v>IDAN</v>
          </cell>
          <cell r="B25">
            <v>0.75</v>
          </cell>
          <cell r="Q25">
            <v>4.5</v>
          </cell>
          <cell r="U25">
            <v>4.5</v>
          </cell>
          <cell r="W25">
            <v>-4.5</v>
          </cell>
          <cell r="AD25">
            <v>0</v>
          </cell>
          <cell r="AJ25">
            <v>0</v>
          </cell>
          <cell r="AP25">
            <v>0</v>
          </cell>
          <cell r="AT25">
            <v>0</v>
          </cell>
          <cell r="AV25">
            <v>0</v>
          </cell>
          <cell r="AX25">
            <v>0</v>
          </cell>
          <cell r="AY25">
            <v>0</v>
          </cell>
          <cell r="AZ25" t="str">
            <v>IDAN</v>
          </cell>
          <cell r="BA25">
            <v>0.5</v>
          </cell>
          <cell r="BQ25">
            <v>7.5</v>
          </cell>
          <cell r="BU25">
            <v>7.5</v>
          </cell>
          <cell r="BW25">
            <v>-7.5</v>
          </cell>
          <cell r="BX25">
            <v>0</v>
          </cell>
          <cell r="CD25">
            <v>0</v>
          </cell>
          <cell r="CT25">
            <v>0</v>
          </cell>
          <cell r="CX25">
            <v>0</v>
          </cell>
          <cell r="FI25">
            <v>27.7</v>
          </cell>
          <cell r="FJ25">
            <v>-27.7</v>
          </cell>
          <cell r="FN25">
            <v>0</v>
          </cell>
          <cell r="FS25">
            <v>0</v>
          </cell>
          <cell r="FT25">
            <v>0</v>
          </cell>
          <cell r="FU25">
            <v>0</v>
          </cell>
          <cell r="FV25">
            <v>0</v>
          </cell>
          <cell r="FW25" t="str">
            <v>IDAN</v>
          </cell>
          <cell r="FX25">
            <v>0</v>
          </cell>
          <cell r="FY25">
            <v>0</v>
          </cell>
          <cell r="GA25">
            <v>0</v>
          </cell>
          <cell r="GB25">
            <v>0</v>
          </cell>
          <cell r="GC25">
            <v>0</v>
          </cell>
          <cell r="GD25">
            <v>0</v>
          </cell>
          <cell r="GE25">
            <v>0</v>
          </cell>
          <cell r="GF25" t="e">
            <v>#DIV/0!</v>
          </cell>
          <cell r="GH25">
            <v>0</v>
          </cell>
        </row>
        <row r="26">
          <cell r="A26" t="str">
            <v xml:space="preserve"> long term loans</v>
          </cell>
          <cell r="Q26">
            <v>188</v>
          </cell>
          <cell r="U26">
            <v>188</v>
          </cell>
          <cell r="W26">
            <v>-188</v>
          </cell>
          <cell r="AD26">
            <v>0</v>
          </cell>
          <cell r="AP26">
            <v>0</v>
          </cell>
          <cell r="AT26">
            <v>0</v>
          </cell>
          <cell r="AX26">
            <v>0</v>
          </cell>
          <cell r="AY26">
            <v>0</v>
          </cell>
          <cell r="AZ26" t="str">
            <v xml:space="preserve"> long term loans</v>
          </cell>
          <cell r="BQ26">
            <v>784.28300000000002</v>
          </cell>
          <cell r="BU26">
            <v>784.28300000000002</v>
          </cell>
          <cell r="BW26">
            <v>-784.28300000000002</v>
          </cell>
          <cell r="BX26">
            <v>0</v>
          </cell>
          <cell r="CD26">
            <v>0</v>
          </cell>
          <cell r="CT26">
            <v>0</v>
          </cell>
          <cell r="CX26">
            <v>0</v>
          </cell>
          <cell r="FF26">
            <v>0</v>
          </cell>
          <cell r="FI26">
            <v>784.28300000000002</v>
          </cell>
          <cell r="FJ26">
            <v>-784.28300000000002</v>
          </cell>
          <cell r="FN26">
            <v>0</v>
          </cell>
          <cell r="FR26">
            <v>0</v>
          </cell>
          <cell r="FS26">
            <v>0</v>
          </cell>
          <cell r="FT26">
            <v>0</v>
          </cell>
          <cell r="FU26">
            <v>0</v>
          </cell>
          <cell r="FV26">
            <v>0</v>
          </cell>
          <cell r="FW26" t="str">
            <v xml:space="preserve"> long term loans</v>
          </cell>
          <cell r="FX26">
            <v>0</v>
          </cell>
          <cell r="FY26">
            <v>0</v>
          </cell>
          <cell r="GA26">
            <v>0</v>
          </cell>
          <cell r="GB26">
            <v>0</v>
          </cell>
          <cell r="GC26">
            <v>0</v>
          </cell>
          <cell r="GD26">
            <v>0</v>
          </cell>
          <cell r="GE26">
            <v>0</v>
          </cell>
          <cell r="GF26" t="e">
            <v>#DIV/0!</v>
          </cell>
          <cell r="GH26">
            <v>0</v>
          </cell>
        </row>
        <row r="27">
          <cell r="A27" t="str">
            <v xml:space="preserve"> accumulated profit</v>
          </cell>
          <cell r="Q27">
            <v>11223.25</v>
          </cell>
          <cell r="U27">
            <v>11223.25</v>
          </cell>
          <cell r="W27">
            <v>-11223.25</v>
          </cell>
          <cell r="AD27">
            <v>0</v>
          </cell>
          <cell r="AP27">
            <v>0</v>
          </cell>
          <cell r="AT27">
            <v>0</v>
          </cell>
          <cell r="AX27">
            <v>0</v>
          </cell>
          <cell r="AY27">
            <v>0</v>
          </cell>
          <cell r="AZ27" t="str">
            <v xml:space="preserve"> accumulated profit</v>
          </cell>
          <cell r="BQ27">
            <v>10619</v>
          </cell>
          <cell r="BU27">
            <v>10619</v>
          </cell>
          <cell r="BW27">
            <v>-10619</v>
          </cell>
          <cell r="BX27">
            <v>0</v>
          </cell>
          <cell r="CD27">
            <v>0</v>
          </cell>
          <cell r="CT27">
            <v>0</v>
          </cell>
          <cell r="CX27">
            <v>0</v>
          </cell>
          <cell r="FF27">
            <v>0</v>
          </cell>
          <cell r="FI27">
            <v>49741.858</v>
          </cell>
          <cell r="FJ27">
            <v>-49741.858</v>
          </cell>
          <cell r="FN27">
            <v>0</v>
          </cell>
          <cell r="FR27">
            <v>0</v>
          </cell>
          <cell r="FS27">
            <v>0</v>
          </cell>
          <cell r="FT27">
            <v>0</v>
          </cell>
          <cell r="FU27">
            <v>0</v>
          </cell>
          <cell r="FV27">
            <v>0</v>
          </cell>
          <cell r="FW27" t="str">
            <v xml:space="preserve"> accumulated profit</v>
          </cell>
          <cell r="FX27">
            <v>0</v>
          </cell>
          <cell r="FY27">
            <v>0</v>
          </cell>
          <cell r="GA27">
            <v>0</v>
          </cell>
          <cell r="GB27">
            <v>0</v>
          </cell>
          <cell r="GC27">
            <v>0</v>
          </cell>
          <cell r="GD27">
            <v>0</v>
          </cell>
          <cell r="GE27">
            <v>0</v>
          </cell>
          <cell r="GF27" t="e">
            <v>#DIV/0!</v>
          </cell>
          <cell r="GH27">
            <v>0</v>
          </cell>
        </row>
        <row r="28">
          <cell r="A28" t="str">
            <v xml:space="preserve"> profit-(equity method)</v>
          </cell>
          <cell r="Q28">
            <v>-5924.5</v>
          </cell>
          <cell r="U28">
            <v>-5924.5</v>
          </cell>
          <cell r="W28">
            <v>5924.5</v>
          </cell>
          <cell r="AD28">
            <v>0</v>
          </cell>
          <cell r="AP28">
            <v>0</v>
          </cell>
          <cell r="AT28">
            <v>0</v>
          </cell>
          <cell r="AV28">
            <v>0</v>
          </cell>
          <cell r="AX28">
            <v>0</v>
          </cell>
          <cell r="AY28">
            <v>0</v>
          </cell>
          <cell r="AZ28" t="str">
            <v xml:space="preserve"> profit-(equity method)</v>
          </cell>
          <cell r="BQ28">
            <v>-25673</v>
          </cell>
          <cell r="BU28">
            <v>-25673</v>
          </cell>
          <cell r="BW28">
            <v>25673</v>
          </cell>
          <cell r="BX28">
            <v>0</v>
          </cell>
          <cell r="CD28">
            <v>0</v>
          </cell>
          <cell r="CT28">
            <v>0</v>
          </cell>
          <cell r="CX28">
            <v>0</v>
          </cell>
          <cell r="FF28">
            <v>0</v>
          </cell>
          <cell r="FI28">
            <v>-26083.058000000001</v>
          </cell>
          <cell r="FJ28">
            <v>26083.058000000001</v>
          </cell>
          <cell r="FN28">
            <v>0</v>
          </cell>
          <cell r="FS28">
            <v>0</v>
          </cell>
          <cell r="FT28">
            <v>0</v>
          </cell>
          <cell r="FU28">
            <v>0</v>
          </cell>
          <cell r="FV28">
            <v>0</v>
          </cell>
          <cell r="FW28" t="str">
            <v xml:space="preserve"> profit-(equity method)</v>
          </cell>
          <cell r="FX28">
            <v>0</v>
          </cell>
          <cell r="FY28">
            <v>0</v>
          </cell>
          <cell r="GA28">
            <v>0</v>
          </cell>
          <cell r="GB28">
            <v>0</v>
          </cell>
          <cell r="GC28">
            <v>0</v>
          </cell>
          <cell r="GD28">
            <v>0</v>
          </cell>
          <cell r="GE28">
            <v>0</v>
          </cell>
          <cell r="GF28" t="e">
            <v>#DIV/0!</v>
          </cell>
          <cell r="GH28">
            <v>0</v>
          </cell>
        </row>
        <row r="29">
          <cell r="A29" t="str">
            <v>GOODWILL</v>
          </cell>
          <cell r="Q29">
            <v>82508.133000000002</v>
          </cell>
          <cell r="U29">
            <v>82508.133000000002</v>
          </cell>
          <cell r="AB29">
            <v>-1297.4079999999999</v>
          </cell>
          <cell r="AD29">
            <v>81210.725000000006</v>
          </cell>
          <cell r="AP29">
            <v>0</v>
          </cell>
          <cell r="AT29">
            <v>81210.725000000006</v>
          </cell>
          <cell r="AV29">
            <v>-81210.725000000006</v>
          </cell>
          <cell r="AX29">
            <v>0</v>
          </cell>
          <cell r="AY29">
            <v>0</v>
          </cell>
          <cell r="AZ29" t="str">
            <v>GOODWILL</v>
          </cell>
          <cell r="BQ29">
            <v>351680.27600000001</v>
          </cell>
          <cell r="BU29">
            <v>351680.27600000001</v>
          </cell>
          <cell r="BX29">
            <v>0</v>
          </cell>
          <cell r="CD29">
            <v>351680.27600000001</v>
          </cell>
          <cell r="CT29">
            <v>351680.27600000001</v>
          </cell>
          <cell r="CV29">
            <v>-351680.27600000001</v>
          </cell>
          <cell r="CX29">
            <v>0</v>
          </cell>
          <cell r="FF29">
            <v>0</v>
          </cell>
          <cell r="FI29">
            <v>328376.951</v>
          </cell>
          <cell r="FN29">
            <v>328376.951</v>
          </cell>
          <cell r="FR29">
            <v>0</v>
          </cell>
          <cell r="FS29">
            <v>0</v>
          </cell>
          <cell r="FT29">
            <v>328376.951</v>
          </cell>
          <cell r="FU29">
            <v>-328376.951</v>
          </cell>
          <cell r="FV29">
            <v>0</v>
          </cell>
          <cell r="FW29" t="str">
            <v>GOODWILL</v>
          </cell>
          <cell r="FX29">
            <v>328376.951</v>
          </cell>
          <cell r="FY29">
            <v>0</v>
          </cell>
          <cell r="FZ29">
            <v>-328376.951</v>
          </cell>
          <cell r="GA29">
            <v>0</v>
          </cell>
          <cell r="GB29">
            <v>0</v>
          </cell>
          <cell r="GC29">
            <v>0</v>
          </cell>
          <cell r="GD29">
            <v>0</v>
          </cell>
          <cell r="GE29">
            <v>0</v>
          </cell>
          <cell r="GF29" t="e">
            <v>#DIV/0!</v>
          </cell>
          <cell r="GH29">
            <v>0</v>
          </cell>
        </row>
        <row r="30">
          <cell r="A30" t="str">
            <v>TOTAL</v>
          </cell>
          <cell r="Q30">
            <v>87999.383000000002</v>
          </cell>
          <cell r="S30">
            <v>0</v>
          </cell>
          <cell r="U30">
            <v>87999.383000000002</v>
          </cell>
          <cell r="W30">
            <v>-5491.25</v>
          </cell>
          <cell r="Z30">
            <v>0</v>
          </cell>
          <cell r="AB30">
            <v>-1297.4079999999999</v>
          </cell>
          <cell r="AD30">
            <v>81210.725000000006</v>
          </cell>
          <cell r="AF30">
            <v>0</v>
          </cell>
          <cell r="AH30">
            <v>0</v>
          </cell>
          <cell r="AJ30">
            <v>0</v>
          </cell>
          <cell r="AL30">
            <v>0</v>
          </cell>
          <cell r="AN30">
            <v>0</v>
          </cell>
          <cell r="AP30">
            <v>0</v>
          </cell>
          <cell r="AR30">
            <v>0</v>
          </cell>
          <cell r="AT30">
            <v>81210.725000000006</v>
          </cell>
          <cell r="AV30">
            <v>-81210.725000000006</v>
          </cell>
          <cell r="AX30">
            <v>0</v>
          </cell>
          <cell r="AY30">
            <v>0</v>
          </cell>
          <cell r="AZ30" t="str">
            <v>TOTAL</v>
          </cell>
          <cell r="BC30">
            <v>0</v>
          </cell>
          <cell r="BE30">
            <v>0</v>
          </cell>
          <cell r="BG30">
            <v>0</v>
          </cell>
          <cell r="BI30">
            <v>0</v>
          </cell>
          <cell r="BQ30">
            <v>337418.05900000001</v>
          </cell>
          <cell r="BS30">
            <v>0</v>
          </cell>
          <cell r="BU30">
            <v>337418.05900000001</v>
          </cell>
          <cell r="BW30">
            <v>14262.217000000001</v>
          </cell>
          <cell r="BX30">
            <v>0</v>
          </cell>
          <cell r="CB30">
            <v>0</v>
          </cell>
          <cell r="CD30">
            <v>351680.27600000001</v>
          </cell>
          <cell r="CL30">
            <v>0</v>
          </cell>
          <cell r="CT30">
            <v>351680.27600000001</v>
          </cell>
          <cell r="CV30">
            <v>-351680.27600000001</v>
          </cell>
          <cell r="CX30">
            <v>0</v>
          </cell>
          <cell r="FC30">
            <v>0</v>
          </cell>
          <cell r="FF30">
            <v>0</v>
          </cell>
          <cell r="FI30">
            <v>352847.734</v>
          </cell>
          <cell r="FJ30">
            <v>-24470.782999999999</v>
          </cell>
          <cell r="FM30">
            <v>0</v>
          </cell>
          <cell r="FN30">
            <v>328376.951</v>
          </cell>
          <cell r="FQ30">
            <v>0</v>
          </cell>
          <cell r="FR30">
            <v>0</v>
          </cell>
          <cell r="FS30">
            <v>0</v>
          </cell>
          <cell r="FT30">
            <v>328376.951</v>
          </cell>
          <cell r="FU30">
            <v>-328376.951</v>
          </cell>
          <cell r="FV30">
            <v>0</v>
          </cell>
          <cell r="FW30" t="str">
            <v>TOTAL</v>
          </cell>
          <cell r="FX30">
            <v>328376.951</v>
          </cell>
          <cell r="FY30">
            <v>0</v>
          </cell>
          <cell r="FZ30">
            <v>-328376.951</v>
          </cell>
          <cell r="GA30">
            <v>0</v>
          </cell>
          <cell r="GB30">
            <v>0</v>
          </cell>
          <cell r="GC30">
            <v>0</v>
          </cell>
          <cell r="GD30">
            <v>0</v>
          </cell>
          <cell r="GE30">
            <v>0</v>
          </cell>
          <cell r="GF30" t="e">
            <v>#DIV/0!</v>
          </cell>
          <cell r="GH30">
            <v>0</v>
          </cell>
        </row>
        <row r="31">
          <cell r="AT31">
            <v>0</v>
          </cell>
          <cell r="AY31">
            <v>0</v>
          </cell>
          <cell r="BX31">
            <v>0</v>
          </cell>
          <cell r="CD31">
            <v>0</v>
          </cell>
          <cell r="CT31">
            <v>0</v>
          </cell>
          <cell r="FN31">
            <v>0</v>
          </cell>
          <cell r="FS31">
            <v>0</v>
          </cell>
          <cell r="FX31">
            <v>0</v>
          </cell>
          <cell r="FY31">
            <v>0</v>
          </cell>
          <cell r="GA31">
            <v>0</v>
          </cell>
          <cell r="GB31">
            <v>0</v>
          </cell>
          <cell r="GC31">
            <v>0</v>
          </cell>
          <cell r="GD31">
            <v>0</v>
          </cell>
          <cell r="GE31">
            <v>0</v>
          </cell>
          <cell r="GF31" t="e">
            <v>#DIV/0!</v>
          </cell>
          <cell r="GH31">
            <v>0</v>
          </cell>
        </row>
        <row r="32">
          <cell r="A32" t="str">
            <v>ICP-shares</v>
          </cell>
          <cell r="B32">
            <v>0.3</v>
          </cell>
          <cell r="I32">
            <v>0</v>
          </cell>
          <cell r="Q32">
            <v>14.6</v>
          </cell>
          <cell r="U32">
            <v>14.6</v>
          </cell>
          <cell r="W32">
            <v>164</v>
          </cell>
          <cell r="X32">
            <v>164</v>
          </cell>
          <cell r="AD32">
            <v>342.6</v>
          </cell>
          <cell r="AF32">
            <v>0</v>
          </cell>
          <cell r="AH32">
            <v>0</v>
          </cell>
          <cell r="AJ32">
            <v>0</v>
          </cell>
          <cell r="AP32">
            <v>0</v>
          </cell>
          <cell r="AR32">
            <v>0</v>
          </cell>
          <cell r="AT32">
            <v>342.6</v>
          </cell>
          <cell r="AV32">
            <v>0</v>
          </cell>
          <cell r="AX32">
            <v>342.6</v>
          </cell>
          <cell r="AY32">
            <v>0</v>
          </cell>
          <cell r="AZ32" t="str">
            <v>ICP-shares</v>
          </cell>
          <cell r="BA32">
            <v>0.3</v>
          </cell>
          <cell r="BC32">
            <v>0</v>
          </cell>
          <cell r="BG32">
            <v>0</v>
          </cell>
          <cell r="BI32">
            <v>0</v>
          </cell>
          <cell r="BQ32">
            <v>27</v>
          </cell>
          <cell r="BU32">
            <v>27</v>
          </cell>
          <cell r="BW32">
            <v>-54</v>
          </cell>
          <cell r="BX32">
            <v>-54</v>
          </cell>
          <cell r="CD32">
            <v>-81</v>
          </cell>
          <cell r="CF32">
            <v>0</v>
          </cell>
          <cell r="CH32">
            <v>0</v>
          </cell>
          <cell r="CJ32">
            <v>0</v>
          </cell>
          <cell r="CP32">
            <v>0</v>
          </cell>
          <cell r="CR32">
            <v>0</v>
          </cell>
          <cell r="CT32">
            <v>-81</v>
          </cell>
          <cell r="CV32">
            <v>0</v>
          </cell>
          <cell r="CX32">
            <v>-81</v>
          </cell>
          <cell r="FC32">
            <v>0</v>
          </cell>
          <cell r="FF32">
            <v>0</v>
          </cell>
          <cell r="FI32">
            <v>79.5</v>
          </cell>
          <cell r="FJ32">
            <v>417</v>
          </cell>
          <cell r="FK32">
            <v>417</v>
          </cell>
          <cell r="FN32">
            <v>913.5</v>
          </cell>
          <cell r="FO32">
            <v>0</v>
          </cell>
          <cell r="FR32">
            <v>0</v>
          </cell>
          <cell r="FS32">
            <v>0</v>
          </cell>
          <cell r="FT32">
            <v>913.5</v>
          </cell>
          <cell r="FU32">
            <v>0</v>
          </cell>
          <cell r="FV32">
            <v>913.5</v>
          </cell>
          <cell r="FW32" t="str">
            <v>ICP-shares</v>
          </cell>
          <cell r="FX32">
            <v>913.5</v>
          </cell>
          <cell r="FY32">
            <v>0</v>
          </cell>
          <cell r="GA32">
            <v>913.5</v>
          </cell>
          <cell r="GB32">
            <v>925.74957907396265</v>
          </cell>
          <cell r="GC32">
            <v>913.5</v>
          </cell>
          <cell r="GD32">
            <v>925.74957907396265</v>
          </cell>
          <cell r="GE32">
            <v>0</v>
          </cell>
          <cell r="GF32">
            <v>2.666374781085814</v>
          </cell>
          <cell r="GG32">
            <v>79.612187459177022</v>
          </cell>
          <cell r="GH32">
            <v>0</v>
          </cell>
        </row>
        <row r="33">
          <cell r="A33" t="str">
            <v xml:space="preserve"> long term loans</v>
          </cell>
          <cell r="I33">
            <v>0</v>
          </cell>
          <cell r="Q33">
            <v>486.709</v>
          </cell>
          <cell r="U33">
            <v>486.709</v>
          </cell>
          <cell r="W33">
            <v>162</v>
          </cell>
          <cell r="X33">
            <v>162</v>
          </cell>
          <cell r="AD33">
            <v>810.70900000000006</v>
          </cell>
          <cell r="AF33">
            <v>0</v>
          </cell>
          <cell r="AH33">
            <v>0</v>
          </cell>
          <cell r="AJ33">
            <v>0</v>
          </cell>
          <cell r="AP33">
            <v>0</v>
          </cell>
          <cell r="AR33">
            <v>0</v>
          </cell>
          <cell r="AT33">
            <v>810.70900000000006</v>
          </cell>
          <cell r="AV33">
            <v>0</v>
          </cell>
          <cell r="AX33">
            <v>810.70900000000006</v>
          </cell>
          <cell r="AY33">
            <v>0</v>
          </cell>
          <cell r="AZ33" t="str">
            <v xml:space="preserve"> long term loans</v>
          </cell>
          <cell r="BG33">
            <v>0</v>
          </cell>
          <cell r="BI33">
            <v>0</v>
          </cell>
          <cell r="BQ33">
            <v>2025</v>
          </cell>
          <cell r="BU33">
            <v>2025</v>
          </cell>
          <cell r="BW33">
            <v>675</v>
          </cell>
          <cell r="BX33">
            <v>675</v>
          </cell>
          <cell r="CD33">
            <v>3375</v>
          </cell>
          <cell r="CF33">
            <v>0</v>
          </cell>
          <cell r="CH33">
            <v>0</v>
          </cell>
          <cell r="CJ33">
            <v>0</v>
          </cell>
          <cell r="CP33">
            <v>0</v>
          </cell>
          <cell r="CR33">
            <v>0</v>
          </cell>
          <cell r="CT33">
            <v>3375</v>
          </cell>
          <cell r="CV33">
            <v>0</v>
          </cell>
          <cell r="CX33">
            <v>3375</v>
          </cell>
          <cell r="FC33">
            <v>0</v>
          </cell>
          <cell r="FF33">
            <v>0</v>
          </cell>
          <cell r="FI33">
            <v>2025</v>
          </cell>
          <cell r="FJ33">
            <v>675</v>
          </cell>
          <cell r="FK33">
            <v>675</v>
          </cell>
          <cell r="FN33">
            <v>3375</v>
          </cell>
          <cell r="FO33">
            <v>0</v>
          </cell>
          <cell r="FR33">
            <v>0</v>
          </cell>
          <cell r="FS33">
            <v>0</v>
          </cell>
          <cell r="FT33">
            <v>3375</v>
          </cell>
          <cell r="FU33">
            <v>0</v>
          </cell>
          <cell r="FV33">
            <v>3375</v>
          </cell>
          <cell r="FW33" t="str">
            <v xml:space="preserve"> long term loans</v>
          </cell>
          <cell r="FX33">
            <v>3375</v>
          </cell>
          <cell r="FY33">
            <v>0</v>
          </cell>
          <cell r="GA33">
            <v>3375</v>
          </cell>
          <cell r="GB33">
            <v>3420.2570655441968</v>
          </cell>
          <cell r="GC33">
            <v>3375</v>
          </cell>
          <cell r="GD33">
            <v>3420.2570655441968</v>
          </cell>
          <cell r="GE33">
            <v>0</v>
          </cell>
          <cell r="GF33">
            <v>4.1630227368883279</v>
          </cell>
          <cell r="GG33">
            <v>1935.6683828606779</v>
          </cell>
          <cell r="GH33">
            <v>0</v>
          </cell>
        </row>
        <row r="34">
          <cell r="A34" t="str">
            <v xml:space="preserve"> accumulated profit</v>
          </cell>
          <cell r="Q34">
            <v>1161</v>
          </cell>
          <cell r="U34">
            <v>1161</v>
          </cell>
          <cell r="AD34">
            <v>1161</v>
          </cell>
          <cell r="AJ34">
            <v>0</v>
          </cell>
          <cell r="AP34">
            <v>0</v>
          </cell>
          <cell r="AT34">
            <v>1161</v>
          </cell>
          <cell r="AX34">
            <v>1161</v>
          </cell>
          <cell r="AY34">
            <v>0</v>
          </cell>
          <cell r="AZ34" t="str">
            <v xml:space="preserve"> accumulated profit</v>
          </cell>
          <cell r="BQ34">
            <v>3204.6</v>
          </cell>
          <cell r="BU34">
            <v>3204.6</v>
          </cell>
          <cell r="BX34">
            <v>0</v>
          </cell>
          <cell r="CD34">
            <v>3204.6</v>
          </cell>
          <cell r="CJ34">
            <v>0</v>
          </cell>
          <cell r="CP34">
            <v>0</v>
          </cell>
          <cell r="CT34">
            <v>3204.6</v>
          </cell>
          <cell r="CV34">
            <v>0</v>
          </cell>
          <cell r="CX34">
            <v>3204.6</v>
          </cell>
          <cell r="FC34">
            <v>0</v>
          </cell>
          <cell r="FF34">
            <v>0</v>
          </cell>
          <cell r="FI34">
            <v>4640.634</v>
          </cell>
          <cell r="FN34">
            <v>4640.634</v>
          </cell>
          <cell r="FO34">
            <v>0</v>
          </cell>
          <cell r="FR34">
            <v>0</v>
          </cell>
          <cell r="FS34">
            <v>0</v>
          </cell>
          <cell r="FT34">
            <v>4640.634</v>
          </cell>
          <cell r="FU34">
            <v>0</v>
          </cell>
          <cell r="FV34">
            <v>4640.634</v>
          </cell>
          <cell r="FW34" t="str">
            <v xml:space="preserve"> accumulated profit</v>
          </cell>
          <cell r="FX34">
            <v>4640.634</v>
          </cell>
          <cell r="FY34">
            <v>0</v>
          </cell>
          <cell r="GA34">
            <v>4640.634</v>
          </cell>
          <cell r="GB34">
            <v>4702.8625858087789</v>
          </cell>
          <cell r="GC34">
            <v>4640.634</v>
          </cell>
          <cell r="GD34">
            <v>4702.8625858087789</v>
          </cell>
          <cell r="GE34">
            <v>0</v>
          </cell>
          <cell r="GF34">
            <v>3.9971007751937986</v>
          </cell>
          <cell r="GG34">
            <v>4474.0057393431171</v>
          </cell>
          <cell r="GH34">
            <v>0</v>
          </cell>
        </row>
        <row r="35">
          <cell r="A35" t="str">
            <v xml:space="preserve"> profit-(equity method)</v>
          </cell>
          <cell r="I35">
            <v>0</v>
          </cell>
          <cell r="Q35">
            <v>-313.3</v>
          </cell>
          <cell r="S35">
            <v>0</v>
          </cell>
          <cell r="U35">
            <v>-313.3</v>
          </cell>
          <cell r="AD35">
            <v>-313.3</v>
          </cell>
          <cell r="AF35">
            <v>0</v>
          </cell>
          <cell r="AH35">
            <v>0</v>
          </cell>
          <cell r="AJ35">
            <v>0</v>
          </cell>
          <cell r="AP35">
            <v>0</v>
          </cell>
          <cell r="AR35">
            <v>0</v>
          </cell>
          <cell r="AT35">
            <v>-313.3</v>
          </cell>
          <cell r="AV35">
            <v>0</v>
          </cell>
          <cell r="AX35">
            <v>-313.3</v>
          </cell>
          <cell r="AY35">
            <v>0</v>
          </cell>
          <cell r="AZ35" t="str">
            <v xml:space="preserve"> profit-(equity method)</v>
          </cell>
          <cell r="BC35">
            <v>0</v>
          </cell>
          <cell r="BG35">
            <v>0</v>
          </cell>
          <cell r="BI35">
            <v>0</v>
          </cell>
          <cell r="BQ35">
            <v>-3610.6</v>
          </cell>
          <cell r="BU35">
            <v>-3610.6</v>
          </cell>
          <cell r="BX35">
            <v>0</v>
          </cell>
          <cell r="CD35">
            <v>-3610.6</v>
          </cell>
          <cell r="CF35">
            <v>0</v>
          </cell>
          <cell r="CH35">
            <v>0</v>
          </cell>
          <cell r="CJ35">
            <v>0</v>
          </cell>
          <cell r="CP35">
            <v>0</v>
          </cell>
          <cell r="CR35">
            <v>0</v>
          </cell>
          <cell r="CT35">
            <v>-3610.6</v>
          </cell>
          <cell r="CV35">
            <v>0</v>
          </cell>
          <cell r="CX35">
            <v>-3610.6</v>
          </cell>
          <cell r="FC35">
            <v>0</v>
          </cell>
          <cell r="FF35">
            <v>0</v>
          </cell>
          <cell r="FI35">
            <v>-2689.9</v>
          </cell>
          <cell r="FN35">
            <v>-2689.9</v>
          </cell>
          <cell r="FO35">
            <v>0</v>
          </cell>
          <cell r="FR35">
            <v>0</v>
          </cell>
          <cell r="FS35">
            <v>0</v>
          </cell>
          <cell r="FT35">
            <v>-2689.9</v>
          </cell>
          <cell r="FU35">
            <v>0</v>
          </cell>
          <cell r="FV35">
            <v>-2689.9</v>
          </cell>
          <cell r="FW35" t="str">
            <v xml:space="preserve"> profit-(equity method)</v>
          </cell>
          <cell r="FX35">
            <v>-2689.9</v>
          </cell>
          <cell r="FY35">
            <v>0</v>
          </cell>
          <cell r="GA35">
            <v>-2689.9</v>
          </cell>
          <cell r="GB35">
            <v>-2725.9702164762475</v>
          </cell>
          <cell r="GC35">
            <v>-2689.9</v>
          </cell>
          <cell r="GD35">
            <v>-2725.9702164762475</v>
          </cell>
          <cell r="GE35">
            <v>0</v>
          </cell>
          <cell r="GF35">
            <v>8.5857006064474941</v>
          </cell>
          <cell r="GG35">
            <v>188.19140696648486</v>
          </cell>
          <cell r="GH35">
            <v>0</v>
          </cell>
        </row>
        <row r="36">
          <cell r="B36" t="str">
            <v xml:space="preserve">total </v>
          </cell>
          <cell r="C36">
            <v>0</v>
          </cell>
          <cell r="E36">
            <v>0</v>
          </cell>
          <cell r="G36">
            <v>0</v>
          </cell>
          <cell r="I36">
            <v>0</v>
          </cell>
          <cell r="M36">
            <v>0</v>
          </cell>
          <cell r="O36">
            <v>0</v>
          </cell>
          <cell r="Q36">
            <v>1349.009</v>
          </cell>
          <cell r="S36">
            <v>0</v>
          </cell>
          <cell r="U36">
            <v>1349.009</v>
          </cell>
          <cell r="W36">
            <v>326</v>
          </cell>
          <cell r="X36">
            <v>326</v>
          </cell>
          <cell r="Z36">
            <v>0</v>
          </cell>
          <cell r="AB36">
            <v>0</v>
          </cell>
          <cell r="AD36">
            <v>2001.0090000000002</v>
          </cell>
          <cell r="AF36">
            <v>0</v>
          </cell>
          <cell r="AH36">
            <v>0</v>
          </cell>
          <cell r="AJ36">
            <v>0</v>
          </cell>
          <cell r="AL36">
            <v>0</v>
          </cell>
          <cell r="AN36">
            <v>0</v>
          </cell>
          <cell r="AP36">
            <v>0</v>
          </cell>
          <cell r="AR36">
            <v>0</v>
          </cell>
          <cell r="AT36">
            <v>2001.0090000000002</v>
          </cell>
          <cell r="AV36">
            <v>0</v>
          </cell>
          <cell r="AX36">
            <v>2001.0090000000002</v>
          </cell>
          <cell r="AY36">
            <v>0</v>
          </cell>
          <cell r="BA36" t="str">
            <v xml:space="preserve">total </v>
          </cell>
          <cell r="BC36">
            <v>0</v>
          </cell>
          <cell r="BE36">
            <v>0</v>
          </cell>
          <cell r="BG36">
            <v>0</v>
          </cell>
          <cell r="BI36">
            <v>0</v>
          </cell>
          <cell r="BO36">
            <v>0</v>
          </cell>
          <cell r="BQ36">
            <v>1646</v>
          </cell>
          <cell r="BS36">
            <v>0</v>
          </cell>
          <cell r="BU36">
            <v>1646</v>
          </cell>
          <cell r="BW36">
            <v>621</v>
          </cell>
          <cell r="BX36">
            <v>621</v>
          </cell>
          <cell r="BZ36">
            <v>0</v>
          </cell>
          <cell r="CB36">
            <v>0</v>
          </cell>
          <cell r="CD36">
            <v>2888</v>
          </cell>
          <cell r="CF36">
            <v>0</v>
          </cell>
          <cell r="CH36">
            <v>0</v>
          </cell>
          <cell r="CJ36">
            <v>0</v>
          </cell>
          <cell r="CL36">
            <v>0</v>
          </cell>
          <cell r="CP36">
            <v>0</v>
          </cell>
          <cell r="CR36">
            <v>0</v>
          </cell>
          <cell r="CT36">
            <v>2888</v>
          </cell>
          <cell r="CV36">
            <v>0</v>
          </cell>
          <cell r="CX36">
            <v>2888</v>
          </cell>
          <cell r="FC36">
            <v>0</v>
          </cell>
          <cell r="FE36">
            <v>0</v>
          </cell>
          <cell r="FF36">
            <v>0</v>
          </cell>
          <cell r="FI36">
            <v>4055.2339999999999</v>
          </cell>
          <cell r="FJ36">
            <v>1092</v>
          </cell>
          <cell r="FK36">
            <v>1092</v>
          </cell>
          <cell r="FM36">
            <v>0</v>
          </cell>
          <cell r="FN36">
            <v>6239.2340000000004</v>
          </cell>
          <cell r="FO36">
            <v>0</v>
          </cell>
          <cell r="FQ36">
            <v>0</v>
          </cell>
          <cell r="FR36">
            <v>0</v>
          </cell>
          <cell r="FS36">
            <v>0</v>
          </cell>
          <cell r="FT36">
            <v>6239.2340000000004</v>
          </cell>
          <cell r="FU36">
            <v>0</v>
          </cell>
          <cell r="FV36">
            <v>6239.2340000000004</v>
          </cell>
          <cell r="FX36">
            <v>6239.2340000000004</v>
          </cell>
          <cell r="FY36">
            <v>0</v>
          </cell>
          <cell r="FZ36">
            <v>0</v>
          </cell>
          <cell r="GA36">
            <v>6239.2340000000004</v>
          </cell>
          <cell r="GB36">
            <v>6322.8990139506914</v>
          </cell>
          <cell r="GC36">
            <v>6239.2340000000004</v>
          </cell>
          <cell r="GD36">
            <v>6322.8990139506914</v>
          </cell>
          <cell r="GE36">
            <v>0</v>
          </cell>
          <cell r="GF36">
            <v>3.1180439468288248</v>
          </cell>
          <cell r="GG36">
            <v>6677.4777166294571</v>
          </cell>
          <cell r="GH36">
            <v>0</v>
          </cell>
        </row>
        <row r="37">
          <cell r="A37" t="str">
            <v>G. LINES-shares</v>
          </cell>
          <cell r="B37">
            <v>0.25</v>
          </cell>
          <cell r="C37">
            <v>3000.395</v>
          </cell>
          <cell r="I37">
            <v>3000.395</v>
          </cell>
          <cell r="U37">
            <v>0</v>
          </cell>
          <cell r="AD37">
            <v>0</v>
          </cell>
          <cell r="AJ37">
            <v>0</v>
          </cell>
          <cell r="AP37">
            <v>0</v>
          </cell>
          <cell r="AT37">
            <v>3000.395</v>
          </cell>
          <cell r="AX37">
            <v>3000.395</v>
          </cell>
          <cell r="AY37">
            <v>0</v>
          </cell>
          <cell r="AZ37" t="str">
            <v>G. LINES-shares</v>
          </cell>
          <cell r="BA37">
            <v>0.25</v>
          </cell>
          <cell r="BC37">
            <v>10208.061</v>
          </cell>
          <cell r="BI37">
            <v>10208.061</v>
          </cell>
          <cell r="BU37">
            <v>0</v>
          </cell>
          <cell r="BX37">
            <v>0</v>
          </cell>
          <cell r="CD37">
            <v>0</v>
          </cell>
          <cell r="CJ37">
            <v>0</v>
          </cell>
          <cell r="CP37">
            <v>0</v>
          </cell>
          <cell r="CT37">
            <v>10208.061</v>
          </cell>
          <cell r="CX37">
            <v>10208.061</v>
          </cell>
          <cell r="FC37">
            <v>11481.325930764207</v>
          </cell>
          <cell r="FF37">
            <v>11481.325930764207</v>
          </cell>
          <cell r="FN37">
            <v>0</v>
          </cell>
          <cell r="FO37">
            <v>0</v>
          </cell>
          <cell r="FR37">
            <v>0</v>
          </cell>
          <cell r="FS37">
            <v>0</v>
          </cell>
          <cell r="FT37">
            <v>11481.325930764207</v>
          </cell>
          <cell r="FV37">
            <v>11481.325930764207</v>
          </cell>
          <cell r="FW37" t="str">
            <v>G. LINES-shares</v>
          </cell>
          <cell r="FX37">
            <v>0</v>
          </cell>
          <cell r="FY37">
            <v>0</v>
          </cell>
          <cell r="GA37">
            <v>0</v>
          </cell>
          <cell r="GB37">
            <v>0</v>
          </cell>
          <cell r="GC37">
            <v>11481.325930764207</v>
          </cell>
          <cell r="GD37">
            <v>11635.284781188766</v>
          </cell>
          <cell r="GE37">
            <v>11481.325930764207</v>
          </cell>
          <cell r="GF37">
            <v>3.8266048072884429</v>
          </cell>
          <cell r="GG37">
            <v>11481.48777726976</v>
          </cell>
          <cell r="GH37">
            <v>0</v>
          </cell>
        </row>
        <row r="38">
          <cell r="A38" t="str">
            <v xml:space="preserve"> long term loans (index)</v>
          </cell>
          <cell r="C38">
            <v>736.54499999999996</v>
          </cell>
          <cell r="G38">
            <v>-25.857559999999999</v>
          </cell>
          <cell r="I38">
            <v>710.68743999999992</v>
          </cell>
          <cell r="U38">
            <v>0</v>
          </cell>
          <cell r="AD38">
            <v>0</v>
          </cell>
          <cell r="AJ38">
            <v>0</v>
          </cell>
          <cell r="AP38">
            <v>0</v>
          </cell>
          <cell r="AT38">
            <v>710.68743999999992</v>
          </cell>
          <cell r="AX38">
            <v>710.68743999999992</v>
          </cell>
          <cell r="AY38">
            <v>0</v>
          </cell>
          <cell r="AZ38" t="str">
            <v xml:space="preserve"> long term loans</v>
          </cell>
          <cell r="BC38">
            <v>2832.0149999999999</v>
          </cell>
          <cell r="BG38">
            <v>124.44499999999999</v>
          </cell>
          <cell r="BI38">
            <v>2956.46</v>
          </cell>
          <cell r="BU38">
            <v>0</v>
          </cell>
          <cell r="BX38">
            <v>0</v>
          </cell>
          <cell r="CD38">
            <v>0</v>
          </cell>
          <cell r="CJ38">
            <v>0</v>
          </cell>
          <cell r="CP38">
            <v>0</v>
          </cell>
          <cell r="CT38">
            <v>2956.46</v>
          </cell>
          <cell r="CX38">
            <v>2956.46</v>
          </cell>
          <cell r="FC38">
            <v>2956.46</v>
          </cell>
          <cell r="FF38">
            <v>2956.46</v>
          </cell>
          <cell r="FN38">
            <v>0</v>
          </cell>
          <cell r="FO38">
            <v>0</v>
          </cell>
          <cell r="FR38">
            <v>0</v>
          </cell>
          <cell r="FS38">
            <v>0</v>
          </cell>
          <cell r="FT38">
            <v>2956.46</v>
          </cell>
          <cell r="FV38">
            <v>2956.46</v>
          </cell>
          <cell r="FW38" t="str">
            <v xml:space="preserve"> long term loans (index)</v>
          </cell>
          <cell r="FX38">
            <v>0</v>
          </cell>
          <cell r="FY38">
            <v>0</v>
          </cell>
          <cell r="GA38">
            <v>0</v>
          </cell>
          <cell r="GB38">
            <v>0</v>
          </cell>
          <cell r="GC38">
            <v>2956.46</v>
          </cell>
          <cell r="GD38">
            <v>2996.1046530366807</v>
          </cell>
          <cell r="GE38">
            <v>2956.46</v>
          </cell>
          <cell r="GF38">
            <v>4.1600003512092467</v>
          </cell>
          <cell r="GG38">
            <v>2956.7770005310836</v>
          </cell>
          <cell r="GH38">
            <v>0</v>
          </cell>
        </row>
        <row r="39">
          <cell r="A39" t="str">
            <v xml:space="preserve"> long term loans $</v>
          </cell>
          <cell r="C39">
            <v>10563.864</v>
          </cell>
          <cell r="G39">
            <v>113.33150000000001</v>
          </cell>
          <cell r="I39">
            <v>10677.1955</v>
          </cell>
          <cell r="U39">
            <v>0</v>
          </cell>
          <cell r="AD39">
            <v>0</v>
          </cell>
          <cell r="AJ39">
            <v>0</v>
          </cell>
          <cell r="AP39">
            <v>0</v>
          </cell>
          <cell r="AT39">
            <v>10677.1955</v>
          </cell>
          <cell r="AX39">
            <v>10677.1955</v>
          </cell>
          <cell r="AY39">
            <v>0</v>
          </cell>
          <cell r="AZ39" t="str">
            <v xml:space="preserve"> long term loans</v>
          </cell>
          <cell r="BC39">
            <v>40618.059000000001</v>
          </cell>
          <cell r="BG39">
            <v>3799.0748699999999</v>
          </cell>
          <cell r="BI39">
            <v>44417.133869999998</v>
          </cell>
          <cell r="BU39">
            <v>0</v>
          </cell>
          <cell r="BX39">
            <v>0</v>
          </cell>
          <cell r="CD39">
            <v>0</v>
          </cell>
          <cell r="CJ39">
            <v>0</v>
          </cell>
          <cell r="CP39">
            <v>0</v>
          </cell>
          <cell r="CT39">
            <v>44417.133869999998</v>
          </cell>
          <cell r="CX39">
            <v>44417.133869999998</v>
          </cell>
          <cell r="FC39">
            <v>44417.133999999998</v>
          </cell>
          <cell r="FF39">
            <v>44417.133999999998</v>
          </cell>
          <cell r="FN39">
            <v>0</v>
          </cell>
          <cell r="FO39">
            <v>0</v>
          </cell>
          <cell r="FR39">
            <v>0</v>
          </cell>
          <cell r="FS39">
            <v>0</v>
          </cell>
          <cell r="FT39">
            <v>44417.133999999998</v>
          </cell>
          <cell r="FV39">
            <v>44417.133999999998</v>
          </cell>
          <cell r="FW39" t="str">
            <v xml:space="preserve"> long term loans $</v>
          </cell>
          <cell r="FX39">
            <v>0</v>
          </cell>
          <cell r="FY39">
            <v>0</v>
          </cell>
          <cell r="GA39">
            <v>0</v>
          </cell>
          <cell r="GB39">
            <v>0</v>
          </cell>
          <cell r="GC39">
            <v>44417.133999999998</v>
          </cell>
          <cell r="GD39">
            <v>45012.745598436552</v>
          </cell>
          <cell r="GE39">
            <v>44417.133999999998</v>
          </cell>
          <cell r="GF39">
            <v>4.1600000674334376</v>
          </cell>
          <cell r="GG39">
            <v>11564.964728935338</v>
          </cell>
          <cell r="GH39">
            <v>0</v>
          </cell>
        </row>
        <row r="40">
          <cell r="A40" t="str">
            <v xml:space="preserve"> accumulated loss</v>
          </cell>
          <cell r="C40">
            <v>-8484.25</v>
          </cell>
          <cell r="I40">
            <v>-8484.25</v>
          </cell>
          <cell r="U40">
            <v>0</v>
          </cell>
          <cell r="AD40">
            <v>0</v>
          </cell>
          <cell r="AJ40">
            <v>0</v>
          </cell>
          <cell r="AP40">
            <v>0</v>
          </cell>
          <cell r="AT40">
            <v>-8484.25</v>
          </cell>
          <cell r="AX40">
            <v>-8484</v>
          </cell>
          <cell r="AY40">
            <v>-0.25</v>
          </cell>
          <cell r="AZ40" t="str">
            <v xml:space="preserve"> accumulated loss</v>
          </cell>
          <cell r="BC40">
            <v>-30299.5</v>
          </cell>
          <cell r="BI40">
            <v>-30299.5</v>
          </cell>
          <cell r="BU40">
            <v>0</v>
          </cell>
          <cell r="BX40">
            <v>0</v>
          </cell>
          <cell r="CD40">
            <v>0</v>
          </cell>
          <cell r="CJ40">
            <v>0</v>
          </cell>
          <cell r="CP40">
            <v>0</v>
          </cell>
          <cell r="CT40">
            <v>-30299.5</v>
          </cell>
          <cell r="CX40">
            <v>-30299.5</v>
          </cell>
          <cell r="FC40">
            <v>-32650.631613324629</v>
          </cell>
          <cell r="FF40">
            <v>-32650.631613324629</v>
          </cell>
          <cell r="FN40">
            <v>0</v>
          </cell>
          <cell r="FO40">
            <v>0</v>
          </cell>
          <cell r="FR40">
            <v>0</v>
          </cell>
          <cell r="FS40">
            <v>0</v>
          </cell>
          <cell r="FT40">
            <v>-32650.631613324629</v>
          </cell>
          <cell r="FV40">
            <v>-32651</v>
          </cell>
          <cell r="FW40" t="str">
            <v xml:space="preserve"> accumulated loss</v>
          </cell>
          <cell r="FX40">
            <v>0</v>
          </cell>
          <cell r="FY40">
            <v>0</v>
          </cell>
          <cell r="GA40">
            <v>0</v>
          </cell>
          <cell r="GB40">
            <v>0</v>
          </cell>
          <cell r="GC40">
            <v>-32651</v>
          </cell>
          <cell r="GD40">
            <v>-33088.833613950694</v>
          </cell>
          <cell r="GE40">
            <v>-32651</v>
          </cell>
          <cell r="GF40">
            <v>3.8485384252710984</v>
          </cell>
          <cell r="GG40">
            <v>-633.26518615284135</v>
          </cell>
          <cell r="GH40">
            <v>0.36838667537085712</v>
          </cell>
        </row>
        <row r="41">
          <cell r="A41" t="str">
            <v xml:space="preserve"> loss-(equity method)</v>
          </cell>
          <cell r="C41">
            <v>-3871.42</v>
          </cell>
          <cell r="G41">
            <v>-948.33</v>
          </cell>
          <cell r="I41">
            <v>-4819.75</v>
          </cell>
          <cell r="U41">
            <v>0</v>
          </cell>
          <cell r="AD41">
            <v>0</v>
          </cell>
          <cell r="AJ41">
            <v>0</v>
          </cell>
          <cell r="AP41">
            <v>0</v>
          </cell>
          <cell r="AT41">
            <v>-4819.75</v>
          </cell>
          <cell r="AX41">
            <v>-4820</v>
          </cell>
          <cell r="AY41">
            <v>0.25</v>
          </cell>
          <cell r="AZ41" t="str">
            <v xml:space="preserve"> loss-(equity method)</v>
          </cell>
          <cell r="BC41">
            <v>-19444.738000000001</v>
          </cell>
          <cell r="BG41">
            <v>-9880.0119999999988</v>
          </cell>
          <cell r="BI41">
            <v>-29324.75</v>
          </cell>
          <cell r="BU41">
            <v>0</v>
          </cell>
          <cell r="BX41">
            <v>0</v>
          </cell>
          <cell r="CD41">
            <v>0</v>
          </cell>
          <cell r="CJ41">
            <v>0</v>
          </cell>
          <cell r="CP41">
            <v>0</v>
          </cell>
          <cell r="CT41">
            <v>-29324.75</v>
          </cell>
          <cell r="CX41">
            <v>-29324.75</v>
          </cell>
          <cell r="FC41">
            <v>-24824.75</v>
          </cell>
          <cell r="FE41">
            <v>0</v>
          </cell>
          <cell r="FF41">
            <v>-24824.75</v>
          </cell>
          <cell r="FN41">
            <v>0</v>
          </cell>
          <cell r="FO41">
            <v>0</v>
          </cell>
          <cell r="FR41">
            <v>0</v>
          </cell>
          <cell r="FS41">
            <v>0</v>
          </cell>
          <cell r="FT41">
            <v>-24824.75</v>
          </cell>
          <cell r="FV41">
            <v>-24825</v>
          </cell>
          <cell r="FW41" t="str">
            <v xml:space="preserve"> loss-(equity method)</v>
          </cell>
          <cell r="FX41">
            <v>0</v>
          </cell>
          <cell r="FY41">
            <v>0</v>
          </cell>
          <cell r="GA41">
            <v>0</v>
          </cell>
          <cell r="GB41">
            <v>0</v>
          </cell>
          <cell r="GC41">
            <v>-24825</v>
          </cell>
          <cell r="GD41">
            <v>-25157.890859891759</v>
          </cell>
          <cell r="GE41">
            <v>-24825</v>
          </cell>
          <cell r="GF41">
            <v>5.1504149377593365</v>
          </cell>
          <cell r="GG41">
            <v>-32017.36642717179</v>
          </cell>
          <cell r="GH41">
            <v>0.25</v>
          </cell>
        </row>
        <row r="42">
          <cell r="A42" t="str">
            <v xml:space="preserve"> goodwill</v>
          </cell>
          <cell r="C42">
            <v>132.119</v>
          </cell>
          <cell r="I42">
            <v>132.119</v>
          </cell>
          <cell r="U42">
            <v>0</v>
          </cell>
          <cell r="AD42">
            <v>0</v>
          </cell>
          <cell r="AJ42">
            <v>0</v>
          </cell>
          <cell r="AP42">
            <v>0</v>
          </cell>
          <cell r="AT42">
            <v>132.119</v>
          </cell>
          <cell r="AX42">
            <v>132.119</v>
          </cell>
          <cell r="AY42">
            <v>0</v>
          </cell>
          <cell r="AZ42" t="str">
            <v xml:space="preserve"> goodwill</v>
          </cell>
          <cell r="BC42">
            <v>429.51774999999998</v>
          </cell>
          <cell r="BI42">
            <v>429.51774999999998</v>
          </cell>
          <cell r="BU42">
            <v>0</v>
          </cell>
          <cell r="BX42">
            <v>0</v>
          </cell>
          <cell r="CD42">
            <v>0</v>
          </cell>
          <cell r="CJ42">
            <v>0</v>
          </cell>
          <cell r="CP42">
            <v>0</v>
          </cell>
          <cell r="CT42">
            <v>429.51774999999998</v>
          </cell>
          <cell r="CX42">
            <v>429.51774999999998</v>
          </cell>
          <cell r="FC42">
            <v>499.15300000000002</v>
          </cell>
          <cell r="FF42">
            <v>499.15300000000002</v>
          </cell>
          <cell r="FN42">
            <v>0</v>
          </cell>
          <cell r="FO42">
            <v>0</v>
          </cell>
          <cell r="FR42">
            <v>0</v>
          </cell>
          <cell r="FS42">
            <v>0</v>
          </cell>
          <cell r="FT42">
            <v>499.15300000000002</v>
          </cell>
          <cell r="FV42">
            <v>499.15300000000002</v>
          </cell>
          <cell r="FW42" t="str">
            <v xml:space="preserve"> goodwill</v>
          </cell>
          <cell r="FX42">
            <v>0</v>
          </cell>
          <cell r="FY42">
            <v>0</v>
          </cell>
          <cell r="GA42">
            <v>0</v>
          </cell>
          <cell r="GB42">
            <v>0</v>
          </cell>
          <cell r="GC42">
            <v>499.15300000000002</v>
          </cell>
          <cell r="GD42">
            <v>505.84639260372819</v>
          </cell>
          <cell r="GE42">
            <v>499.15300000000002</v>
          </cell>
          <cell r="GF42">
            <v>3.7780561463529092</v>
          </cell>
          <cell r="GG42">
            <v>557.87694112508734</v>
          </cell>
          <cell r="GH42">
            <v>0</v>
          </cell>
        </row>
        <row r="43">
          <cell r="C43">
            <v>2077.2530000000002</v>
          </cell>
          <cell r="E43">
            <v>0</v>
          </cell>
          <cell r="G43">
            <v>-860.85605999999996</v>
          </cell>
          <cell r="I43">
            <v>1216.3969399999999</v>
          </cell>
          <cell r="M43">
            <v>0</v>
          </cell>
          <cell r="O43">
            <v>0</v>
          </cell>
          <cell r="Q43">
            <v>0</v>
          </cell>
          <cell r="S43">
            <v>0</v>
          </cell>
          <cell r="U43">
            <v>0</v>
          </cell>
          <cell r="Z43">
            <v>0</v>
          </cell>
          <cell r="AB43">
            <v>0</v>
          </cell>
          <cell r="AD43">
            <v>0</v>
          </cell>
          <cell r="AF43">
            <v>0</v>
          </cell>
          <cell r="AH43">
            <v>0</v>
          </cell>
          <cell r="AJ43">
            <v>0</v>
          </cell>
          <cell r="AL43">
            <v>0</v>
          </cell>
          <cell r="AN43">
            <v>0</v>
          </cell>
          <cell r="AP43">
            <v>0</v>
          </cell>
          <cell r="AR43">
            <v>0</v>
          </cell>
          <cell r="AT43">
            <v>1216.3969399999999</v>
          </cell>
          <cell r="AV43">
            <v>0</v>
          </cell>
          <cell r="AX43">
            <v>1216.3969399999999</v>
          </cell>
          <cell r="AY43">
            <v>0</v>
          </cell>
          <cell r="BC43">
            <v>4343.4147500000008</v>
          </cell>
          <cell r="BE43">
            <v>0</v>
          </cell>
          <cell r="BG43">
            <v>-5956.4921299999987</v>
          </cell>
          <cell r="BI43">
            <v>-1613.0773800000015</v>
          </cell>
          <cell r="BO43">
            <v>0</v>
          </cell>
          <cell r="BQ43">
            <v>0</v>
          </cell>
          <cell r="BS43">
            <v>0</v>
          </cell>
          <cell r="BU43">
            <v>0</v>
          </cell>
          <cell r="BX43">
            <v>0</v>
          </cell>
          <cell r="BZ43">
            <v>0</v>
          </cell>
          <cell r="CB43">
            <v>0</v>
          </cell>
          <cell r="CD43">
            <v>0</v>
          </cell>
          <cell r="CF43">
            <v>0</v>
          </cell>
          <cell r="CH43">
            <v>0</v>
          </cell>
          <cell r="CJ43">
            <v>0</v>
          </cell>
          <cell r="CL43">
            <v>0</v>
          </cell>
          <cell r="CN43">
            <v>0</v>
          </cell>
          <cell r="CP43">
            <v>0</v>
          </cell>
          <cell r="CR43">
            <v>0</v>
          </cell>
          <cell r="CT43">
            <v>-1613.0773800000015</v>
          </cell>
          <cell r="CV43">
            <v>0</v>
          </cell>
          <cell r="CX43">
            <v>-1613.0773800000015</v>
          </cell>
          <cell r="FC43">
            <v>1878.6913174395756</v>
          </cell>
          <cell r="FE43">
            <v>0</v>
          </cell>
          <cell r="FF43">
            <v>1878.6913174395756</v>
          </cell>
          <cell r="FI43">
            <v>0</v>
          </cell>
          <cell r="FM43">
            <v>0</v>
          </cell>
          <cell r="FN43">
            <v>0</v>
          </cell>
          <cell r="FO43">
            <v>0</v>
          </cell>
          <cell r="FQ43">
            <v>0</v>
          </cell>
          <cell r="FR43">
            <v>0</v>
          </cell>
          <cell r="FS43">
            <v>0</v>
          </cell>
          <cell r="FT43">
            <v>1878.6913174395756</v>
          </cell>
          <cell r="FU43">
            <v>0</v>
          </cell>
          <cell r="FV43">
            <v>1878.0729307642048</v>
          </cell>
          <cell r="FX43">
            <v>0</v>
          </cell>
          <cell r="FY43">
            <v>0</v>
          </cell>
          <cell r="FZ43">
            <v>0</v>
          </cell>
          <cell r="GA43">
            <v>0</v>
          </cell>
          <cell r="GB43">
            <v>0</v>
          </cell>
          <cell r="GC43">
            <v>1878.0729307642048</v>
          </cell>
          <cell r="GD43">
            <v>1903.2569514232771</v>
          </cell>
          <cell r="GE43">
            <v>1878.0729307642048</v>
          </cell>
          <cell r="GF43">
            <v>1.5439638731450649</v>
          </cell>
          <cell r="GG43">
            <v>-6089.5251654633603</v>
          </cell>
          <cell r="GH43">
            <v>0.61838667537085712</v>
          </cell>
        </row>
        <row r="44">
          <cell r="A44" t="str">
            <v>MERCAZ-shares</v>
          </cell>
          <cell r="B44">
            <v>0.7</v>
          </cell>
          <cell r="C44">
            <v>0.72399999999999998</v>
          </cell>
          <cell r="I44">
            <v>0.72399999999999998</v>
          </cell>
          <cell r="U44">
            <v>0</v>
          </cell>
          <cell r="AD44">
            <v>0</v>
          </cell>
          <cell r="AJ44">
            <v>0</v>
          </cell>
          <cell r="AP44">
            <v>0</v>
          </cell>
          <cell r="AR44">
            <v>0</v>
          </cell>
          <cell r="AT44">
            <v>0.72399999999999998</v>
          </cell>
          <cell r="AV44">
            <v>-0.72399999999999998</v>
          </cell>
          <cell r="AX44">
            <v>0</v>
          </cell>
          <cell r="AY44">
            <v>0</v>
          </cell>
          <cell r="AZ44" t="str">
            <v>MERCAZ-shares</v>
          </cell>
          <cell r="BA44">
            <v>0.7</v>
          </cell>
          <cell r="BC44">
            <v>1.4</v>
          </cell>
          <cell r="BE44">
            <v>0</v>
          </cell>
          <cell r="BG44">
            <v>0</v>
          </cell>
          <cell r="BI44">
            <v>1.4</v>
          </cell>
          <cell r="BU44">
            <v>0</v>
          </cell>
          <cell r="BX44">
            <v>0</v>
          </cell>
          <cell r="CD44">
            <v>0</v>
          </cell>
          <cell r="CF44">
            <v>0</v>
          </cell>
          <cell r="CH44">
            <v>0</v>
          </cell>
          <cell r="CJ44">
            <v>0</v>
          </cell>
          <cell r="CP44">
            <v>0</v>
          </cell>
          <cell r="CR44">
            <v>0</v>
          </cell>
          <cell r="CT44">
            <v>1.4</v>
          </cell>
          <cell r="CV44">
            <v>-1.4</v>
          </cell>
          <cell r="CX44">
            <v>0</v>
          </cell>
          <cell r="FC44">
            <v>653.90333115610724</v>
          </cell>
          <cell r="FF44">
            <v>653.90333115610724</v>
          </cell>
          <cell r="FN44">
            <v>0</v>
          </cell>
          <cell r="FO44">
            <v>0</v>
          </cell>
          <cell r="FR44">
            <v>0</v>
          </cell>
          <cell r="FS44">
            <v>0</v>
          </cell>
          <cell r="FT44">
            <v>653.90333115610724</v>
          </cell>
          <cell r="FU44">
            <v>-653.90333115610724</v>
          </cell>
          <cell r="FV44">
            <v>0</v>
          </cell>
          <cell r="FW44" t="str">
            <v>MERCAZ-shares</v>
          </cell>
          <cell r="FX44">
            <v>0</v>
          </cell>
          <cell r="FY44">
            <v>0</v>
          </cell>
          <cell r="GA44">
            <v>0</v>
          </cell>
          <cell r="GB44">
            <v>0</v>
          </cell>
          <cell r="GC44">
            <v>0</v>
          </cell>
          <cell r="GD44">
            <v>0</v>
          </cell>
          <cell r="GE44">
            <v>0</v>
          </cell>
          <cell r="GF44" t="e">
            <v>#DIV/0!</v>
          </cell>
          <cell r="GG44">
            <v>0</v>
          </cell>
          <cell r="GH44">
            <v>0</v>
          </cell>
        </row>
        <row r="45">
          <cell r="A45" t="str">
            <v xml:space="preserve"> long term loans</v>
          </cell>
          <cell r="C45">
            <v>5790.5619999999999</v>
          </cell>
          <cell r="I45">
            <v>5790.5619999999999</v>
          </cell>
          <cell r="U45">
            <v>0</v>
          </cell>
          <cell r="AD45">
            <v>0</v>
          </cell>
          <cell r="AJ45">
            <v>0</v>
          </cell>
          <cell r="AP45">
            <v>0</v>
          </cell>
          <cell r="AT45">
            <v>5790.5619999999999</v>
          </cell>
          <cell r="AV45">
            <v>-5790.5619999999999</v>
          </cell>
          <cell r="AX45">
            <v>0</v>
          </cell>
          <cell r="AY45">
            <v>0</v>
          </cell>
          <cell r="AZ45" t="str">
            <v xml:space="preserve"> long term loans</v>
          </cell>
          <cell r="BC45">
            <v>24088.737000000001</v>
          </cell>
          <cell r="BE45">
            <v>0</v>
          </cell>
          <cell r="BG45">
            <v>0</v>
          </cell>
          <cell r="BI45">
            <v>24088.737000000001</v>
          </cell>
          <cell r="BU45">
            <v>0</v>
          </cell>
          <cell r="BX45">
            <v>0</v>
          </cell>
          <cell r="CD45">
            <v>0</v>
          </cell>
          <cell r="CF45">
            <v>0</v>
          </cell>
          <cell r="CH45">
            <v>0</v>
          </cell>
          <cell r="CJ45">
            <v>0</v>
          </cell>
          <cell r="CP45">
            <v>0</v>
          </cell>
          <cell r="CT45">
            <v>24088.737000000001</v>
          </cell>
          <cell r="CV45">
            <v>-24088.737000000001</v>
          </cell>
          <cell r="CX45">
            <v>0</v>
          </cell>
          <cell r="FC45">
            <v>24088.737000000001</v>
          </cell>
          <cell r="FF45">
            <v>24088.737000000001</v>
          </cell>
          <cell r="FN45">
            <v>0</v>
          </cell>
          <cell r="FO45">
            <v>0</v>
          </cell>
          <cell r="FR45">
            <v>0</v>
          </cell>
          <cell r="FS45">
            <v>0</v>
          </cell>
          <cell r="FT45">
            <v>24088.737000000001</v>
          </cell>
          <cell r="FU45">
            <v>-24088.737000000001</v>
          </cell>
          <cell r="FV45">
            <v>0</v>
          </cell>
          <cell r="FW45" t="str">
            <v xml:space="preserve"> long term loans</v>
          </cell>
          <cell r="FX45">
            <v>0</v>
          </cell>
          <cell r="FY45">
            <v>0</v>
          </cell>
          <cell r="GA45">
            <v>0</v>
          </cell>
          <cell r="GB45">
            <v>0</v>
          </cell>
          <cell r="GC45">
            <v>0</v>
          </cell>
          <cell r="GD45">
            <v>0</v>
          </cell>
          <cell r="GE45">
            <v>0</v>
          </cell>
          <cell r="GF45" t="e">
            <v>#DIV/0!</v>
          </cell>
          <cell r="GG45">
            <v>0</v>
          </cell>
          <cell r="GH45">
            <v>0</v>
          </cell>
        </row>
        <row r="46">
          <cell r="A46" t="str">
            <v xml:space="preserve"> long term loans 4.6%</v>
          </cell>
          <cell r="C46">
            <v>9226.8590000000004</v>
          </cell>
          <cell r="I46">
            <v>9226.8590000000004</v>
          </cell>
          <cell r="U46">
            <v>0</v>
          </cell>
          <cell r="AD46">
            <v>0</v>
          </cell>
          <cell r="AJ46">
            <v>0</v>
          </cell>
          <cell r="AP46">
            <v>0</v>
          </cell>
          <cell r="AT46">
            <v>9226.8590000000004</v>
          </cell>
          <cell r="AV46">
            <v>-9226.8590000000004</v>
          </cell>
          <cell r="AX46">
            <v>0</v>
          </cell>
          <cell r="AY46">
            <v>0</v>
          </cell>
          <cell r="AZ46" t="str">
            <v xml:space="preserve"> long term loans4.6%</v>
          </cell>
          <cell r="BC46">
            <v>38383.732000000004</v>
          </cell>
          <cell r="BI46">
            <v>38383.732000000004</v>
          </cell>
          <cell r="BU46">
            <v>0</v>
          </cell>
          <cell r="BX46">
            <v>0</v>
          </cell>
          <cell r="CD46">
            <v>0</v>
          </cell>
          <cell r="CJ46">
            <v>0</v>
          </cell>
          <cell r="CP46">
            <v>0</v>
          </cell>
          <cell r="CT46">
            <v>38383.732000000004</v>
          </cell>
          <cell r="CV46">
            <v>-38383.732000000004</v>
          </cell>
          <cell r="CX46">
            <v>0</v>
          </cell>
          <cell r="FC46">
            <v>38383.732000000004</v>
          </cell>
          <cell r="FF46">
            <v>38383.732000000004</v>
          </cell>
          <cell r="FN46">
            <v>0</v>
          </cell>
          <cell r="FO46">
            <v>0</v>
          </cell>
          <cell r="FR46">
            <v>0</v>
          </cell>
          <cell r="FS46">
            <v>0</v>
          </cell>
          <cell r="FT46">
            <v>38383.732000000004</v>
          </cell>
          <cell r="FU46">
            <v>-38383.732000000004</v>
          </cell>
          <cell r="FV46">
            <v>0</v>
          </cell>
          <cell r="FW46" t="str">
            <v xml:space="preserve"> long term loans 4.6%</v>
          </cell>
          <cell r="FX46">
            <v>0</v>
          </cell>
          <cell r="FY46">
            <v>0</v>
          </cell>
          <cell r="GA46">
            <v>0</v>
          </cell>
          <cell r="GB46">
            <v>0</v>
          </cell>
          <cell r="GC46">
            <v>0</v>
          </cell>
          <cell r="GD46">
            <v>0</v>
          </cell>
          <cell r="GE46">
            <v>0</v>
          </cell>
          <cell r="GF46" t="e">
            <v>#DIV/0!</v>
          </cell>
          <cell r="GG46">
            <v>0</v>
          </cell>
          <cell r="GH46">
            <v>0</v>
          </cell>
        </row>
        <row r="47">
          <cell r="A47" t="str">
            <v xml:space="preserve"> accumulated loss</v>
          </cell>
          <cell r="C47">
            <v>-248.86799999999999</v>
          </cell>
          <cell r="I47">
            <v>-248.86799999999999</v>
          </cell>
          <cell r="U47">
            <v>0</v>
          </cell>
          <cell r="AD47">
            <v>0</v>
          </cell>
          <cell r="AJ47">
            <v>0</v>
          </cell>
          <cell r="AP47">
            <v>0</v>
          </cell>
          <cell r="AT47">
            <v>-248.86799999999999</v>
          </cell>
          <cell r="AV47">
            <v>248.86799999999999</v>
          </cell>
          <cell r="AX47">
            <v>0</v>
          </cell>
          <cell r="AY47">
            <v>0</v>
          </cell>
          <cell r="AZ47" t="str">
            <v xml:space="preserve"> accumulated loss</v>
          </cell>
          <cell r="BC47">
            <v>-1991.3209999999999</v>
          </cell>
          <cell r="BI47">
            <v>-1991.3209999999999</v>
          </cell>
          <cell r="BX47">
            <v>0</v>
          </cell>
          <cell r="CD47">
            <v>0</v>
          </cell>
          <cell r="CJ47">
            <v>0</v>
          </cell>
          <cell r="CP47">
            <v>0</v>
          </cell>
          <cell r="CT47">
            <v>-1991.3209999999999</v>
          </cell>
          <cell r="CV47">
            <v>1991.3209999999999</v>
          </cell>
          <cell r="CX47">
            <v>0</v>
          </cell>
          <cell r="FC47">
            <v>-2102.9183540169824</v>
          </cell>
          <cell r="FF47">
            <v>-2102.9183540169824</v>
          </cell>
          <cell r="FN47">
            <v>0</v>
          </cell>
          <cell r="FO47">
            <v>0</v>
          </cell>
          <cell r="FR47">
            <v>0</v>
          </cell>
          <cell r="FS47">
            <v>0</v>
          </cell>
          <cell r="FT47">
            <v>-2102.9183540169824</v>
          </cell>
          <cell r="FU47">
            <v>2102.9183540169824</v>
          </cell>
          <cell r="FV47">
            <v>0</v>
          </cell>
          <cell r="FW47" t="str">
            <v xml:space="preserve"> accumulated loss</v>
          </cell>
          <cell r="FX47">
            <v>0</v>
          </cell>
          <cell r="FY47">
            <v>0</v>
          </cell>
          <cell r="GA47">
            <v>0</v>
          </cell>
          <cell r="GB47">
            <v>0</v>
          </cell>
          <cell r="GC47">
            <v>0</v>
          </cell>
          <cell r="GD47">
            <v>0</v>
          </cell>
          <cell r="GE47">
            <v>0</v>
          </cell>
          <cell r="GF47" t="e">
            <v>#DIV/0!</v>
          </cell>
          <cell r="GG47">
            <v>0</v>
          </cell>
          <cell r="GH47">
            <v>0</v>
          </cell>
        </row>
        <row r="48">
          <cell r="A48" t="str">
            <v xml:space="preserve"> loss-(equity method)</v>
          </cell>
          <cell r="C48">
            <v>619</v>
          </cell>
          <cell r="G48">
            <v>394</v>
          </cell>
          <cell r="I48">
            <v>1013</v>
          </cell>
          <cell r="U48">
            <v>0</v>
          </cell>
          <cell r="AD48">
            <v>0</v>
          </cell>
          <cell r="AJ48">
            <v>0</v>
          </cell>
          <cell r="AP48">
            <v>0</v>
          </cell>
          <cell r="AR48">
            <v>0</v>
          </cell>
          <cell r="AT48">
            <v>1013</v>
          </cell>
          <cell r="AV48">
            <v>-1013</v>
          </cell>
          <cell r="AX48">
            <v>0</v>
          </cell>
          <cell r="AY48">
            <v>0</v>
          </cell>
          <cell r="AZ48" t="str">
            <v xml:space="preserve"> loss-(equity method)</v>
          </cell>
          <cell r="BC48">
            <v>-1481</v>
          </cell>
          <cell r="BE48">
            <v>0</v>
          </cell>
          <cell r="BG48">
            <v>-3057</v>
          </cell>
          <cell r="BI48">
            <v>-4538</v>
          </cell>
          <cell r="BU48">
            <v>0</v>
          </cell>
          <cell r="BX48">
            <v>0</v>
          </cell>
          <cell r="CD48">
            <v>0</v>
          </cell>
          <cell r="CF48">
            <v>0</v>
          </cell>
          <cell r="CH48">
            <v>0</v>
          </cell>
          <cell r="CJ48">
            <v>0</v>
          </cell>
          <cell r="CP48">
            <v>0</v>
          </cell>
          <cell r="CR48">
            <v>0</v>
          </cell>
          <cell r="CT48">
            <v>-4538</v>
          </cell>
          <cell r="CV48">
            <v>4538</v>
          </cell>
          <cell r="CX48">
            <v>0</v>
          </cell>
          <cell r="FC48">
            <v>-98.7</v>
          </cell>
          <cell r="FE48">
            <v>-2.7999999999224201E-3</v>
          </cell>
          <cell r="FF48">
            <v>-98.702799999999925</v>
          </cell>
          <cell r="FN48">
            <v>0</v>
          </cell>
          <cell r="FO48">
            <v>0</v>
          </cell>
          <cell r="FR48">
            <v>0</v>
          </cell>
          <cell r="FS48">
            <v>0</v>
          </cell>
          <cell r="FT48">
            <v>-98.702799999999925</v>
          </cell>
          <cell r="FU48">
            <v>98.702799999999925</v>
          </cell>
          <cell r="FV48">
            <v>0</v>
          </cell>
          <cell r="FW48" t="str">
            <v xml:space="preserve"> loss-(equity method)</v>
          </cell>
          <cell r="FX48">
            <v>0</v>
          </cell>
          <cell r="FY48">
            <v>0</v>
          </cell>
          <cell r="GA48">
            <v>0</v>
          </cell>
          <cell r="GB48">
            <v>0</v>
          </cell>
          <cell r="GC48">
            <v>0</v>
          </cell>
          <cell r="GD48">
            <v>0</v>
          </cell>
          <cell r="GE48">
            <v>0</v>
          </cell>
          <cell r="GF48" t="e">
            <v>#DIV/0!</v>
          </cell>
          <cell r="GG48">
            <v>0</v>
          </cell>
          <cell r="GH48">
            <v>0</v>
          </cell>
        </row>
        <row r="49">
          <cell r="B49" t="str">
            <v xml:space="preserve">total </v>
          </cell>
          <cell r="C49">
            <v>15388.277</v>
          </cell>
          <cell r="E49">
            <v>0</v>
          </cell>
          <cell r="G49">
            <v>394</v>
          </cell>
          <cell r="I49">
            <v>15782.277</v>
          </cell>
          <cell r="M49">
            <v>0</v>
          </cell>
          <cell r="O49">
            <v>0</v>
          </cell>
          <cell r="Q49">
            <v>0</v>
          </cell>
          <cell r="S49">
            <v>0</v>
          </cell>
          <cell r="U49">
            <v>0</v>
          </cell>
          <cell r="Z49">
            <v>0</v>
          </cell>
          <cell r="AB49">
            <v>0</v>
          </cell>
          <cell r="AD49">
            <v>0</v>
          </cell>
          <cell r="AF49">
            <v>0</v>
          </cell>
          <cell r="AH49">
            <v>0</v>
          </cell>
          <cell r="AJ49">
            <v>0</v>
          </cell>
          <cell r="AL49">
            <v>0</v>
          </cell>
          <cell r="AN49">
            <v>0</v>
          </cell>
          <cell r="AP49">
            <v>0</v>
          </cell>
          <cell r="AR49">
            <v>0</v>
          </cell>
          <cell r="AT49">
            <v>15782.277</v>
          </cell>
          <cell r="AV49">
            <v>-15782.277</v>
          </cell>
          <cell r="AX49">
            <v>0</v>
          </cell>
          <cell r="AY49">
            <v>0</v>
          </cell>
          <cell r="BA49" t="str">
            <v xml:space="preserve">total </v>
          </cell>
          <cell r="BC49">
            <v>59001.54800000001</v>
          </cell>
          <cell r="BE49">
            <v>0</v>
          </cell>
          <cell r="BG49">
            <v>-3057</v>
          </cell>
          <cell r="BI49">
            <v>55944.54800000001</v>
          </cell>
          <cell r="BO49">
            <v>0</v>
          </cell>
          <cell r="BQ49">
            <v>0</v>
          </cell>
          <cell r="BS49">
            <v>0</v>
          </cell>
          <cell r="BU49">
            <v>0</v>
          </cell>
          <cell r="BX49">
            <v>0</v>
          </cell>
          <cell r="BZ49">
            <v>0</v>
          </cell>
          <cell r="CB49">
            <v>0</v>
          </cell>
          <cell r="CD49">
            <v>0</v>
          </cell>
          <cell r="CF49">
            <v>0</v>
          </cell>
          <cell r="CH49">
            <v>0</v>
          </cell>
          <cell r="CJ49">
            <v>0</v>
          </cell>
          <cell r="CL49">
            <v>0</v>
          </cell>
          <cell r="CN49">
            <v>0</v>
          </cell>
          <cell r="CP49">
            <v>0</v>
          </cell>
          <cell r="CR49">
            <v>0</v>
          </cell>
          <cell r="CT49">
            <v>55944.54800000001</v>
          </cell>
          <cell r="CV49">
            <v>-55944.54800000001</v>
          </cell>
          <cell r="CX49">
            <v>0</v>
          </cell>
          <cell r="FC49">
            <v>60924.753977139131</v>
          </cell>
          <cell r="FE49">
            <v>-2.7999999999224201E-3</v>
          </cell>
          <cell r="FF49">
            <v>60924.751177139129</v>
          </cell>
          <cell r="FI49">
            <v>0</v>
          </cell>
          <cell r="FM49">
            <v>0</v>
          </cell>
          <cell r="FN49">
            <v>0</v>
          </cell>
          <cell r="FO49">
            <v>0</v>
          </cell>
          <cell r="FQ49">
            <v>0</v>
          </cell>
          <cell r="FR49">
            <v>0</v>
          </cell>
          <cell r="FS49">
            <v>0</v>
          </cell>
          <cell r="FT49">
            <v>60924.751177139129</v>
          </cell>
          <cell r="FU49">
            <v>-60924.751177139129</v>
          </cell>
          <cell r="FV49">
            <v>0</v>
          </cell>
          <cell r="FX49">
            <v>0</v>
          </cell>
          <cell r="FY49">
            <v>0</v>
          </cell>
          <cell r="FZ49">
            <v>0</v>
          </cell>
          <cell r="GA49">
            <v>0</v>
          </cell>
          <cell r="GB49">
            <v>0</v>
          </cell>
          <cell r="GC49">
            <v>0</v>
          </cell>
          <cell r="GD49">
            <v>0</v>
          </cell>
          <cell r="GE49">
            <v>0</v>
          </cell>
          <cell r="GF49" t="e">
            <v>#DIV/0!</v>
          </cell>
          <cell r="GG49">
            <v>0</v>
          </cell>
          <cell r="GH49">
            <v>0</v>
          </cell>
        </row>
        <row r="50">
          <cell r="A50" t="str">
            <v>SSC-shares</v>
          </cell>
          <cell r="B50">
            <v>0.7</v>
          </cell>
          <cell r="C50">
            <v>-3449.24</v>
          </cell>
          <cell r="I50">
            <v>-3449.24</v>
          </cell>
          <cell r="U50">
            <v>0</v>
          </cell>
          <cell r="AD50">
            <v>0</v>
          </cell>
          <cell r="AJ50">
            <v>0</v>
          </cell>
          <cell r="AP50">
            <v>0</v>
          </cell>
          <cell r="AT50">
            <v>-3449.24</v>
          </cell>
          <cell r="AV50">
            <v>3449.24</v>
          </cell>
          <cell r="AX50">
            <v>0</v>
          </cell>
          <cell r="AY50">
            <v>0</v>
          </cell>
          <cell r="AZ50" t="str">
            <v>SSC-shares</v>
          </cell>
          <cell r="BA50">
            <v>0.7</v>
          </cell>
          <cell r="BC50">
            <v>-19594.575000000001</v>
          </cell>
          <cell r="BI50">
            <v>-19594.575000000001</v>
          </cell>
          <cell r="BX50">
            <v>0</v>
          </cell>
          <cell r="CD50">
            <v>0</v>
          </cell>
          <cell r="CJ50">
            <v>0</v>
          </cell>
          <cell r="CP50">
            <v>0</v>
          </cell>
          <cell r="CT50">
            <v>-19594.575000000001</v>
          </cell>
          <cell r="CV50">
            <v>19594.575000000001</v>
          </cell>
          <cell r="CX50">
            <v>0</v>
          </cell>
          <cell r="FC50">
            <v>-20042.392112998041</v>
          </cell>
          <cell r="FF50">
            <v>-20042.392112998041</v>
          </cell>
          <cell r="FN50">
            <v>0</v>
          </cell>
          <cell r="FO50">
            <v>0</v>
          </cell>
          <cell r="FR50">
            <v>0</v>
          </cell>
          <cell r="FS50">
            <v>0</v>
          </cell>
          <cell r="FT50">
            <v>-20042.392112998041</v>
          </cell>
          <cell r="FU50">
            <v>20042.392112998041</v>
          </cell>
          <cell r="FV50">
            <v>0</v>
          </cell>
          <cell r="FW50" t="str">
            <v>SSC-shares</v>
          </cell>
          <cell r="FX50">
            <v>0</v>
          </cell>
          <cell r="FY50">
            <v>0</v>
          </cell>
          <cell r="GA50">
            <v>0</v>
          </cell>
          <cell r="GB50">
            <v>0</v>
          </cell>
          <cell r="GC50">
            <v>0</v>
          </cell>
          <cell r="GD50">
            <v>0</v>
          </cell>
          <cell r="GE50">
            <v>0</v>
          </cell>
          <cell r="GF50" t="e">
            <v>#DIV/0!</v>
          </cell>
          <cell r="GG50">
            <v>0</v>
          </cell>
          <cell r="GH50">
            <v>0</v>
          </cell>
        </row>
        <row r="51">
          <cell r="A51" t="str">
            <v xml:space="preserve"> long term loans</v>
          </cell>
          <cell r="C51">
            <v>260.149</v>
          </cell>
          <cell r="I51">
            <v>260.149</v>
          </cell>
          <cell r="U51">
            <v>0</v>
          </cell>
          <cell r="AD51">
            <v>0</v>
          </cell>
          <cell r="AJ51">
            <v>0</v>
          </cell>
          <cell r="AN51">
            <v>0</v>
          </cell>
          <cell r="AP51">
            <v>0</v>
          </cell>
          <cell r="AT51">
            <v>260.149</v>
          </cell>
          <cell r="AV51">
            <v>-260.149</v>
          </cell>
          <cell r="AX51">
            <v>0</v>
          </cell>
          <cell r="AY51">
            <v>0</v>
          </cell>
          <cell r="AZ51" t="str">
            <v xml:space="preserve"> long term loans</v>
          </cell>
          <cell r="BC51">
            <v>1082.2190000000001</v>
          </cell>
          <cell r="BE51">
            <v>0</v>
          </cell>
          <cell r="BG51">
            <v>0</v>
          </cell>
          <cell r="BI51">
            <v>1082.2190000000001</v>
          </cell>
          <cell r="BX51">
            <v>0</v>
          </cell>
          <cell r="CD51">
            <v>0</v>
          </cell>
          <cell r="CJ51">
            <v>0</v>
          </cell>
          <cell r="CN51">
            <v>0</v>
          </cell>
          <cell r="CP51">
            <v>0</v>
          </cell>
          <cell r="CT51">
            <v>1082.2190000000001</v>
          </cell>
          <cell r="CV51">
            <v>-1082.2190000000001</v>
          </cell>
          <cell r="CX51">
            <v>0</v>
          </cell>
          <cell r="FC51">
            <v>1082.2190000000001</v>
          </cell>
          <cell r="FF51">
            <v>1082.2190000000001</v>
          </cell>
          <cell r="FN51">
            <v>0</v>
          </cell>
          <cell r="FO51">
            <v>0</v>
          </cell>
          <cell r="FQ51">
            <v>0</v>
          </cell>
          <cell r="FR51">
            <v>0</v>
          </cell>
          <cell r="FS51">
            <v>0</v>
          </cell>
          <cell r="FT51">
            <v>1082.2190000000001</v>
          </cell>
          <cell r="FU51">
            <v>-1082.2190000000001</v>
          </cell>
          <cell r="FV51">
            <v>0</v>
          </cell>
          <cell r="FW51" t="str">
            <v xml:space="preserve"> long term loans</v>
          </cell>
          <cell r="FX51">
            <v>0</v>
          </cell>
          <cell r="FY51">
            <v>0</v>
          </cell>
          <cell r="GA51">
            <v>0</v>
          </cell>
          <cell r="GB51">
            <v>0</v>
          </cell>
          <cell r="GC51">
            <v>0</v>
          </cell>
          <cell r="GD51">
            <v>0</v>
          </cell>
          <cell r="GE51">
            <v>0</v>
          </cell>
          <cell r="GF51" t="e">
            <v>#DIV/0!</v>
          </cell>
          <cell r="GG51">
            <v>0</v>
          </cell>
          <cell r="GH51">
            <v>0</v>
          </cell>
        </row>
        <row r="52">
          <cell r="A52" t="str">
            <v xml:space="preserve"> accumulated profit</v>
          </cell>
          <cell r="C52">
            <v>5869</v>
          </cell>
          <cell r="G52">
            <v>0</v>
          </cell>
          <cell r="I52">
            <v>5869</v>
          </cell>
          <cell r="U52">
            <v>0</v>
          </cell>
          <cell r="AD52">
            <v>0</v>
          </cell>
          <cell r="AJ52">
            <v>0</v>
          </cell>
          <cell r="AP52">
            <v>0</v>
          </cell>
          <cell r="AT52">
            <v>5869</v>
          </cell>
          <cell r="AV52">
            <v>-5869</v>
          </cell>
          <cell r="AX52">
            <v>0</v>
          </cell>
          <cell r="AY52">
            <v>0</v>
          </cell>
          <cell r="AZ52" t="str">
            <v xml:space="preserve"> accumulated profit</v>
          </cell>
          <cell r="BC52">
            <v>8021</v>
          </cell>
          <cell r="BG52">
            <v>0</v>
          </cell>
          <cell r="BI52">
            <v>8021</v>
          </cell>
          <cell r="BX52">
            <v>0</v>
          </cell>
          <cell r="CD52">
            <v>0</v>
          </cell>
          <cell r="CJ52">
            <v>0</v>
          </cell>
          <cell r="CP52">
            <v>0</v>
          </cell>
          <cell r="CT52">
            <v>8021</v>
          </cell>
          <cell r="CV52">
            <v>-8021</v>
          </cell>
          <cell r="CX52">
            <v>0</v>
          </cell>
          <cell r="FC52">
            <v>34674.25604180275</v>
          </cell>
          <cell r="FF52">
            <v>34674.25604180275</v>
          </cell>
          <cell r="FN52">
            <v>0</v>
          </cell>
          <cell r="FO52">
            <v>0</v>
          </cell>
          <cell r="FR52">
            <v>0</v>
          </cell>
          <cell r="FS52">
            <v>0</v>
          </cell>
          <cell r="FT52">
            <v>34674.25604180275</v>
          </cell>
          <cell r="FU52">
            <v>-34674.25604180275</v>
          </cell>
          <cell r="FV52">
            <v>0</v>
          </cell>
          <cell r="FW52" t="str">
            <v xml:space="preserve"> accumulated profit</v>
          </cell>
          <cell r="FX52">
            <v>0</v>
          </cell>
          <cell r="FY52">
            <v>0</v>
          </cell>
          <cell r="GA52">
            <v>0</v>
          </cell>
          <cell r="GB52">
            <v>0</v>
          </cell>
          <cell r="GC52">
            <v>0</v>
          </cell>
          <cell r="GD52">
            <v>0</v>
          </cell>
          <cell r="GE52">
            <v>0</v>
          </cell>
          <cell r="GF52" t="e">
            <v>#DIV/0!</v>
          </cell>
          <cell r="GG52">
            <v>0</v>
          </cell>
          <cell r="GH52">
            <v>0</v>
          </cell>
        </row>
        <row r="53">
          <cell r="A53" t="str">
            <v xml:space="preserve"> profit-(equity method)</v>
          </cell>
          <cell r="C53">
            <v>4191</v>
          </cell>
          <cell r="G53">
            <v>874</v>
          </cell>
          <cell r="I53">
            <v>5065</v>
          </cell>
          <cell r="U53">
            <v>0</v>
          </cell>
          <cell r="AD53">
            <v>0</v>
          </cell>
          <cell r="AJ53">
            <v>0</v>
          </cell>
          <cell r="AP53">
            <v>0</v>
          </cell>
          <cell r="AT53">
            <v>5065</v>
          </cell>
          <cell r="AV53">
            <v>-5065</v>
          </cell>
          <cell r="AX53">
            <v>0</v>
          </cell>
          <cell r="AY53">
            <v>0</v>
          </cell>
          <cell r="AZ53" t="str">
            <v xml:space="preserve"> profit-(equity method)</v>
          </cell>
          <cell r="BC53">
            <v>8778</v>
          </cell>
          <cell r="BG53">
            <v>6822</v>
          </cell>
          <cell r="BI53">
            <v>15600</v>
          </cell>
          <cell r="BX53">
            <v>0</v>
          </cell>
          <cell r="CD53">
            <v>0</v>
          </cell>
          <cell r="CJ53">
            <v>0</v>
          </cell>
          <cell r="CP53">
            <v>0</v>
          </cell>
          <cell r="CT53">
            <v>15600</v>
          </cell>
          <cell r="CV53">
            <v>-15600</v>
          </cell>
          <cell r="CX53">
            <v>0</v>
          </cell>
          <cell r="FC53">
            <v>16984.099999999999</v>
          </cell>
          <cell r="FE53">
            <v>1.2474000000038359</v>
          </cell>
          <cell r="FF53">
            <v>16985.347400000002</v>
          </cell>
          <cell r="FN53">
            <v>0</v>
          </cell>
          <cell r="FO53">
            <v>0</v>
          </cell>
          <cell r="FR53">
            <v>0</v>
          </cell>
          <cell r="FS53">
            <v>0</v>
          </cell>
          <cell r="FT53">
            <v>16985.347400000002</v>
          </cell>
          <cell r="FU53">
            <v>-16985.347400000002</v>
          </cell>
          <cell r="FV53">
            <v>0</v>
          </cell>
          <cell r="FW53" t="str">
            <v xml:space="preserve"> profit-(equity method)</v>
          </cell>
          <cell r="FX53">
            <v>0</v>
          </cell>
          <cell r="FY53">
            <v>0</v>
          </cell>
          <cell r="GA53">
            <v>0</v>
          </cell>
          <cell r="GB53">
            <v>0</v>
          </cell>
          <cell r="GC53">
            <v>0</v>
          </cell>
          <cell r="GD53">
            <v>0</v>
          </cell>
          <cell r="GE53">
            <v>0</v>
          </cell>
          <cell r="GF53" t="e">
            <v>#DIV/0!</v>
          </cell>
          <cell r="GG53">
            <v>0</v>
          </cell>
          <cell r="GH53">
            <v>0</v>
          </cell>
        </row>
        <row r="54">
          <cell r="B54" t="str">
            <v xml:space="preserve">total </v>
          </cell>
          <cell r="C54">
            <v>6870.9089999999997</v>
          </cell>
          <cell r="E54">
            <v>0</v>
          </cell>
          <cell r="G54">
            <v>874</v>
          </cell>
          <cell r="I54">
            <v>7744.9089999999997</v>
          </cell>
          <cell r="M54">
            <v>0</v>
          </cell>
          <cell r="O54">
            <v>0</v>
          </cell>
          <cell r="Q54">
            <v>0</v>
          </cell>
          <cell r="S54">
            <v>0</v>
          </cell>
          <cell r="U54">
            <v>0</v>
          </cell>
          <cell r="Z54">
            <v>0</v>
          </cell>
          <cell r="AB54">
            <v>0</v>
          </cell>
          <cell r="AD54">
            <v>0</v>
          </cell>
          <cell r="AF54">
            <v>0</v>
          </cell>
          <cell r="AH54">
            <v>0</v>
          </cell>
          <cell r="AJ54">
            <v>0</v>
          </cell>
          <cell r="AL54">
            <v>0</v>
          </cell>
          <cell r="AN54">
            <v>0</v>
          </cell>
          <cell r="AP54">
            <v>0</v>
          </cell>
          <cell r="AR54">
            <v>0</v>
          </cell>
          <cell r="AT54">
            <v>7744.9089999999997</v>
          </cell>
          <cell r="AV54">
            <v>-7744.9089999999997</v>
          </cell>
          <cell r="AX54">
            <v>0</v>
          </cell>
          <cell r="AY54">
            <v>0</v>
          </cell>
          <cell r="BA54" t="str">
            <v xml:space="preserve">total </v>
          </cell>
          <cell r="BC54">
            <v>-1713.3559999999998</v>
          </cell>
          <cell r="BE54">
            <v>0</v>
          </cell>
          <cell r="BG54">
            <v>6822</v>
          </cell>
          <cell r="BI54">
            <v>5108.6440000000002</v>
          </cell>
          <cell r="BO54">
            <v>0</v>
          </cell>
          <cell r="BQ54">
            <v>0</v>
          </cell>
          <cell r="BS54">
            <v>0</v>
          </cell>
          <cell r="BU54">
            <v>0</v>
          </cell>
          <cell r="BX54">
            <v>0</v>
          </cell>
          <cell r="BZ54">
            <v>0</v>
          </cell>
          <cell r="CB54">
            <v>0</v>
          </cell>
          <cell r="CD54">
            <v>0</v>
          </cell>
          <cell r="CF54">
            <v>0</v>
          </cell>
          <cell r="CH54">
            <v>0</v>
          </cell>
          <cell r="CJ54">
            <v>0</v>
          </cell>
          <cell r="CL54">
            <v>0</v>
          </cell>
          <cell r="CN54">
            <v>0</v>
          </cell>
          <cell r="CP54">
            <v>0</v>
          </cell>
          <cell r="CR54">
            <v>0</v>
          </cell>
          <cell r="CT54">
            <v>5108.6440000000002</v>
          </cell>
          <cell r="CV54">
            <v>-5108.6440000000002</v>
          </cell>
          <cell r="CX54">
            <v>0</v>
          </cell>
          <cell r="FC54">
            <v>32698.182928804708</v>
          </cell>
          <cell r="FE54">
            <v>1.2474000000038359</v>
          </cell>
          <cell r="FF54">
            <v>32699.430328804712</v>
          </cell>
          <cell r="FI54">
            <v>0</v>
          </cell>
          <cell r="FM54">
            <v>0</v>
          </cell>
          <cell r="FN54">
            <v>0</v>
          </cell>
          <cell r="FO54">
            <v>0</v>
          </cell>
          <cell r="FQ54">
            <v>0</v>
          </cell>
          <cell r="FR54">
            <v>0</v>
          </cell>
          <cell r="FS54">
            <v>0</v>
          </cell>
          <cell r="FT54">
            <v>32699.430328804712</v>
          </cell>
          <cell r="FU54">
            <v>-32699.430328804712</v>
          </cell>
          <cell r="FV54">
            <v>0</v>
          </cell>
          <cell r="FX54">
            <v>0</v>
          </cell>
          <cell r="FY54">
            <v>0</v>
          </cell>
          <cell r="FZ54">
            <v>0</v>
          </cell>
          <cell r="GA54">
            <v>0</v>
          </cell>
          <cell r="GB54">
            <v>0</v>
          </cell>
          <cell r="GC54">
            <v>0</v>
          </cell>
          <cell r="GD54">
            <v>0</v>
          </cell>
          <cell r="GE54">
            <v>0</v>
          </cell>
          <cell r="GF54" t="e">
            <v>#DIV/0!</v>
          </cell>
          <cell r="GG54">
            <v>0</v>
          </cell>
          <cell r="GH54">
            <v>0</v>
          </cell>
        </row>
        <row r="55">
          <cell r="A55" t="str">
            <v>TELEM-shares</v>
          </cell>
          <cell r="B55">
            <v>0.67449999999999999</v>
          </cell>
          <cell r="AD55">
            <v>0</v>
          </cell>
          <cell r="AJ55">
            <v>0</v>
          </cell>
          <cell r="AP55">
            <v>0</v>
          </cell>
          <cell r="AT55">
            <v>0</v>
          </cell>
          <cell r="AV55">
            <v>0</v>
          </cell>
          <cell r="AX55">
            <v>0</v>
          </cell>
          <cell r="AY55">
            <v>0</v>
          </cell>
          <cell r="AZ55" t="str">
            <v>TELEM-shares</v>
          </cell>
          <cell r="BA55">
            <v>0.67449999999999999</v>
          </cell>
          <cell r="BG55">
            <v>0</v>
          </cell>
          <cell r="BI55">
            <v>0</v>
          </cell>
          <cell r="BX55">
            <v>0</v>
          </cell>
          <cell r="CD55">
            <v>0</v>
          </cell>
          <cell r="CH55">
            <v>0</v>
          </cell>
          <cell r="CJ55">
            <v>0</v>
          </cell>
          <cell r="CP55">
            <v>0</v>
          </cell>
          <cell r="CT55">
            <v>0</v>
          </cell>
          <cell r="CV55">
            <v>0</v>
          </cell>
          <cell r="CX55">
            <v>0</v>
          </cell>
          <cell r="FN55">
            <v>0</v>
          </cell>
          <cell r="FO55">
            <v>0</v>
          </cell>
          <cell r="FR55">
            <v>0</v>
          </cell>
          <cell r="FS55">
            <v>0</v>
          </cell>
          <cell r="FT55">
            <v>0</v>
          </cell>
          <cell r="FU55">
            <v>0</v>
          </cell>
          <cell r="FV55">
            <v>0</v>
          </cell>
          <cell r="FW55" t="str">
            <v>TELEM-shares</v>
          </cell>
          <cell r="FX55">
            <v>0</v>
          </cell>
          <cell r="FY55">
            <v>0</v>
          </cell>
          <cell r="GA55">
            <v>0</v>
          </cell>
          <cell r="GB55">
            <v>0</v>
          </cell>
          <cell r="GC55">
            <v>0</v>
          </cell>
          <cell r="GD55">
            <v>0</v>
          </cell>
          <cell r="GE55">
            <v>0</v>
          </cell>
          <cell r="GF55" t="e">
            <v>#DIV/0!</v>
          </cell>
          <cell r="GG55">
            <v>0</v>
          </cell>
          <cell r="GH55">
            <v>0</v>
          </cell>
        </row>
        <row r="56">
          <cell r="A56" t="str">
            <v xml:space="preserve"> long term loans</v>
          </cell>
          <cell r="C56">
            <v>909.452</v>
          </cell>
          <cell r="I56">
            <v>909.452</v>
          </cell>
          <cell r="U56">
            <v>0</v>
          </cell>
          <cell r="AD56">
            <v>0</v>
          </cell>
          <cell r="AH56">
            <v>0</v>
          </cell>
          <cell r="AJ56">
            <v>0</v>
          </cell>
          <cell r="AN56">
            <v>0</v>
          </cell>
          <cell r="AP56">
            <v>0</v>
          </cell>
          <cell r="AT56">
            <v>909.452</v>
          </cell>
          <cell r="AV56">
            <v>-909.452</v>
          </cell>
          <cell r="AX56">
            <v>0</v>
          </cell>
          <cell r="AY56">
            <v>0</v>
          </cell>
          <cell r="AZ56" t="str">
            <v xml:space="preserve"> long term loans</v>
          </cell>
          <cell r="BC56">
            <v>3783.3209999999999</v>
          </cell>
          <cell r="BI56">
            <v>3783.3209999999999</v>
          </cell>
          <cell r="BU56">
            <v>0</v>
          </cell>
          <cell r="BX56">
            <v>0</v>
          </cell>
          <cell r="CD56">
            <v>0</v>
          </cell>
          <cell r="CH56">
            <v>0</v>
          </cell>
          <cell r="CJ56">
            <v>0</v>
          </cell>
          <cell r="CN56">
            <v>0</v>
          </cell>
          <cell r="CP56">
            <v>0</v>
          </cell>
          <cell r="CT56">
            <v>3783.3209999999999</v>
          </cell>
          <cell r="CV56">
            <v>-3783.3209999999999</v>
          </cell>
          <cell r="CX56">
            <v>0</v>
          </cell>
          <cell r="FC56">
            <v>3783.3209999999999</v>
          </cell>
          <cell r="FF56">
            <v>3783.3209999999999</v>
          </cell>
          <cell r="FN56">
            <v>0</v>
          </cell>
          <cell r="FO56">
            <v>0</v>
          </cell>
          <cell r="FQ56">
            <v>0</v>
          </cell>
          <cell r="FR56">
            <v>0</v>
          </cell>
          <cell r="FS56">
            <v>0</v>
          </cell>
          <cell r="FT56">
            <v>3783.3209999999999</v>
          </cell>
          <cell r="FU56">
            <v>-3783.3209999999999</v>
          </cell>
          <cell r="FV56">
            <v>0</v>
          </cell>
          <cell r="FW56" t="str">
            <v xml:space="preserve"> long term loans</v>
          </cell>
          <cell r="FX56">
            <v>0</v>
          </cell>
          <cell r="FY56">
            <v>0</v>
          </cell>
          <cell r="GA56">
            <v>0</v>
          </cell>
          <cell r="GB56">
            <v>0</v>
          </cell>
          <cell r="GC56">
            <v>0</v>
          </cell>
          <cell r="GD56">
            <v>0</v>
          </cell>
          <cell r="GE56">
            <v>0</v>
          </cell>
          <cell r="GF56" t="e">
            <v>#DIV/0!</v>
          </cell>
          <cell r="GG56">
            <v>0</v>
          </cell>
          <cell r="GH56">
            <v>0</v>
          </cell>
        </row>
        <row r="57">
          <cell r="A57" t="str">
            <v xml:space="preserve"> accumulated profit</v>
          </cell>
          <cell r="AD57">
            <v>0</v>
          </cell>
          <cell r="AF57">
            <v>8569.1759999999995</v>
          </cell>
          <cell r="AH57">
            <v>-4927.4849999999997</v>
          </cell>
          <cell r="AJ57">
            <v>3641.6909999999998</v>
          </cell>
          <cell r="AN57">
            <v>-3641.6909999999998</v>
          </cell>
          <cell r="AP57">
            <v>0</v>
          </cell>
          <cell r="AT57">
            <v>0</v>
          </cell>
          <cell r="AX57">
            <v>0</v>
          </cell>
          <cell r="AY57">
            <v>0</v>
          </cell>
          <cell r="AZ57" t="str">
            <v xml:space="preserve"> accumulated profit</v>
          </cell>
          <cell r="BI57">
            <v>0</v>
          </cell>
          <cell r="BU57">
            <v>0</v>
          </cell>
          <cell r="BX57">
            <v>0</v>
          </cell>
          <cell r="CD57">
            <v>0</v>
          </cell>
          <cell r="CF57">
            <v>4915.79</v>
          </cell>
          <cell r="CH57">
            <v>-20572</v>
          </cell>
          <cell r="CJ57">
            <v>-15656.21</v>
          </cell>
          <cell r="CN57">
            <v>15656.21</v>
          </cell>
          <cell r="CP57">
            <v>0</v>
          </cell>
          <cell r="CT57">
            <v>0</v>
          </cell>
          <cell r="CX57">
            <v>0</v>
          </cell>
          <cell r="FF57">
            <v>0</v>
          </cell>
          <cell r="FN57">
            <v>0</v>
          </cell>
          <cell r="FO57">
            <v>21517.448000000004</v>
          </cell>
          <cell r="FQ57">
            <v>-21517.448000000004</v>
          </cell>
          <cell r="FR57">
            <v>0</v>
          </cell>
          <cell r="FS57">
            <v>0</v>
          </cell>
          <cell r="FT57">
            <v>0</v>
          </cell>
          <cell r="FU57">
            <v>0</v>
          </cell>
          <cell r="FV57">
            <v>0</v>
          </cell>
          <cell r="FW57" t="str">
            <v xml:space="preserve"> accumulated profit</v>
          </cell>
          <cell r="FX57">
            <v>0</v>
          </cell>
          <cell r="FY57">
            <v>0</v>
          </cell>
          <cell r="GA57">
            <v>0</v>
          </cell>
          <cell r="GB57">
            <v>0</v>
          </cell>
          <cell r="GC57">
            <v>0</v>
          </cell>
          <cell r="GD57">
            <v>0</v>
          </cell>
          <cell r="GE57">
            <v>0</v>
          </cell>
          <cell r="GF57" t="e">
            <v>#DIV/0!</v>
          </cell>
          <cell r="GG57">
            <v>0</v>
          </cell>
          <cell r="GH57">
            <v>0</v>
          </cell>
          <cell r="HI57">
            <v>159.30000000000001</v>
          </cell>
          <cell r="HJ57">
            <v>153.1</v>
          </cell>
          <cell r="HK57">
            <v>129.4</v>
          </cell>
        </row>
        <row r="58">
          <cell r="A58" t="str">
            <v xml:space="preserve"> profit-(equity method)</v>
          </cell>
          <cell r="AD58">
            <v>0</v>
          </cell>
          <cell r="AH58">
            <v>7257</v>
          </cell>
          <cell r="AJ58">
            <v>7257</v>
          </cell>
          <cell r="AN58">
            <v>-7257</v>
          </cell>
          <cell r="AP58">
            <v>0</v>
          </cell>
          <cell r="AT58">
            <v>0</v>
          </cell>
          <cell r="AX58">
            <v>0</v>
          </cell>
          <cell r="AY58">
            <v>0</v>
          </cell>
          <cell r="AZ58" t="str">
            <v xml:space="preserve"> profit-(equity method)</v>
          </cell>
          <cell r="BI58">
            <v>0</v>
          </cell>
          <cell r="BU58">
            <v>0</v>
          </cell>
          <cell r="BX58">
            <v>0</v>
          </cell>
          <cell r="CD58">
            <v>0</v>
          </cell>
          <cell r="CH58">
            <v>22520.205999999998</v>
          </cell>
          <cell r="CJ58">
            <v>22520.205999999998</v>
          </cell>
          <cell r="CN58">
            <v>-22520.205999999998</v>
          </cell>
          <cell r="CP58">
            <v>0</v>
          </cell>
          <cell r="CT58">
            <v>0</v>
          </cell>
          <cell r="CX58">
            <v>0</v>
          </cell>
          <cell r="FF58">
            <v>0</v>
          </cell>
          <cell r="FN58">
            <v>0</v>
          </cell>
          <cell r="FO58">
            <v>24478.456219</v>
          </cell>
          <cell r="FQ58">
            <v>-24478.456219</v>
          </cell>
          <cell r="FR58">
            <v>0</v>
          </cell>
          <cell r="FS58">
            <v>0</v>
          </cell>
          <cell r="FT58">
            <v>0</v>
          </cell>
          <cell r="FU58">
            <v>0</v>
          </cell>
          <cell r="FV58">
            <v>0</v>
          </cell>
          <cell r="FW58" t="str">
            <v xml:space="preserve"> profit-(equity method)</v>
          </cell>
          <cell r="FX58">
            <v>0</v>
          </cell>
          <cell r="FY58">
            <v>0</v>
          </cell>
          <cell r="GA58">
            <v>0</v>
          </cell>
          <cell r="GB58">
            <v>0</v>
          </cell>
          <cell r="GC58">
            <v>0</v>
          </cell>
          <cell r="GD58">
            <v>0</v>
          </cell>
          <cell r="GE58">
            <v>0</v>
          </cell>
          <cell r="GF58" t="e">
            <v>#DIV/0!</v>
          </cell>
          <cell r="GG58">
            <v>0</v>
          </cell>
          <cell r="GH58">
            <v>0</v>
          </cell>
        </row>
        <row r="59">
          <cell r="A59" t="str">
            <v xml:space="preserve"> goodwill</v>
          </cell>
          <cell r="AD59">
            <v>0</v>
          </cell>
          <cell r="AF59">
            <v>87.563000000000002</v>
          </cell>
          <cell r="AJ59">
            <v>87.563000000000002</v>
          </cell>
          <cell r="AP59">
            <v>87.563000000000002</v>
          </cell>
          <cell r="AT59">
            <v>87.563000000000002</v>
          </cell>
          <cell r="AV59">
            <v>-87.563000000000002</v>
          </cell>
          <cell r="AX59">
            <v>0</v>
          </cell>
          <cell r="AY59">
            <v>0</v>
          </cell>
          <cell r="AZ59" t="str">
            <v xml:space="preserve"> goodwill</v>
          </cell>
          <cell r="BU59">
            <v>0</v>
          </cell>
          <cell r="BX59">
            <v>0</v>
          </cell>
          <cell r="CD59">
            <v>0</v>
          </cell>
          <cell r="CF59">
            <v>203.32400000000001</v>
          </cell>
          <cell r="CJ59">
            <v>203.32400000000001</v>
          </cell>
          <cell r="CP59">
            <v>203.32400000000001</v>
          </cell>
          <cell r="CT59">
            <v>203.32400000000001</v>
          </cell>
          <cell r="CV59">
            <v>-203.32400000000001</v>
          </cell>
          <cell r="CX59">
            <v>0</v>
          </cell>
          <cell r="FF59">
            <v>0</v>
          </cell>
          <cell r="FN59">
            <v>0</v>
          </cell>
          <cell r="FO59">
            <v>383.92899999999997</v>
          </cell>
          <cell r="FR59">
            <v>383.92899999999997</v>
          </cell>
          <cell r="FS59">
            <v>0</v>
          </cell>
          <cell r="FT59">
            <v>383.92899999999997</v>
          </cell>
          <cell r="FU59">
            <v>-383.92899999999997</v>
          </cell>
          <cell r="FV59">
            <v>0</v>
          </cell>
          <cell r="FW59" t="str">
            <v xml:space="preserve"> goodwill</v>
          </cell>
          <cell r="FX59">
            <v>0</v>
          </cell>
          <cell r="FY59">
            <v>383.92899999999997</v>
          </cell>
          <cell r="FZ59">
            <v>-383.92899999999997</v>
          </cell>
          <cell r="GA59">
            <v>0</v>
          </cell>
          <cell r="GB59">
            <v>0</v>
          </cell>
          <cell r="GC59">
            <v>0</v>
          </cell>
          <cell r="GD59">
            <v>0</v>
          </cell>
          <cell r="GE59">
            <v>0</v>
          </cell>
          <cell r="GF59" t="e">
            <v>#DIV/0!</v>
          </cell>
          <cell r="GG59">
            <v>508.35009797517972</v>
          </cell>
          <cell r="GH59">
            <v>0</v>
          </cell>
        </row>
        <row r="60">
          <cell r="B60" t="str">
            <v xml:space="preserve">total </v>
          </cell>
          <cell r="C60">
            <v>909.452</v>
          </cell>
          <cell r="E60">
            <v>0</v>
          </cell>
          <cell r="G60">
            <v>0</v>
          </cell>
          <cell r="I60">
            <v>909.452</v>
          </cell>
          <cell r="M60">
            <v>0</v>
          </cell>
          <cell r="O60">
            <v>0</v>
          </cell>
          <cell r="Q60">
            <v>0</v>
          </cell>
          <cell r="S60">
            <v>0</v>
          </cell>
          <cell r="U60">
            <v>0</v>
          </cell>
          <cell r="Z60">
            <v>0</v>
          </cell>
          <cell r="AB60">
            <v>0</v>
          </cell>
          <cell r="AD60">
            <v>0</v>
          </cell>
          <cell r="AF60">
            <v>8656.7389999999996</v>
          </cell>
          <cell r="AH60">
            <v>2329.5149999999999</v>
          </cell>
          <cell r="AJ60">
            <v>10986.253999999999</v>
          </cell>
          <cell r="AN60">
            <v>-10898.690999999999</v>
          </cell>
          <cell r="AP60">
            <v>87.563000000000002</v>
          </cell>
          <cell r="AR60">
            <v>0</v>
          </cell>
          <cell r="AT60">
            <v>997.01499999999999</v>
          </cell>
          <cell r="AV60">
            <v>-997.01499999999999</v>
          </cell>
          <cell r="AX60">
            <v>0</v>
          </cell>
          <cell r="AY60">
            <v>0</v>
          </cell>
          <cell r="BA60" t="str">
            <v xml:space="preserve">total </v>
          </cell>
          <cell r="BC60">
            <v>3783.3209999999999</v>
          </cell>
          <cell r="BE60">
            <v>0</v>
          </cell>
          <cell r="BG60">
            <v>0</v>
          </cell>
          <cell r="BI60">
            <v>3783.3209999999999</v>
          </cell>
          <cell r="BO60">
            <v>0</v>
          </cell>
          <cell r="BQ60">
            <v>0</v>
          </cell>
          <cell r="BS60">
            <v>0</v>
          </cell>
          <cell r="BU60">
            <v>0</v>
          </cell>
          <cell r="BX60">
            <v>0</v>
          </cell>
          <cell r="BZ60">
            <v>0</v>
          </cell>
          <cell r="CB60">
            <v>0</v>
          </cell>
          <cell r="CD60">
            <v>0</v>
          </cell>
          <cell r="CF60">
            <v>5119.1140000000005</v>
          </cell>
          <cell r="CH60">
            <v>1948.2059999999983</v>
          </cell>
          <cell r="CJ60">
            <v>7067.32</v>
          </cell>
          <cell r="CL60">
            <v>0</v>
          </cell>
          <cell r="CN60">
            <v>-6863.9959999999992</v>
          </cell>
          <cell r="CP60">
            <v>203.32400000000001</v>
          </cell>
          <cell r="CR60">
            <v>0</v>
          </cell>
          <cell r="CT60">
            <v>3986.645</v>
          </cell>
          <cell r="CV60">
            <v>-3986.645</v>
          </cell>
          <cell r="CX60">
            <v>0</v>
          </cell>
          <cell r="FC60">
            <v>3783.3209999999999</v>
          </cell>
          <cell r="FE60">
            <v>0</v>
          </cell>
          <cell r="FF60">
            <v>3783.3209999999999</v>
          </cell>
          <cell r="FI60">
            <v>0</v>
          </cell>
          <cell r="FM60">
            <v>0</v>
          </cell>
          <cell r="FN60">
            <v>0</v>
          </cell>
          <cell r="FO60">
            <v>46379.833219</v>
          </cell>
          <cell r="FQ60">
            <v>-45995.904219000004</v>
          </cell>
          <cell r="FR60">
            <v>383.92899999999645</v>
          </cell>
          <cell r="FS60">
            <v>0</v>
          </cell>
          <cell r="FT60">
            <v>4167.25</v>
          </cell>
          <cell r="FU60">
            <v>-4167.25</v>
          </cell>
          <cell r="FV60">
            <v>0</v>
          </cell>
          <cell r="FX60">
            <v>0</v>
          </cell>
          <cell r="FY60">
            <v>383.92899999999997</v>
          </cell>
          <cell r="FZ60">
            <v>-383.92899999999997</v>
          </cell>
          <cell r="GA60">
            <v>0</v>
          </cell>
          <cell r="GB60">
            <v>0</v>
          </cell>
          <cell r="GC60">
            <v>0</v>
          </cell>
          <cell r="GD60">
            <v>0</v>
          </cell>
          <cell r="GE60">
            <v>0</v>
          </cell>
          <cell r="GF60" t="e">
            <v>#DIV/0!</v>
          </cell>
          <cell r="GG60">
            <v>508.35009797517972</v>
          </cell>
          <cell r="GH60">
            <v>0</v>
          </cell>
        </row>
        <row r="61">
          <cell r="A61" t="str">
            <v>EDOM-shares</v>
          </cell>
          <cell r="B61">
            <v>0.7</v>
          </cell>
          <cell r="Q61">
            <v>0.22800000000000001</v>
          </cell>
          <cell r="U61">
            <v>0.22800000000000001</v>
          </cell>
          <cell r="AD61">
            <v>0.22800000000000001</v>
          </cell>
          <cell r="AJ61">
            <v>0</v>
          </cell>
          <cell r="AP61">
            <v>0</v>
          </cell>
          <cell r="AT61">
            <v>0.22800000000000001</v>
          </cell>
          <cell r="AX61">
            <v>0.22800000000000001</v>
          </cell>
          <cell r="AY61">
            <v>0</v>
          </cell>
          <cell r="AZ61" t="str">
            <v>EDOM-shares</v>
          </cell>
          <cell r="BA61">
            <v>0.7</v>
          </cell>
          <cell r="BQ61">
            <v>0.7</v>
          </cell>
          <cell r="BU61">
            <v>0.7</v>
          </cell>
          <cell r="BX61">
            <v>0</v>
          </cell>
          <cell r="CB61">
            <v>-0.7</v>
          </cell>
          <cell r="CD61">
            <v>0</v>
          </cell>
          <cell r="CT61">
            <v>0</v>
          </cell>
          <cell r="CX61">
            <v>0</v>
          </cell>
          <cell r="FI61">
            <v>0.86099999999999999</v>
          </cell>
          <cell r="FM61">
            <v>-0.86099999999999999</v>
          </cell>
          <cell r="FN61">
            <v>0</v>
          </cell>
          <cell r="FS61">
            <v>0</v>
          </cell>
          <cell r="FT61">
            <v>0</v>
          </cell>
          <cell r="FU61">
            <v>0</v>
          </cell>
          <cell r="FV61">
            <v>0</v>
          </cell>
          <cell r="FW61" t="str">
            <v>EDOM-shares</v>
          </cell>
          <cell r="FX61">
            <v>0</v>
          </cell>
          <cell r="FY61">
            <v>0</v>
          </cell>
          <cell r="GA61">
            <v>0</v>
          </cell>
          <cell r="GB61">
            <v>0</v>
          </cell>
          <cell r="GC61">
            <v>0</v>
          </cell>
          <cell r="GD61">
            <v>0</v>
          </cell>
          <cell r="GE61">
            <v>0</v>
          </cell>
          <cell r="GF61">
            <v>0</v>
          </cell>
          <cell r="GG61">
            <v>0</v>
          </cell>
          <cell r="GH61">
            <v>0</v>
          </cell>
        </row>
        <row r="62">
          <cell r="A62" t="str">
            <v xml:space="preserve"> long term loans</v>
          </cell>
          <cell r="Q62">
            <v>1233.5160000000001</v>
          </cell>
          <cell r="S62">
            <v>-186.898</v>
          </cell>
          <cell r="U62">
            <v>1046.6180000000002</v>
          </cell>
          <cell r="AB62">
            <v>-1046.6180000000002</v>
          </cell>
          <cell r="AD62">
            <v>0</v>
          </cell>
          <cell r="AJ62">
            <v>0</v>
          </cell>
          <cell r="AP62">
            <v>0</v>
          </cell>
          <cell r="AT62">
            <v>0</v>
          </cell>
          <cell r="AX62">
            <v>0</v>
          </cell>
          <cell r="AY62">
            <v>0</v>
          </cell>
          <cell r="AZ62" t="str">
            <v xml:space="preserve"> long term loans</v>
          </cell>
          <cell r="BQ62">
            <v>4353.9319999999998</v>
          </cell>
          <cell r="BU62">
            <v>4353.9319999999998</v>
          </cell>
          <cell r="BX62">
            <v>0</v>
          </cell>
          <cell r="CB62">
            <v>-4353.9319999999998</v>
          </cell>
          <cell r="CD62">
            <v>0</v>
          </cell>
          <cell r="CT62">
            <v>0</v>
          </cell>
          <cell r="CX62">
            <v>0</v>
          </cell>
          <cell r="FF62">
            <v>0</v>
          </cell>
          <cell r="FI62">
            <v>4352.9319999999998</v>
          </cell>
          <cell r="FM62">
            <v>-4352.9319999999998</v>
          </cell>
          <cell r="FN62">
            <v>0</v>
          </cell>
          <cell r="FR62">
            <v>0</v>
          </cell>
          <cell r="FS62">
            <v>0</v>
          </cell>
          <cell r="FT62">
            <v>0</v>
          </cell>
          <cell r="FU62">
            <v>0</v>
          </cell>
          <cell r="FV62">
            <v>0</v>
          </cell>
          <cell r="FW62" t="str">
            <v xml:space="preserve"> long term loans</v>
          </cell>
          <cell r="FX62">
            <v>0</v>
          </cell>
          <cell r="FY62">
            <v>0</v>
          </cell>
          <cell r="GA62">
            <v>0</v>
          </cell>
          <cell r="GB62">
            <v>0</v>
          </cell>
          <cell r="GC62">
            <v>0</v>
          </cell>
          <cell r="GD62">
            <v>0</v>
          </cell>
          <cell r="GE62">
            <v>0</v>
          </cell>
          <cell r="GF62" t="e">
            <v>#DIV/0!</v>
          </cell>
          <cell r="GG62">
            <v>0</v>
          </cell>
          <cell r="GH62">
            <v>0</v>
          </cell>
          <cell r="GT62" t="str">
            <v xml:space="preserve">דוח דולר  </v>
          </cell>
        </row>
        <row r="63">
          <cell r="A63" t="str">
            <v xml:space="preserve"> accumulated profit</v>
          </cell>
          <cell r="Q63">
            <v>120</v>
          </cell>
          <cell r="U63">
            <v>120</v>
          </cell>
          <cell r="AB63">
            <v>-120</v>
          </cell>
          <cell r="AD63">
            <v>0</v>
          </cell>
          <cell r="AJ63">
            <v>0</v>
          </cell>
          <cell r="AP63">
            <v>0</v>
          </cell>
          <cell r="AT63">
            <v>0</v>
          </cell>
          <cell r="AX63">
            <v>0</v>
          </cell>
          <cell r="AY63">
            <v>0</v>
          </cell>
          <cell r="AZ63" t="str">
            <v xml:space="preserve"> accumulated profit</v>
          </cell>
          <cell r="BQ63">
            <v>103.145</v>
          </cell>
          <cell r="BU63">
            <v>103.145</v>
          </cell>
          <cell r="BX63">
            <v>0</v>
          </cell>
          <cell r="CB63">
            <v>-103.145</v>
          </cell>
          <cell r="CD63">
            <v>0</v>
          </cell>
          <cell r="CT63">
            <v>0</v>
          </cell>
          <cell r="CX63">
            <v>0</v>
          </cell>
          <cell r="FF63">
            <v>0</v>
          </cell>
          <cell r="FI63">
            <v>438.38400000000001</v>
          </cell>
          <cell r="FM63">
            <v>-438.38400000000001</v>
          </cell>
          <cell r="FN63">
            <v>0</v>
          </cell>
          <cell r="FR63">
            <v>0</v>
          </cell>
          <cell r="FS63">
            <v>0</v>
          </cell>
          <cell r="FT63">
            <v>0</v>
          </cell>
          <cell r="FU63">
            <v>0</v>
          </cell>
          <cell r="FV63">
            <v>0</v>
          </cell>
          <cell r="FW63" t="str">
            <v xml:space="preserve"> accumulated profit</v>
          </cell>
          <cell r="FX63">
            <v>0</v>
          </cell>
          <cell r="FY63">
            <v>0</v>
          </cell>
          <cell r="GA63">
            <v>0</v>
          </cell>
          <cell r="GB63">
            <v>0</v>
          </cell>
          <cell r="GC63">
            <v>0</v>
          </cell>
          <cell r="GD63">
            <v>0</v>
          </cell>
          <cell r="GE63">
            <v>0</v>
          </cell>
          <cell r="GF63" t="e">
            <v>#DIV/0!</v>
          </cell>
          <cell r="GG63">
            <v>0</v>
          </cell>
          <cell r="GH63">
            <v>0</v>
          </cell>
        </row>
        <row r="64">
          <cell r="A64" t="str">
            <v xml:space="preserve"> profit-(equity method)</v>
          </cell>
          <cell r="Q64">
            <v>165.3738153846154</v>
          </cell>
          <cell r="U64">
            <v>165.3738153846154</v>
          </cell>
          <cell r="AB64">
            <v>-165.3738153846154</v>
          </cell>
          <cell r="AD64">
            <v>0</v>
          </cell>
          <cell r="AJ64">
            <v>0</v>
          </cell>
          <cell r="AP64">
            <v>0</v>
          </cell>
          <cell r="AT64">
            <v>0</v>
          </cell>
          <cell r="AX64">
            <v>0</v>
          </cell>
          <cell r="AY64">
            <v>0</v>
          </cell>
          <cell r="AZ64" t="str">
            <v xml:space="preserve"> profit-(equity method)</v>
          </cell>
          <cell r="BQ64">
            <v>436</v>
          </cell>
          <cell r="BU64">
            <v>436</v>
          </cell>
          <cell r="BX64">
            <v>0</v>
          </cell>
          <cell r="CB64">
            <v>-436</v>
          </cell>
          <cell r="CD64">
            <v>0</v>
          </cell>
          <cell r="CT64">
            <v>0</v>
          </cell>
          <cell r="CX64">
            <v>0</v>
          </cell>
          <cell r="FF64">
            <v>0</v>
          </cell>
          <cell r="FI64">
            <v>546</v>
          </cell>
          <cell r="FM64">
            <v>-546</v>
          </cell>
          <cell r="FN64">
            <v>0</v>
          </cell>
          <cell r="FR64">
            <v>0</v>
          </cell>
          <cell r="FS64">
            <v>0</v>
          </cell>
          <cell r="FT64">
            <v>0</v>
          </cell>
          <cell r="FU64">
            <v>0</v>
          </cell>
          <cell r="FV64">
            <v>0</v>
          </cell>
          <cell r="FW64" t="str">
            <v xml:space="preserve"> profit-(equity method)</v>
          </cell>
          <cell r="FX64">
            <v>0</v>
          </cell>
          <cell r="FY64">
            <v>0</v>
          </cell>
          <cell r="GA64">
            <v>0</v>
          </cell>
          <cell r="GB64">
            <v>0</v>
          </cell>
          <cell r="GC64">
            <v>0</v>
          </cell>
          <cell r="GD64">
            <v>0</v>
          </cell>
          <cell r="GE64">
            <v>0</v>
          </cell>
          <cell r="GF64" t="e">
            <v>#DIV/0!</v>
          </cell>
          <cell r="GG64">
            <v>0</v>
          </cell>
          <cell r="GH64">
            <v>0</v>
          </cell>
          <cell r="HD64" t="str">
            <v xml:space="preserve"> דוח  מותאם למדד</v>
          </cell>
        </row>
        <row r="65">
          <cell r="C65">
            <v>0</v>
          </cell>
          <cell r="E65">
            <v>0</v>
          </cell>
          <cell r="G65">
            <v>0</v>
          </cell>
          <cell r="I65">
            <v>0</v>
          </cell>
          <cell r="M65">
            <v>0</v>
          </cell>
          <cell r="O65">
            <v>0</v>
          </cell>
          <cell r="Q65">
            <v>1519.1178153846156</v>
          </cell>
          <cell r="S65">
            <v>-186.898</v>
          </cell>
          <cell r="U65">
            <v>1332.2198153846157</v>
          </cell>
          <cell r="Z65">
            <v>0</v>
          </cell>
          <cell r="AB65">
            <v>-1331.9918153846156</v>
          </cell>
          <cell r="AD65">
            <v>0.22800000000000001</v>
          </cell>
          <cell r="AF65">
            <v>0</v>
          </cell>
          <cell r="AH65">
            <v>0</v>
          </cell>
          <cell r="AJ65">
            <v>0</v>
          </cell>
          <cell r="AL65">
            <v>0</v>
          </cell>
          <cell r="AN65">
            <v>0</v>
          </cell>
          <cell r="AP65">
            <v>0</v>
          </cell>
          <cell r="AR65">
            <v>0</v>
          </cell>
          <cell r="AT65">
            <v>0.22800000000000001</v>
          </cell>
          <cell r="AV65">
            <v>0</v>
          </cell>
          <cell r="AX65">
            <v>0.22800000000000001</v>
          </cell>
          <cell r="AY65">
            <v>0</v>
          </cell>
          <cell r="BC65">
            <v>0</v>
          </cell>
          <cell r="BE65">
            <v>0</v>
          </cell>
          <cell r="BG65">
            <v>0</v>
          </cell>
          <cell r="BI65">
            <v>0</v>
          </cell>
          <cell r="BO65">
            <v>0</v>
          </cell>
          <cell r="BQ65">
            <v>4893.777</v>
          </cell>
          <cell r="BS65">
            <v>0</v>
          </cell>
          <cell r="BU65">
            <v>4893.777</v>
          </cell>
          <cell r="BX65">
            <v>0</v>
          </cell>
          <cell r="BZ65">
            <v>0</v>
          </cell>
          <cell r="CB65">
            <v>-4893.777</v>
          </cell>
          <cell r="CD65">
            <v>0</v>
          </cell>
          <cell r="CF65">
            <v>0</v>
          </cell>
          <cell r="CH65">
            <v>0</v>
          </cell>
          <cell r="CJ65">
            <v>0</v>
          </cell>
          <cell r="CL65">
            <v>0</v>
          </cell>
          <cell r="CN65">
            <v>0</v>
          </cell>
          <cell r="CP65">
            <v>0</v>
          </cell>
          <cell r="CR65">
            <v>0</v>
          </cell>
          <cell r="CT65">
            <v>0</v>
          </cell>
          <cell r="CV65">
            <v>0</v>
          </cell>
          <cell r="CX65">
            <v>0</v>
          </cell>
          <cell r="FC65">
            <v>0</v>
          </cell>
          <cell r="FE65">
            <v>0</v>
          </cell>
          <cell r="FF65">
            <v>0</v>
          </cell>
          <cell r="FI65">
            <v>5338.1769999999997</v>
          </cell>
          <cell r="FM65">
            <v>-5338.1769999999997</v>
          </cell>
          <cell r="FN65">
            <v>0</v>
          </cell>
          <cell r="FO65">
            <v>0</v>
          </cell>
          <cell r="FQ65">
            <v>0</v>
          </cell>
          <cell r="FR65">
            <v>0</v>
          </cell>
          <cell r="FS65">
            <v>0</v>
          </cell>
          <cell r="FT65">
            <v>0</v>
          </cell>
          <cell r="FU65">
            <v>0</v>
          </cell>
          <cell r="FV65">
            <v>0</v>
          </cell>
          <cell r="FX65">
            <v>0</v>
          </cell>
          <cell r="FY65">
            <v>0</v>
          </cell>
          <cell r="FZ65">
            <v>0</v>
          </cell>
          <cell r="GA65">
            <v>0</v>
          </cell>
          <cell r="GB65">
            <v>0</v>
          </cell>
          <cell r="GC65">
            <v>0</v>
          </cell>
          <cell r="GD65">
            <v>0</v>
          </cell>
          <cell r="GE65">
            <v>0</v>
          </cell>
          <cell r="GF65">
            <v>0</v>
          </cell>
          <cell r="GG65">
            <v>0</v>
          </cell>
          <cell r="GH65">
            <v>0</v>
          </cell>
        </row>
        <row r="66">
          <cell r="FX66">
            <v>0</v>
          </cell>
          <cell r="FY66">
            <v>0</v>
          </cell>
          <cell r="GA66">
            <v>0</v>
          </cell>
          <cell r="GB66">
            <v>0</v>
          </cell>
          <cell r="GC66">
            <v>0</v>
          </cell>
          <cell r="GD66">
            <v>0</v>
          </cell>
          <cell r="GE66">
            <v>0</v>
          </cell>
        </row>
        <row r="67">
          <cell r="A67" t="str">
            <v>NETCOM</v>
          </cell>
          <cell r="B67">
            <v>0.5</v>
          </cell>
          <cell r="C67">
            <v>3585</v>
          </cell>
          <cell r="G67">
            <v>-1084.5</v>
          </cell>
          <cell r="I67">
            <v>2500.5</v>
          </cell>
          <cell r="U67">
            <v>0</v>
          </cell>
          <cell r="AD67">
            <v>0</v>
          </cell>
          <cell r="AJ67">
            <v>0</v>
          </cell>
          <cell r="AP67">
            <v>0</v>
          </cell>
          <cell r="AT67">
            <v>2500.5</v>
          </cell>
          <cell r="AV67">
            <v>-2500.5</v>
          </cell>
          <cell r="AX67">
            <v>0</v>
          </cell>
          <cell r="AY67">
            <v>0</v>
          </cell>
          <cell r="AZ67" t="str">
            <v>NETCOM</v>
          </cell>
          <cell r="BA67">
            <v>0.5</v>
          </cell>
          <cell r="BC67">
            <v>11703.468000000001</v>
          </cell>
          <cell r="BI67">
            <v>11703.468000000001</v>
          </cell>
          <cell r="BX67">
            <v>0</v>
          </cell>
          <cell r="CD67">
            <v>0</v>
          </cell>
          <cell r="CJ67">
            <v>0</v>
          </cell>
          <cell r="CP67">
            <v>0</v>
          </cell>
          <cell r="CT67">
            <v>11703.468000000001</v>
          </cell>
          <cell r="CV67">
            <v>-11703.468000000001</v>
          </cell>
          <cell r="CX67">
            <v>0</v>
          </cell>
          <cell r="FC67">
            <v>13899.247550620512</v>
          </cell>
          <cell r="FF67">
            <v>13899.247550620512</v>
          </cell>
          <cell r="FN67">
            <v>0</v>
          </cell>
          <cell r="FO67">
            <v>0</v>
          </cell>
          <cell r="FR67">
            <v>0</v>
          </cell>
          <cell r="FS67">
            <v>0</v>
          </cell>
          <cell r="FT67">
            <v>13899.247550620512</v>
          </cell>
          <cell r="FU67">
            <v>-13899.247550620512</v>
          </cell>
          <cell r="FV67">
            <v>0</v>
          </cell>
          <cell r="FW67" t="str">
            <v>NETCOM</v>
          </cell>
          <cell r="FX67">
            <v>0</v>
          </cell>
          <cell r="FY67">
            <v>0</v>
          </cell>
          <cell r="GA67">
            <v>0</v>
          </cell>
          <cell r="GB67">
            <v>0</v>
          </cell>
          <cell r="GC67">
            <v>0</v>
          </cell>
          <cell r="GD67">
            <v>0</v>
          </cell>
          <cell r="GE67">
            <v>0</v>
          </cell>
          <cell r="GF67" t="e">
            <v>#DIV/0!</v>
          </cell>
          <cell r="GG67">
            <v>0</v>
          </cell>
          <cell r="GH67">
            <v>0</v>
          </cell>
        </row>
        <row r="68">
          <cell r="A68" t="str">
            <v xml:space="preserve"> long term loans</v>
          </cell>
          <cell r="I68">
            <v>0</v>
          </cell>
          <cell r="U68">
            <v>0</v>
          </cell>
          <cell r="AD68">
            <v>0</v>
          </cell>
          <cell r="AJ68">
            <v>0</v>
          </cell>
          <cell r="AP68">
            <v>0</v>
          </cell>
          <cell r="AT68">
            <v>0</v>
          </cell>
          <cell r="AX68">
            <v>0</v>
          </cell>
          <cell r="AY68">
            <v>0</v>
          </cell>
          <cell r="AZ68" t="str">
            <v xml:space="preserve"> long term loans</v>
          </cell>
          <cell r="BI68">
            <v>0</v>
          </cell>
          <cell r="BX68">
            <v>0</v>
          </cell>
          <cell r="CD68">
            <v>0</v>
          </cell>
          <cell r="CJ68">
            <v>0</v>
          </cell>
          <cell r="CP68">
            <v>0</v>
          </cell>
          <cell r="CT68">
            <v>0</v>
          </cell>
          <cell r="CV68">
            <v>0</v>
          </cell>
          <cell r="CX68">
            <v>0</v>
          </cell>
          <cell r="FF68">
            <v>0</v>
          </cell>
          <cell r="FN68">
            <v>0</v>
          </cell>
          <cell r="FO68">
            <v>0</v>
          </cell>
          <cell r="FR68">
            <v>0</v>
          </cell>
          <cell r="FS68">
            <v>0</v>
          </cell>
          <cell r="FT68">
            <v>0</v>
          </cell>
          <cell r="FU68">
            <v>0</v>
          </cell>
          <cell r="FV68">
            <v>0</v>
          </cell>
          <cell r="FW68" t="str">
            <v xml:space="preserve"> long term loans</v>
          </cell>
          <cell r="FX68">
            <v>0</v>
          </cell>
          <cell r="FY68">
            <v>0</v>
          </cell>
          <cell r="GA68">
            <v>0</v>
          </cell>
          <cell r="GB68">
            <v>0</v>
          </cell>
          <cell r="GC68">
            <v>0</v>
          </cell>
          <cell r="GD68">
            <v>0</v>
          </cell>
          <cell r="GE68">
            <v>0</v>
          </cell>
          <cell r="GF68" t="e">
            <v>#DIV/0!</v>
          </cell>
          <cell r="GG68">
            <v>0</v>
          </cell>
          <cell r="GH68">
            <v>0</v>
          </cell>
        </row>
        <row r="69">
          <cell r="A69" t="str">
            <v xml:space="preserve"> accumulated loss</v>
          </cell>
          <cell r="C69">
            <v>-36</v>
          </cell>
          <cell r="G69">
            <v>1084.5</v>
          </cell>
          <cell r="I69">
            <v>1048.5</v>
          </cell>
          <cell r="U69">
            <v>0</v>
          </cell>
          <cell r="AD69">
            <v>0</v>
          </cell>
          <cell r="AJ69">
            <v>0</v>
          </cell>
          <cell r="AP69">
            <v>0</v>
          </cell>
          <cell r="AT69">
            <v>1048.5</v>
          </cell>
          <cell r="AV69">
            <v>-1048.5</v>
          </cell>
          <cell r="AX69">
            <v>0</v>
          </cell>
          <cell r="AY69">
            <v>0</v>
          </cell>
          <cell r="AZ69" t="str">
            <v xml:space="preserve"> accumulated loss</v>
          </cell>
          <cell r="BC69">
            <v>-328</v>
          </cell>
          <cell r="BI69">
            <v>-328</v>
          </cell>
          <cell r="BX69">
            <v>0</v>
          </cell>
          <cell r="CD69">
            <v>0</v>
          </cell>
          <cell r="CJ69">
            <v>0</v>
          </cell>
          <cell r="CP69">
            <v>0</v>
          </cell>
          <cell r="CT69">
            <v>-328</v>
          </cell>
          <cell r="CV69">
            <v>328</v>
          </cell>
          <cell r="CX69">
            <v>0</v>
          </cell>
          <cell r="FC69">
            <v>-268.29588504245595</v>
          </cell>
          <cell r="FF69">
            <v>-268.29588504245595</v>
          </cell>
          <cell r="FN69">
            <v>0</v>
          </cell>
          <cell r="FO69">
            <v>0</v>
          </cell>
          <cell r="FR69">
            <v>0</v>
          </cell>
          <cell r="FS69">
            <v>0</v>
          </cell>
          <cell r="FT69">
            <v>-268.29588504245595</v>
          </cell>
          <cell r="FU69">
            <v>268.29588504245595</v>
          </cell>
          <cell r="FV69">
            <v>0</v>
          </cell>
          <cell r="FW69" t="str">
            <v xml:space="preserve"> accumulated loss</v>
          </cell>
          <cell r="FX69">
            <v>0</v>
          </cell>
          <cell r="FY69">
            <v>0</v>
          </cell>
          <cell r="GA69">
            <v>0</v>
          </cell>
          <cell r="GB69">
            <v>0</v>
          </cell>
          <cell r="GC69">
            <v>0</v>
          </cell>
          <cell r="GD69">
            <v>0</v>
          </cell>
          <cell r="GE69">
            <v>0</v>
          </cell>
          <cell r="GF69" t="e">
            <v>#DIV/0!</v>
          </cell>
          <cell r="GG69">
            <v>0</v>
          </cell>
          <cell r="GH69">
            <v>0</v>
          </cell>
          <cell r="GW69" t="str">
            <v xml:space="preserve">    הכל</v>
          </cell>
        </row>
        <row r="70">
          <cell r="A70" t="str">
            <v xml:space="preserve"> loss-(equity method)</v>
          </cell>
          <cell r="C70">
            <v>-69.5</v>
          </cell>
          <cell r="G70">
            <v>2</v>
          </cell>
          <cell r="I70">
            <v>-67.5</v>
          </cell>
          <cell r="U70">
            <v>0</v>
          </cell>
          <cell r="AD70">
            <v>0</v>
          </cell>
          <cell r="AJ70">
            <v>0</v>
          </cell>
          <cell r="AP70">
            <v>0</v>
          </cell>
          <cell r="AT70">
            <v>-67.5</v>
          </cell>
          <cell r="AV70">
            <v>67.5</v>
          </cell>
          <cell r="AX70">
            <v>0</v>
          </cell>
          <cell r="AY70">
            <v>0</v>
          </cell>
          <cell r="AZ70" t="str">
            <v xml:space="preserve"> loss-(equity method)</v>
          </cell>
          <cell r="BC70">
            <v>1551</v>
          </cell>
          <cell r="BG70">
            <v>792.77499999999998</v>
          </cell>
          <cell r="BI70">
            <v>2343.7750000000001</v>
          </cell>
          <cell r="BX70">
            <v>0</v>
          </cell>
          <cell r="CD70">
            <v>0</v>
          </cell>
          <cell r="CJ70">
            <v>0</v>
          </cell>
          <cell r="CP70">
            <v>0</v>
          </cell>
          <cell r="CT70">
            <v>2343.7750000000001</v>
          </cell>
          <cell r="CV70">
            <v>-2343.7750000000001</v>
          </cell>
          <cell r="CX70">
            <v>0</v>
          </cell>
          <cell r="FC70">
            <v>603</v>
          </cell>
          <cell r="FE70">
            <v>0</v>
          </cell>
          <cell r="FF70">
            <v>603</v>
          </cell>
          <cell r="FN70">
            <v>0</v>
          </cell>
          <cell r="FO70">
            <v>0</v>
          </cell>
          <cell r="FR70">
            <v>0</v>
          </cell>
          <cell r="FS70">
            <v>0</v>
          </cell>
          <cell r="FT70">
            <v>603</v>
          </cell>
          <cell r="FU70">
            <v>-603</v>
          </cell>
          <cell r="FV70">
            <v>0</v>
          </cell>
          <cell r="FW70" t="str">
            <v xml:space="preserve"> loss-(equity method)</v>
          </cell>
          <cell r="FX70">
            <v>0</v>
          </cell>
          <cell r="FY70">
            <v>0</v>
          </cell>
          <cell r="GA70">
            <v>0</v>
          </cell>
          <cell r="GB70">
            <v>0</v>
          </cell>
          <cell r="GC70">
            <v>0</v>
          </cell>
          <cell r="GD70">
            <v>0</v>
          </cell>
          <cell r="GE70">
            <v>0</v>
          </cell>
          <cell r="GF70" t="e">
            <v>#DIV/0!</v>
          </cell>
          <cell r="GG70">
            <v>0</v>
          </cell>
          <cell r="GH70">
            <v>0</v>
          </cell>
        </row>
        <row r="71">
          <cell r="A71" t="str">
            <v xml:space="preserve"> goodwill</v>
          </cell>
          <cell r="C71">
            <v>1162</v>
          </cell>
          <cell r="I71">
            <v>1162</v>
          </cell>
          <cell r="U71">
            <v>0</v>
          </cell>
          <cell r="AD71">
            <v>0</v>
          </cell>
          <cell r="AJ71">
            <v>0</v>
          </cell>
          <cell r="AP71">
            <v>0</v>
          </cell>
          <cell r="AT71">
            <v>1162</v>
          </cell>
          <cell r="AV71">
            <v>-1162</v>
          </cell>
          <cell r="AX71">
            <v>0</v>
          </cell>
          <cell r="AY71">
            <v>0</v>
          </cell>
          <cell r="AZ71" t="str">
            <v xml:space="preserve"> goodwill</v>
          </cell>
          <cell r="BC71">
            <v>4413</v>
          </cell>
          <cell r="BI71">
            <v>4413</v>
          </cell>
          <cell r="BX71">
            <v>0</v>
          </cell>
          <cell r="CD71">
            <v>0</v>
          </cell>
          <cell r="CJ71">
            <v>0</v>
          </cell>
          <cell r="CP71">
            <v>0</v>
          </cell>
          <cell r="CT71">
            <v>4413</v>
          </cell>
          <cell r="CV71">
            <v>-4413</v>
          </cell>
          <cell r="CX71">
            <v>0</v>
          </cell>
          <cell r="FC71">
            <v>4228</v>
          </cell>
          <cell r="FF71">
            <v>4228</v>
          </cell>
          <cell r="FN71">
            <v>0</v>
          </cell>
          <cell r="FO71">
            <v>0</v>
          </cell>
          <cell r="FR71">
            <v>0</v>
          </cell>
          <cell r="FS71">
            <v>0</v>
          </cell>
          <cell r="FT71">
            <v>4228</v>
          </cell>
          <cell r="FU71">
            <v>-4228</v>
          </cell>
          <cell r="FV71">
            <v>0</v>
          </cell>
          <cell r="FW71" t="str">
            <v xml:space="preserve"> goodwill</v>
          </cell>
          <cell r="FX71">
            <v>0</v>
          </cell>
          <cell r="FY71">
            <v>0</v>
          </cell>
          <cell r="GA71">
            <v>0</v>
          </cell>
          <cell r="GB71">
            <v>0</v>
          </cell>
          <cell r="GC71">
            <v>0</v>
          </cell>
          <cell r="GD71">
            <v>0</v>
          </cell>
          <cell r="GE71">
            <v>0</v>
          </cell>
          <cell r="GF71" t="e">
            <v>#DIV/0!</v>
          </cell>
          <cell r="GG71">
            <v>4726.135205747878</v>
          </cell>
          <cell r="GH71">
            <v>0</v>
          </cell>
        </row>
        <row r="72">
          <cell r="A72" t="str">
            <v xml:space="preserve">total </v>
          </cell>
          <cell r="C72">
            <v>4641.5</v>
          </cell>
          <cell r="E72">
            <v>0</v>
          </cell>
          <cell r="G72">
            <v>2</v>
          </cell>
          <cell r="I72">
            <v>4643.5</v>
          </cell>
          <cell r="M72">
            <v>0</v>
          </cell>
          <cell r="O72">
            <v>0</v>
          </cell>
          <cell r="Q72">
            <v>0</v>
          </cell>
          <cell r="S72">
            <v>0</v>
          </cell>
          <cell r="U72">
            <v>0</v>
          </cell>
          <cell r="Z72">
            <v>0</v>
          </cell>
          <cell r="AB72">
            <v>0</v>
          </cell>
          <cell r="AD72">
            <v>0</v>
          </cell>
          <cell r="AF72">
            <v>0</v>
          </cell>
          <cell r="AH72">
            <v>0</v>
          </cell>
          <cell r="AJ72">
            <v>0</v>
          </cell>
          <cell r="AL72">
            <v>0</v>
          </cell>
          <cell r="AN72">
            <v>0</v>
          </cell>
          <cell r="AP72">
            <v>0</v>
          </cell>
          <cell r="AR72">
            <v>0</v>
          </cell>
          <cell r="AT72">
            <v>4643.5</v>
          </cell>
          <cell r="AV72">
            <v>-4643.5</v>
          </cell>
          <cell r="AX72">
            <v>0</v>
          </cell>
          <cell r="AY72">
            <v>0</v>
          </cell>
          <cell r="AZ72" t="str">
            <v xml:space="preserve">total </v>
          </cell>
          <cell r="BA72" t="str">
            <v xml:space="preserve">total </v>
          </cell>
          <cell r="BC72">
            <v>17339.468000000001</v>
          </cell>
          <cell r="BE72">
            <v>0</v>
          </cell>
          <cell r="BG72">
            <v>792.77499999999998</v>
          </cell>
          <cell r="BI72">
            <v>18132.243000000002</v>
          </cell>
          <cell r="BO72">
            <v>0</v>
          </cell>
          <cell r="BQ72">
            <v>0</v>
          </cell>
          <cell r="BS72">
            <v>0</v>
          </cell>
          <cell r="BU72">
            <v>0</v>
          </cell>
          <cell r="BX72">
            <v>0</v>
          </cell>
          <cell r="BZ72">
            <v>0</v>
          </cell>
          <cell r="CB72">
            <v>0</v>
          </cell>
          <cell r="CD72">
            <v>0</v>
          </cell>
          <cell r="CF72">
            <v>0</v>
          </cell>
          <cell r="CH72">
            <v>0</v>
          </cell>
          <cell r="CJ72">
            <v>0</v>
          </cell>
          <cell r="CL72">
            <v>0</v>
          </cell>
          <cell r="CN72">
            <v>0</v>
          </cell>
          <cell r="CP72">
            <v>0</v>
          </cell>
          <cell r="CR72">
            <v>0</v>
          </cell>
          <cell r="CT72">
            <v>18132.243000000002</v>
          </cell>
          <cell r="CV72">
            <v>-18132.243000000002</v>
          </cell>
          <cell r="CX72">
            <v>0</v>
          </cell>
          <cell r="FC72">
            <v>18461.951665578054</v>
          </cell>
          <cell r="FE72">
            <v>0</v>
          </cell>
          <cell r="FF72">
            <v>18461.951665578054</v>
          </cell>
          <cell r="FI72">
            <v>0</v>
          </cell>
          <cell r="FM72">
            <v>0</v>
          </cell>
          <cell r="FN72">
            <v>0</v>
          </cell>
          <cell r="FO72">
            <v>0</v>
          </cell>
          <cell r="FQ72">
            <v>0</v>
          </cell>
          <cell r="FR72">
            <v>0</v>
          </cell>
          <cell r="FS72">
            <v>0</v>
          </cell>
          <cell r="FT72">
            <v>18461.951665578054</v>
          </cell>
          <cell r="FU72">
            <v>-18461.951665578054</v>
          </cell>
          <cell r="FV72">
            <v>0</v>
          </cell>
          <cell r="FW72" t="str">
            <v xml:space="preserve">total </v>
          </cell>
          <cell r="FX72">
            <v>0</v>
          </cell>
          <cell r="FY72">
            <v>0</v>
          </cell>
          <cell r="FZ72">
            <v>0</v>
          </cell>
          <cell r="GA72">
            <v>0</v>
          </cell>
          <cell r="GB72">
            <v>0</v>
          </cell>
          <cell r="GC72">
            <v>0</v>
          </cell>
          <cell r="GD72">
            <v>0</v>
          </cell>
          <cell r="GE72">
            <v>0</v>
          </cell>
          <cell r="GF72" t="e">
            <v>#DIV/0!</v>
          </cell>
          <cell r="GG72">
            <v>4726.135205747878</v>
          </cell>
          <cell r="GH72">
            <v>0</v>
          </cell>
        </row>
        <row r="73">
          <cell r="A73" t="str">
            <v>MADRICHE PNAI</v>
          </cell>
          <cell r="B73">
            <v>0.5</v>
          </cell>
          <cell r="C73">
            <v>-383.23</v>
          </cell>
          <cell r="I73">
            <v>-383.23</v>
          </cell>
          <cell r="U73">
            <v>0</v>
          </cell>
          <cell r="AD73">
            <v>0</v>
          </cell>
          <cell r="AJ73">
            <v>0</v>
          </cell>
          <cell r="AP73">
            <v>0</v>
          </cell>
          <cell r="AT73">
            <v>-383.23</v>
          </cell>
          <cell r="AV73">
            <v>383.23</v>
          </cell>
          <cell r="AX73">
            <v>0</v>
          </cell>
          <cell r="AY73">
            <v>0</v>
          </cell>
          <cell r="AZ73" t="str">
            <v>MADRICHE PNAI</v>
          </cell>
          <cell r="BA73">
            <v>0.5</v>
          </cell>
          <cell r="BC73">
            <v>-1458</v>
          </cell>
          <cell r="BI73">
            <v>-1458</v>
          </cell>
          <cell r="BX73">
            <v>0</v>
          </cell>
          <cell r="CD73">
            <v>0</v>
          </cell>
          <cell r="CJ73">
            <v>0</v>
          </cell>
          <cell r="CP73">
            <v>0</v>
          </cell>
          <cell r="CT73">
            <v>-1458</v>
          </cell>
          <cell r="CV73">
            <v>1458</v>
          </cell>
          <cell r="CX73">
            <v>0</v>
          </cell>
          <cell r="FC73">
            <v>-1515.7280000000001</v>
          </cell>
          <cell r="FF73">
            <v>-1515.7280000000001</v>
          </cell>
          <cell r="FN73">
            <v>0</v>
          </cell>
          <cell r="FO73">
            <v>0</v>
          </cell>
          <cell r="FR73">
            <v>0</v>
          </cell>
          <cell r="FS73">
            <v>0</v>
          </cell>
          <cell r="FT73">
            <v>-1515.7280000000001</v>
          </cell>
          <cell r="FU73">
            <v>1515.7280000000001</v>
          </cell>
          <cell r="FV73">
            <v>0</v>
          </cell>
          <cell r="FW73" t="str">
            <v>MADRICHE PNAI</v>
          </cell>
          <cell r="FX73">
            <v>0</v>
          </cell>
          <cell r="FY73">
            <v>0</v>
          </cell>
          <cell r="GA73">
            <v>0</v>
          </cell>
          <cell r="GB73">
            <v>0</v>
          </cell>
          <cell r="GC73">
            <v>0</v>
          </cell>
          <cell r="GD73">
            <v>0</v>
          </cell>
          <cell r="GE73">
            <v>0</v>
          </cell>
          <cell r="GF73" t="e">
            <v>#DIV/0!</v>
          </cell>
          <cell r="GG73">
            <v>0</v>
          </cell>
          <cell r="GH73">
            <v>0</v>
          </cell>
        </row>
        <row r="74">
          <cell r="A74" t="str">
            <v xml:space="preserve"> long term loans</v>
          </cell>
          <cell r="C74">
            <v>-5.5979999999999999</v>
          </cell>
          <cell r="I74">
            <v>-5.5979999999999999</v>
          </cell>
          <cell r="U74">
            <v>0</v>
          </cell>
          <cell r="AD74">
            <v>0</v>
          </cell>
          <cell r="AJ74">
            <v>0</v>
          </cell>
          <cell r="AP74">
            <v>0</v>
          </cell>
          <cell r="AT74">
            <v>-5.5979999999999999</v>
          </cell>
          <cell r="AV74">
            <v>5.5979999999999999</v>
          </cell>
          <cell r="AX74">
            <v>0</v>
          </cell>
          <cell r="AY74">
            <v>0</v>
          </cell>
          <cell r="AZ74" t="str">
            <v xml:space="preserve"> long term loans</v>
          </cell>
          <cell r="BC74">
            <v>-23.289000000000001</v>
          </cell>
          <cell r="BI74">
            <v>-23.289000000000001</v>
          </cell>
          <cell r="BX74">
            <v>0</v>
          </cell>
          <cell r="CD74">
            <v>0</v>
          </cell>
          <cell r="CJ74">
            <v>0</v>
          </cell>
          <cell r="CP74">
            <v>0</v>
          </cell>
          <cell r="CT74">
            <v>-23.289000000000001</v>
          </cell>
          <cell r="CV74">
            <v>23.289000000000001</v>
          </cell>
          <cell r="CX74">
            <v>0</v>
          </cell>
          <cell r="FC74">
            <v>-23.289000000000001</v>
          </cell>
          <cell r="FF74">
            <v>-23.289000000000001</v>
          </cell>
          <cell r="FN74">
            <v>0</v>
          </cell>
          <cell r="FO74">
            <v>0</v>
          </cell>
          <cell r="FR74">
            <v>0</v>
          </cell>
          <cell r="FS74">
            <v>0</v>
          </cell>
          <cell r="FT74">
            <v>-23.289000000000001</v>
          </cell>
          <cell r="FU74">
            <v>23.289000000000001</v>
          </cell>
          <cell r="FV74">
            <v>0</v>
          </cell>
          <cell r="FW74" t="str">
            <v xml:space="preserve"> long term loans</v>
          </cell>
          <cell r="FX74">
            <v>0</v>
          </cell>
          <cell r="FY74">
            <v>0</v>
          </cell>
          <cell r="GA74">
            <v>0</v>
          </cell>
          <cell r="GB74">
            <v>0</v>
          </cell>
          <cell r="GC74">
            <v>0</v>
          </cell>
          <cell r="GD74">
            <v>0</v>
          </cell>
          <cell r="GE74">
            <v>0</v>
          </cell>
          <cell r="GF74" t="e">
            <v>#DIV/0!</v>
          </cell>
          <cell r="GG74">
            <v>0</v>
          </cell>
          <cell r="GH74">
            <v>0</v>
          </cell>
        </row>
        <row r="75">
          <cell r="A75" t="str">
            <v xml:space="preserve"> accumulated profit</v>
          </cell>
          <cell r="C75">
            <v>243</v>
          </cell>
          <cell r="I75">
            <v>243</v>
          </cell>
          <cell r="U75">
            <v>0</v>
          </cell>
          <cell r="AD75">
            <v>0</v>
          </cell>
          <cell r="AJ75">
            <v>0</v>
          </cell>
          <cell r="AP75">
            <v>0</v>
          </cell>
          <cell r="AT75">
            <v>243</v>
          </cell>
          <cell r="AV75">
            <v>-243</v>
          </cell>
          <cell r="AX75">
            <v>0</v>
          </cell>
          <cell r="AY75">
            <v>0</v>
          </cell>
          <cell r="AZ75" t="str">
            <v xml:space="preserve"> accumulated profit</v>
          </cell>
          <cell r="BC75">
            <v>858</v>
          </cell>
          <cell r="BI75">
            <v>858</v>
          </cell>
          <cell r="BX75">
            <v>0</v>
          </cell>
          <cell r="CD75">
            <v>0</v>
          </cell>
          <cell r="CJ75">
            <v>0</v>
          </cell>
          <cell r="CP75">
            <v>0</v>
          </cell>
          <cell r="CT75">
            <v>858</v>
          </cell>
          <cell r="CV75">
            <v>-858</v>
          </cell>
          <cell r="CX75">
            <v>0</v>
          </cell>
          <cell r="FC75">
            <v>931.97517962116274</v>
          </cell>
          <cell r="FF75">
            <v>931.97517962116274</v>
          </cell>
          <cell r="FN75">
            <v>0</v>
          </cell>
          <cell r="FO75">
            <v>0</v>
          </cell>
          <cell r="FR75">
            <v>0</v>
          </cell>
          <cell r="FS75">
            <v>0</v>
          </cell>
          <cell r="FT75">
            <v>931.97517962116274</v>
          </cell>
          <cell r="FU75">
            <v>-931.97517962116274</v>
          </cell>
          <cell r="FV75">
            <v>0</v>
          </cell>
          <cell r="FW75" t="str">
            <v xml:space="preserve"> accumulated profit</v>
          </cell>
          <cell r="FX75">
            <v>0</v>
          </cell>
          <cell r="FY75">
            <v>0</v>
          </cell>
          <cell r="GA75">
            <v>0</v>
          </cell>
          <cell r="GB75">
            <v>0</v>
          </cell>
          <cell r="GC75">
            <v>0</v>
          </cell>
          <cell r="GD75">
            <v>0</v>
          </cell>
          <cell r="GE75">
            <v>0</v>
          </cell>
          <cell r="GF75" t="e">
            <v>#DIV/0!</v>
          </cell>
          <cell r="GG75">
            <v>0</v>
          </cell>
          <cell r="GH75">
            <v>0</v>
          </cell>
        </row>
        <row r="76">
          <cell r="A76" t="str">
            <v xml:space="preserve"> profit-(equity method)</v>
          </cell>
          <cell r="C76">
            <v>242.76400000000001</v>
          </cell>
          <cell r="G76">
            <v>0.26850961538445972</v>
          </cell>
          <cell r="I76">
            <v>243.03250961538447</v>
          </cell>
          <cell r="U76">
            <v>0</v>
          </cell>
          <cell r="AD76">
            <v>0</v>
          </cell>
          <cell r="AJ76">
            <v>0</v>
          </cell>
          <cell r="AP76">
            <v>0</v>
          </cell>
          <cell r="AT76">
            <v>243.03250961538447</v>
          </cell>
          <cell r="AV76">
            <v>-243.03250961538447</v>
          </cell>
          <cell r="AX76">
            <v>0</v>
          </cell>
          <cell r="AY76">
            <v>0</v>
          </cell>
          <cell r="AZ76" t="str">
            <v xml:space="preserve"> profit-(equity method)</v>
          </cell>
          <cell r="BC76">
            <v>1033.9590000000001</v>
          </cell>
          <cell r="BG76">
            <v>7.9999999995834514E-3</v>
          </cell>
          <cell r="BI76">
            <v>1033.9669999999996</v>
          </cell>
          <cell r="BX76">
            <v>0</v>
          </cell>
          <cell r="CD76">
            <v>0</v>
          </cell>
          <cell r="CJ76">
            <v>0</v>
          </cell>
          <cell r="CP76">
            <v>0</v>
          </cell>
          <cell r="CT76">
            <v>1033.9669999999996</v>
          </cell>
          <cell r="CV76">
            <v>-1033.9669999999996</v>
          </cell>
          <cell r="CX76">
            <v>0</v>
          </cell>
          <cell r="FC76">
            <v>1009.897</v>
          </cell>
          <cell r="FE76">
            <v>1.0000000005447873E-3</v>
          </cell>
          <cell r="FF76">
            <v>1009.8980000000006</v>
          </cell>
          <cell r="FN76">
            <v>0</v>
          </cell>
          <cell r="FO76">
            <v>0</v>
          </cell>
          <cell r="FR76">
            <v>0</v>
          </cell>
          <cell r="FS76">
            <v>0</v>
          </cell>
          <cell r="FT76">
            <v>1009.8980000000006</v>
          </cell>
          <cell r="FU76">
            <v>-1009.8980000000006</v>
          </cell>
          <cell r="FV76">
            <v>0</v>
          </cell>
          <cell r="FW76" t="str">
            <v xml:space="preserve"> profit-(equity method)</v>
          </cell>
          <cell r="FX76">
            <v>0</v>
          </cell>
          <cell r="FY76">
            <v>0</v>
          </cell>
          <cell r="GA76">
            <v>0</v>
          </cell>
          <cell r="GB76">
            <v>0</v>
          </cell>
          <cell r="GC76">
            <v>0</v>
          </cell>
          <cell r="GD76">
            <v>0</v>
          </cell>
          <cell r="GE76">
            <v>0</v>
          </cell>
          <cell r="GF76" t="e">
            <v>#DIV/0!</v>
          </cell>
          <cell r="GG76">
            <v>0</v>
          </cell>
          <cell r="GH76">
            <v>0</v>
          </cell>
        </row>
        <row r="77">
          <cell r="A77" t="str">
            <v xml:space="preserve"> goodwill</v>
          </cell>
          <cell r="I77">
            <v>0</v>
          </cell>
          <cell r="U77">
            <v>0</v>
          </cell>
          <cell r="AD77">
            <v>0</v>
          </cell>
          <cell r="AJ77">
            <v>0</v>
          </cell>
          <cell r="AP77">
            <v>0</v>
          </cell>
          <cell r="AT77">
            <v>0</v>
          </cell>
          <cell r="AX77">
            <v>0</v>
          </cell>
          <cell r="AY77">
            <v>0</v>
          </cell>
          <cell r="AZ77" t="str">
            <v xml:space="preserve"> goodwill</v>
          </cell>
          <cell r="BI77">
            <v>0</v>
          </cell>
          <cell r="BX77">
            <v>0</v>
          </cell>
          <cell r="CD77">
            <v>0</v>
          </cell>
          <cell r="CJ77">
            <v>0</v>
          </cell>
          <cell r="CP77">
            <v>0</v>
          </cell>
          <cell r="CT77">
            <v>0</v>
          </cell>
          <cell r="CX77">
            <v>0</v>
          </cell>
          <cell r="FN77">
            <v>0</v>
          </cell>
          <cell r="FO77">
            <v>0</v>
          </cell>
          <cell r="FR77">
            <v>0</v>
          </cell>
          <cell r="FS77">
            <v>0</v>
          </cell>
          <cell r="FT77">
            <v>0</v>
          </cell>
          <cell r="FV77">
            <v>0</v>
          </cell>
          <cell r="FW77" t="str">
            <v xml:space="preserve"> goodwill</v>
          </cell>
          <cell r="FX77">
            <v>0</v>
          </cell>
          <cell r="FY77">
            <v>0</v>
          </cell>
          <cell r="GA77">
            <v>0</v>
          </cell>
          <cell r="GB77">
            <v>0</v>
          </cell>
          <cell r="GC77">
            <v>0</v>
          </cell>
          <cell r="GD77">
            <v>0</v>
          </cell>
          <cell r="GE77">
            <v>0</v>
          </cell>
          <cell r="GF77" t="e">
            <v>#DIV/0!</v>
          </cell>
          <cell r="GG77">
            <v>0</v>
          </cell>
          <cell r="GH77">
            <v>0</v>
          </cell>
        </row>
        <row r="78">
          <cell r="B78" t="str">
            <v xml:space="preserve">total </v>
          </cell>
          <cell r="C78">
            <v>96.935999999999979</v>
          </cell>
          <cell r="E78">
            <v>0</v>
          </cell>
          <cell r="G78">
            <v>0.26850961538445972</v>
          </cell>
          <cell r="I78">
            <v>97.204509615384438</v>
          </cell>
          <cell r="M78">
            <v>0</v>
          </cell>
          <cell r="O78">
            <v>0</v>
          </cell>
          <cell r="Q78">
            <v>0</v>
          </cell>
          <cell r="S78">
            <v>0</v>
          </cell>
          <cell r="U78">
            <v>0</v>
          </cell>
          <cell r="Z78">
            <v>0</v>
          </cell>
          <cell r="AB78">
            <v>0</v>
          </cell>
          <cell r="AD78">
            <v>0</v>
          </cell>
          <cell r="AF78">
            <v>0</v>
          </cell>
          <cell r="AH78">
            <v>0</v>
          </cell>
          <cell r="AJ78">
            <v>0</v>
          </cell>
          <cell r="AL78">
            <v>0</v>
          </cell>
          <cell r="AN78">
            <v>0</v>
          </cell>
          <cell r="AP78">
            <v>0</v>
          </cell>
          <cell r="AR78">
            <v>0</v>
          </cell>
          <cell r="AT78">
            <v>97.204509615384438</v>
          </cell>
          <cell r="AV78">
            <v>-97.204509615384438</v>
          </cell>
          <cell r="AX78">
            <v>0</v>
          </cell>
          <cell r="AY78">
            <v>0</v>
          </cell>
          <cell r="BA78" t="str">
            <v xml:space="preserve">total </v>
          </cell>
          <cell r="BC78">
            <v>410.67</v>
          </cell>
          <cell r="BE78">
            <v>0</v>
          </cell>
          <cell r="BG78">
            <v>7.9999999995834514E-3</v>
          </cell>
          <cell r="BI78">
            <v>410.67799999999966</v>
          </cell>
          <cell r="BM78">
            <v>0</v>
          </cell>
          <cell r="BO78">
            <v>0</v>
          </cell>
          <cell r="BQ78">
            <v>0</v>
          </cell>
          <cell r="BS78">
            <v>0</v>
          </cell>
          <cell r="BU78">
            <v>0</v>
          </cell>
          <cell r="BX78">
            <v>0</v>
          </cell>
          <cell r="BZ78">
            <v>0</v>
          </cell>
          <cell r="CB78">
            <v>0</v>
          </cell>
          <cell r="CD78">
            <v>0</v>
          </cell>
          <cell r="CF78">
            <v>0</v>
          </cell>
          <cell r="CH78">
            <v>0</v>
          </cell>
          <cell r="CJ78">
            <v>0</v>
          </cell>
          <cell r="CL78">
            <v>0</v>
          </cell>
          <cell r="CN78">
            <v>0</v>
          </cell>
          <cell r="CP78">
            <v>0</v>
          </cell>
          <cell r="CR78">
            <v>0</v>
          </cell>
          <cell r="CT78">
            <v>410.67799999999966</v>
          </cell>
          <cell r="CV78">
            <v>-410.67799999999966</v>
          </cell>
          <cell r="CX78">
            <v>0</v>
          </cell>
          <cell r="FC78">
            <v>402.85517962116273</v>
          </cell>
          <cell r="FE78">
            <v>1.0000000005447873E-3</v>
          </cell>
          <cell r="FF78">
            <v>402.85617962116328</v>
          </cell>
          <cell r="FG78">
            <v>0</v>
          </cell>
          <cell r="FI78">
            <v>0</v>
          </cell>
          <cell r="FM78">
            <v>0</v>
          </cell>
          <cell r="FN78">
            <v>0</v>
          </cell>
          <cell r="FO78">
            <v>0</v>
          </cell>
          <cell r="FQ78">
            <v>0</v>
          </cell>
          <cell r="FR78">
            <v>0</v>
          </cell>
          <cell r="FS78">
            <v>0</v>
          </cell>
          <cell r="FT78">
            <v>402.85617962116328</v>
          </cell>
          <cell r="FU78">
            <v>-402.85617962116328</v>
          </cell>
          <cell r="FV78">
            <v>0</v>
          </cell>
          <cell r="FX78">
            <v>0</v>
          </cell>
          <cell r="FY78">
            <v>0</v>
          </cell>
          <cell r="FZ78">
            <v>0</v>
          </cell>
          <cell r="GA78">
            <v>0</v>
          </cell>
          <cell r="GB78">
            <v>0</v>
          </cell>
          <cell r="GC78">
            <v>0</v>
          </cell>
          <cell r="GD78">
            <v>0</v>
          </cell>
          <cell r="GE78">
            <v>0</v>
          </cell>
          <cell r="GF78" t="e">
            <v>#DIV/0!</v>
          </cell>
          <cell r="GG78">
            <v>0</v>
          </cell>
          <cell r="GH78">
            <v>0</v>
          </cell>
        </row>
        <row r="79">
          <cell r="A79" t="str">
            <v>T.POWER</v>
          </cell>
          <cell r="B79">
            <v>0.33329999999999999</v>
          </cell>
          <cell r="C79">
            <v>2</v>
          </cell>
          <cell r="I79">
            <v>2</v>
          </cell>
          <cell r="AT79">
            <v>2</v>
          </cell>
          <cell r="AX79">
            <v>2</v>
          </cell>
          <cell r="AY79">
            <v>0</v>
          </cell>
          <cell r="AZ79" t="str">
            <v>T.POWER</v>
          </cell>
          <cell r="BA79">
            <v>0.33</v>
          </cell>
          <cell r="BC79">
            <v>1578.2</v>
          </cell>
          <cell r="BI79">
            <v>1578.2</v>
          </cell>
          <cell r="BX79">
            <v>0</v>
          </cell>
          <cell r="CD79">
            <v>0</v>
          </cell>
          <cell r="CT79">
            <v>1578.2</v>
          </cell>
          <cell r="CX79">
            <v>1578.2</v>
          </cell>
          <cell r="FC79">
            <v>1621.86</v>
          </cell>
          <cell r="FF79">
            <v>1621.86</v>
          </cell>
          <cell r="FN79">
            <v>0</v>
          </cell>
          <cell r="FR79">
            <v>0</v>
          </cell>
          <cell r="FS79">
            <v>0</v>
          </cell>
          <cell r="FT79">
            <v>1621.86</v>
          </cell>
          <cell r="FV79">
            <v>1621.86</v>
          </cell>
          <cell r="FW79" t="str">
            <v>T.POWER</v>
          </cell>
          <cell r="FX79">
            <v>0</v>
          </cell>
          <cell r="FY79">
            <v>0</v>
          </cell>
          <cell r="GA79">
            <v>0</v>
          </cell>
          <cell r="GB79">
            <v>0</v>
          </cell>
          <cell r="GC79">
            <v>1621.86</v>
          </cell>
          <cell r="GD79">
            <v>1643.6083331328921</v>
          </cell>
          <cell r="GE79">
            <v>1621.86</v>
          </cell>
          <cell r="GF79">
            <v>810.93</v>
          </cell>
          <cell r="GG79">
            <v>0</v>
          </cell>
          <cell r="GH79">
            <v>0</v>
          </cell>
        </row>
        <row r="80">
          <cell r="A80" t="str">
            <v xml:space="preserve"> long term loans</v>
          </cell>
          <cell r="C80">
            <v>95.183999999999997</v>
          </cell>
          <cell r="I80">
            <v>95.183999999999997</v>
          </cell>
          <cell r="AT80">
            <v>95.183999999999997</v>
          </cell>
          <cell r="AX80">
            <v>95.183999999999997</v>
          </cell>
          <cell r="AY80">
            <v>0</v>
          </cell>
          <cell r="AZ80" t="str">
            <v xml:space="preserve"> long term loans</v>
          </cell>
          <cell r="BC80">
            <v>395.96600000000001</v>
          </cell>
          <cell r="BI80">
            <v>395.96600000000001</v>
          </cell>
          <cell r="BX80">
            <v>0</v>
          </cell>
          <cell r="CD80">
            <v>0</v>
          </cell>
          <cell r="CT80">
            <v>395.96600000000001</v>
          </cell>
          <cell r="CX80">
            <v>395.96600000000001</v>
          </cell>
          <cell r="FC80">
            <v>395.96600000000001</v>
          </cell>
          <cell r="FF80">
            <v>395.96600000000001</v>
          </cell>
          <cell r="FN80">
            <v>0</v>
          </cell>
          <cell r="FR80">
            <v>0</v>
          </cell>
          <cell r="FS80">
            <v>0</v>
          </cell>
          <cell r="FT80">
            <v>395.96600000000001</v>
          </cell>
          <cell r="FV80">
            <v>395.96600000000001</v>
          </cell>
          <cell r="FW80" t="str">
            <v xml:space="preserve"> long term loans</v>
          </cell>
          <cell r="FX80">
            <v>0</v>
          </cell>
          <cell r="FY80">
            <v>0</v>
          </cell>
          <cell r="GA80">
            <v>0</v>
          </cell>
          <cell r="GB80">
            <v>0</v>
          </cell>
          <cell r="GC80">
            <v>395.96600000000001</v>
          </cell>
          <cell r="GD80">
            <v>401.27570643415515</v>
          </cell>
          <cell r="GE80">
            <v>395.96600000000001</v>
          </cell>
          <cell r="GF80">
            <v>4.1600058833417384</v>
          </cell>
          <cell r="GG80">
            <v>0</v>
          </cell>
          <cell r="GH80">
            <v>0</v>
          </cell>
        </row>
        <row r="81">
          <cell r="A81" t="str">
            <v xml:space="preserve"> accumulated profit</v>
          </cell>
          <cell r="I81">
            <v>0</v>
          </cell>
          <cell r="AT81">
            <v>0</v>
          </cell>
          <cell r="AX81">
            <v>0</v>
          </cell>
          <cell r="AY81">
            <v>0</v>
          </cell>
          <cell r="AZ81" t="str">
            <v xml:space="preserve"> accumulated profit</v>
          </cell>
          <cell r="BI81">
            <v>0</v>
          </cell>
          <cell r="BX81">
            <v>0</v>
          </cell>
          <cell r="CD81">
            <v>0</v>
          </cell>
          <cell r="CT81">
            <v>0</v>
          </cell>
          <cell r="CX81">
            <v>0</v>
          </cell>
          <cell r="FF81">
            <v>0</v>
          </cell>
          <cell r="FN81">
            <v>0</v>
          </cell>
          <cell r="FR81">
            <v>0</v>
          </cell>
          <cell r="FS81">
            <v>0</v>
          </cell>
          <cell r="FT81">
            <v>0</v>
          </cell>
          <cell r="FV81">
            <v>0</v>
          </cell>
          <cell r="FW81" t="str">
            <v xml:space="preserve"> accumulated profit</v>
          </cell>
          <cell r="FX81">
            <v>0</v>
          </cell>
          <cell r="FY81">
            <v>0</v>
          </cell>
          <cell r="GA81">
            <v>0</v>
          </cell>
          <cell r="GB81">
            <v>0</v>
          </cell>
          <cell r="GC81">
            <v>0</v>
          </cell>
          <cell r="GD81">
            <v>0</v>
          </cell>
          <cell r="GE81">
            <v>0</v>
          </cell>
          <cell r="GF81" t="e">
            <v>#DIV/0!</v>
          </cell>
          <cell r="GG81">
            <v>0</v>
          </cell>
          <cell r="GH81">
            <v>0</v>
          </cell>
        </row>
        <row r="82">
          <cell r="A82" t="str">
            <v xml:space="preserve"> profit-(equity method)</v>
          </cell>
          <cell r="C82">
            <v>-65</v>
          </cell>
          <cell r="G82">
            <v>-34.552999999999997</v>
          </cell>
          <cell r="I82">
            <v>-99.552999999999997</v>
          </cell>
          <cell r="AT82">
            <v>-99.552999999999997</v>
          </cell>
          <cell r="AX82">
            <v>-99.552999999999997</v>
          </cell>
          <cell r="AY82">
            <v>0</v>
          </cell>
          <cell r="AZ82" t="str">
            <v xml:space="preserve"> profit-(equity method)</v>
          </cell>
          <cell r="BG82">
            <v>-394.327</v>
          </cell>
          <cell r="BI82">
            <v>-394.327</v>
          </cell>
          <cell r="BX82">
            <v>0</v>
          </cell>
          <cell r="CD82">
            <v>0</v>
          </cell>
          <cell r="CT82">
            <v>-394.327</v>
          </cell>
          <cell r="CX82">
            <v>-394.327</v>
          </cell>
          <cell r="FC82">
            <v>-394.327</v>
          </cell>
          <cell r="FF82">
            <v>-394.327</v>
          </cell>
          <cell r="FN82">
            <v>0</v>
          </cell>
          <cell r="FR82">
            <v>0</v>
          </cell>
          <cell r="FS82">
            <v>0</v>
          </cell>
          <cell r="FT82">
            <v>-394.327</v>
          </cell>
          <cell r="FV82">
            <v>-394.327</v>
          </cell>
          <cell r="FW82" t="str">
            <v xml:space="preserve"> profit-(equity method)</v>
          </cell>
          <cell r="FX82">
            <v>0</v>
          </cell>
          <cell r="FY82">
            <v>0</v>
          </cell>
          <cell r="GA82">
            <v>0</v>
          </cell>
          <cell r="GB82">
            <v>0</v>
          </cell>
          <cell r="GC82">
            <v>-394.327</v>
          </cell>
          <cell r="GD82">
            <v>-399.61472826217681</v>
          </cell>
          <cell r="GE82">
            <v>-394.327</v>
          </cell>
          <cell r="GF82">
            <v>3.960975560756582</v>
          </cell>
          <cell r="GG82">
            <v>0</v>
          </cell>
          <cell r="GH82">
            <v>0</v>
          </cell>
        </row>
        <row r="83">
          <cell r="A83" t="str">
            <v xml:space="preserve"> goodwill</v>
          </cell>
          <cell r="C83">
            <v>398</v>
          </cell>
          <cell r="I83">
            <v>398</v>
          </cell>
          <cell r="AT83">
            <v>398</v>
          </cell>
          <cell r="AX83">
            <v>398</v>
          </cell>
          <cell r="AY83">
            <v>0</v>
          </cell>
          <cell r="AZ83" t="str">
            <v xml:space="preserve"> goodwill</v>
          </cell>
          <cell r="BX83">
            <v>0</v>
          </cell>
          <cell r="CD83">
            <v>0</v>
          </cell>
          <cell r="CT83">
            <v>0</v>
          </cell>
          <cell r="CX83">
            <v>0</v>
          </cell>
          <cell r="FN83">
            <v>0</v>
          </cell>
          <cell r="FR83">
            <v>0</v>
          </cell>
          <cell r="FS83">
            <v>0</v>
          </cell>
          <cell r="FT83">
            <v>0</v>
          </cell>
          <cell r="FV83">
            <v>0</v>
          </cell>
          <cell r="FW83" t="str">
            <v xml:space="preserve"> goodwill</v>
          </cell>
          <cell r="FX83">
            <v>0</v>
          </cell>
          <cell r="FY83">
            <v>0</v>
          </cell>
          <cell r="GA83">
            <v>0</v>
          </cell>
          <cell r="GB83">
            <v>0</v>
          </cell>
          <cell r="GC83">
            <v>0</v>
          </cell>
          <cell r="GD83">
            <v>0</v>
          </cell>
          <cell r="GE83">
            <v>0</v>
          </cell>
          <cell r="GF83">
            <v>0</v>
          </cell>
          <cell r="GG83">
            <v>0</v>
          </cell>
          <cell r="GH83">
            <v>0</v>
          </cell>
        </row>
        <row r="84">
          <cell r="B84" t="str">
            <v xml:space="preserve">total </v>
          </cell>
          <cell r="C84">
            <v>430.18399999999997</v>
          </cell>
          <cell r="E84">
            <v>0</v>
          </cell>
          <cell r="G84">
            <v>-34.552999999999997</v>
          </cell>
          <cell r="I84">
            <v>395.63099999999997</v>
          </cell>
          <cell r="K84">
            <v>0</v>
          </cell>
          <cell r="M84">
            <v>0</v>
          </cell>
          <cell r="O84">
            <v>0</v>
          </cell>
          <cell r="Q84">
            <v>0</v>
          </cell>
          <cell r="S84">
            <v>0</v>
          </cell>
          <cell r="U84">
            <v>0</v>
          </cell>
          <cell r="W84">
            <v>0</v>
          </cell>
          <cell r="Z84">
            <v>0</v>
          </cell>
          <cell r="AB84">
            <v>0</v>
          </cell>
          <cell r="AD84">
            <v>0</v>
          </cell>
          <cell r="AF84">
            <v>0</v>
          </cell>
          <cell r="AH84">
            <v>0</v>
          </cell>
          <cell r="AJ84">
            <v>0</v>
          </cell>
          <cell r="AL84">
            <v>0</v>
          </cell>
          <cell r="AN84">
            <v>0</v>
          </cell>
          <cell r="AP84">
            <v>0</v>
          </cell>
          <cell r="AR84">
            <v>0</v>
          </cell>
          <cell r="AT84">
            <v>395.63099999999997</v>
          </cell>
          <cell r="AV84">
            <v>0</v>
          </cell>
          <cell r="AX84">
            <v>395.63099999999997</v>
          </cell>
          <cell r="AY84">
            <v>0</v>
          </cell>
          <cell r="BC84">
            <v>1974.1660000000002</v>
          </cell>
          <cell r="BE84">
            <v>0</v>
          </cell>
          <cell r="BG84">
            <v>-394.327</v>
          </cell>
          <cell r="BI84">
            <v>1579.8390000000002</v>
          </cell>
          <cell r="BX84">
            <v>0</v>
          </cell>
          <cell r="CD84">
            <v>0</v>
          </cell>
          <cell r="CT84">
            <v>1579.8390000000002</v>
          </cell>
          <cell r="CX84">
            <v>1579.8390000000002</v>
          </cell>
          <cell r="FC84">
            <v>1623.499</v>
          </cell>
          <cell r="FE84">
            <v>0</v>
          </cell>
          <cell r="FF84">
            <v>1623.499</v>
          </cell>
          <cell r="FI84">
            <v>0</v>
          </cell>
          <cell r="FN84">
            <v>0</v>
          </cell>
          <cell r="FQ84">
            <v>0</v>
          </cell>
          <cell r="FR84">
            <v>0</v>
          </cell>
          <cell r="FS84">
            <v>0</v>
          </cell>
          <cell r="FT84">
            <v>1623.499</v>
          </cell>
          <cell r="FV84">
            <v>1623.499</v>
          </cell>
          <cell r="FX84">
            <v>0</v>
          </cell>
          <cell r="FY84">
            <v>0</v>
          </cell>
          <cell r="FZ84">
            <v>0</v>
          </cell>
          <cell r="GA84">
            <v>0</v>
          </cell>
          <cell r="GB84">
            <v>0</v>
          </cell>
          <cell r="GC84">
            <v>1623.499</v>
          </cell>
          <cell r="GD84">
            <v>1645.2693113048706</v>
          </cell>
          <cell r="GE84">
            <v>1623.499</v>
          </cell>
          <cell r="GF84">
            <v>4.1035687294473897</v>
          </cell>
          <cell r="GG84">
            <v>0</v>
          </cell>
          <cell r="GH84">
            <v>0</v>
          </cell>
        </row>
        <row r="85">
          <cell r="A85" t="str">
            <v>ISRACABLE-shares</v>
          </cell>
          <cell r="B85">
            <v>0.41499999999999998</v>
          </cell>
          <cell r="AD85">
            <v>0</v>
          </cell>
          <cell r="AJ85">
            <v>0</v>
          </cell>
          <cell r="AP85">
            <v>0</v>
          </cell>
          <cell r="AT85">
            <v>0</v>
          </cell>
          <cell r="AX85">
            <v>0</v>
          </cell>
          <cell r="AY85">
            <v>0</v>
          </cell>
          <cell r="AZ85" t="str">
            <v>ISRACABLE-shares</v>
          </cell>
          <cell r="BA85">
            <v>0.41499999999999998</v>
          </cell>
          <cell r="BI85">
            <v>0</v>
          </cell>
          <cell r="BX85">
            <v>0</v>
          </cell>
          <cell r="CD85">
            <v>0</v>
          </cell>
          <cell r="CJ85">
            <v>0</v>
          </cell>
          <cell r="CP85">
            <v>0</v>
          </cell>
          <cell r="CT85">
            <v>0</v>
          </cell>
          <cell r="CX85">
            <v>0</v>
          </cell>
          <cell r="FN85">
            <v>0</v>
          </cell>
          <cell r="FO85">
            <v>0</v>
          </cell>
          <cell r="FR85">
            <v>0</v>
          </cell>
          <cell r="FS85">
            <v>0</v>
          </cell>
          <cell r="FV85">
            <v>0</v>
          </cell>
          <cell r="FW85" t="str">
            <v>ISRACABLE-shares</v>
          </cell>
          <cell r="FX85">
            <v>0</v>
          </cell>
          <cell r="FY85">
            <v>0</v>
          </cell>
          <cell r="GA85">
            <v>0</v>
          </cell>
          <cell r="GB85">
            <v>0</v>
          </cell>
          <cell r="GC85">
            <v>0</v>
          </cell>
          <cell r="GD85">
            <v>0</v>
          </cell>
          <cell r="GE85">
            <v>0</v>
          </cell>
          <cell r="GF85" t="e">
            <v>#DIV/0!</v>
          </cell>
          <cell r="GG85">
            <v>0</v>
          </cell>
          <cell r="GH85">
            <v>0</v>
          </cell>
        </row>
        <row r="86">
          <cell r="A86" t="str">
            <v xml:space="preserve"> long term loans</v>
          </cell>
          <cell r="AD86">
            <v>0</v>
          </cell>
          <cell r="AF86">
            <v>1.002</v>
          </cell>
          <cell r="AJ86">
            <v>1.002</v>
          </cell>
          <cell r="AN86">
            <v>-1.002</v>
          </cell>
          <cell r="AP86">
            <v>0</v>
          </cell>
          <cell r="AT86">
            <v>0</v>
          </cell>
          <cell r="AX86">
            <v>0</v>
          </cell>
          <cell r="AY86">
            <v>0</v>
          </cell>
          <cell r="AZ86" t="str">
            <v xml:space="preserve"> long term loans</v>
          </cell>
          <cell r="BI86">
            <v>0</v>
          </cell>
          <cell r="BX86">
            <v>0</v>
          </cell>
          <cell r="CD86">
            <v>0</v>
          </cell>
          <cell r="CF86">
            <v>4.1680000000000001</v>
          </cell>
          <cell r="CH86">
            <v>0</v>
          </cell>
          <cell r="CJ86">
            <v>4.1680000000000001</v>
          </cell>
          <cell r="CN86">
            <v>-1.002</v>
          </cell>
          <cell r="CP86">
            <v>3.1660000000000004</v>
          </cell>
          <cell r="CT86">
            <v>3.1660000000000004</v>
          </cell>
          <cell r="CX86">
            <v>3.1660000000000004</v>
          </cell>
          <cell r="FN86">
            <v>0</v>
          </cell>
          <cell r="FO86">
            <v>4.1680000000000001</v>
          </cell>
          <cell r="FQ86">
            <v>0</v>
          </cell>
          <cell r="FR86">
            <v>4.1680000000000001</v>
          </cell>
          <cell r="FS86">
            <v>0</v>
          </cell>
          <cell r="FT86">
            <v>4.1680000000000001</v>
          </cell>
          <cell r="FU86">
            <v>-4.1680000000000001</v>
          </cell>
          <cell r="FV86">
            <v>0</v>
          </cell>
          <cell r="FW86" t="str">
            <v xml:space="preserve"> long term loans</v>
          </cell>
          <cell r="FX86">
            <v>0</v>
          </cell>
          <cell r="FY86">
            <v>4.1680000000000001</v>
          </cell>
          <cell r="FZ86">
            <v>-4.1680000000000001</v>
          </cell>
          <cell r="GA86">
            <v>0</v>
          </cell>
          <cell r="GB86">
            <v>0</v>
          </cell>
          <cell r="GC86">
            <v>0</v>
          </cell>
          <cell r="GD86">
            <v>0</v>
          </cell>
          <cell r="GE86">
            <v>0</v>
          </cell>
          <cell r="GF86" t="e">
            <v>#DIV/0!</v>
          </cell>
          <cell r="GG86">
            <v>0</v>
          </cell>
          <cell r="GH86">
            <v>0</v>
          </cell>
        </row>
        <row r="87">
          <cell r="A87" t="str">
            <v xml:space="preserve"> accumulated profit</v>
          </cell>
          <cell r="AD87">
            <v>0</v>
          </cell>
          <cell r="AJ87">
            <v>0</v>
          </cell>
          <cell r="AN87">
            <v>0</v>
          </cell>
          <cell r="AP87">
            <v>0</v>
          </cell>
          <cell r="AT87">
            <v>0</v>
          </cell>
          <cell r="AX87">
            <v>0</v>
          </cell>
          <cell r="AY87">
            <v>0</v>
          </cell>
          <cell r="AZ87" t="str">
            <v xml:space="preserve"> accumulated profit</v>
          </cell>
          <cell r="BI87">
            <v>0</v>
          </cell>
          <cell r="BX87">
            <v>0</v>
          </cell>
          <cell r="CD87">
            <v>0</v>
          </cell>
          <cell r="CJ87">
            <v>0</v>
          </cell>
          <cell r="CN87">
            <v>0</v>
          </cell>
          <cell r="CP87">
            <v>0</v>
          </cell>
          <cell r="CT87">
            <v>0</v>
          </cell>
          <cell r="CX87">
            <v>0</v>
          </cell>
          <cell r="FN87">
            <v>0</v>
          </cell>
          <cell r="FO87">
            <v>0</v>
          </cell>
          <cell r="FQ87">
            <v>0</v>
          </cell>
          <cell r="FR87">
            <v>0</v>
          </cell>
          <cell r="FS87">
            <v>0</v>
          </cell>
          <cell r="FT87">
            <v>0</v>
          </cell>
          <cell r="FV87">
            <v>0</v>
          </cell>
          <cell r="FW87" t="str">
            <v xml:space="preserve"> accumulated profit</v>
          </cell>
          <cell r="FX87">
            <v>0</v>
          </cell>
          <cell r="FY87">
            <v>0</v>
          </cell>
          <cell r="GA87">
            <v>0</v>
          </cell>
          <cell r="GB87">
            <v>0</v>
          </cell>
          <cell r="GC87">
            <v>0</v>
          </cell>
          <cell r="GD87">
            <v>0</v>
          </cell>
          <cell r="GE87">
            <v>0</v>
          </cell>
          <cell r="GF87" t="e">
            <v>#DIV/0!</v>
          </cell>
          <cell r="GG87">
            <v>0</v>
          </cell>
          <cell r="GH87">
            <v>0</v>
          </cell>
        </row>
        <row r="88">
          <cell r="A88" t="str">
            <v xml:space="preserve"> profit-(equity method)</v>
          </cell>
          <cell r="AD88">
            <v>0</v>
          </cell>
          <cell r="AJ88">
            <v>0</v>
          </cell>
          <cell r="AN88">
            <v>0</v>
          </cell>
          <cell r="AP88">
            <v>0</v>
          </cell>
          <cell r="AT88">
            <v>0</v>
          </cell>
          <cell r="AX88">
            <v>0</v>
          </cell>
          <cell r="AY88">
            <v>0</v>
          </cell>
          <cell r="AZ88" t="str">
            <v xml:space="preserve"> profit-(equity method)</v>
          </cell>
          <cell r="BI88">
            <v>0</v>
          </cell>
          <cell r="BU88">
            <v>0</v>
          </cell>
          <cell r="BX88">
            <v>0</v>
          </cell>
          <cell r="CD88">
            <v>0</v>
          </cell>
          <cell r="CJ88">
            <v>0</v>
          </cell>
          <cell r="CN88">
            <v>0</v>
          </cell>
          <cell r="CP88">
            <v>0</v>
          </cell>
          <cell r="CT88">
            <v>0</v>
          </cell>
          <cell r="CX88">
            <v>0</v>
          </cell>
          <cell r="FN88">
            <v>0</v>
          </cell>
          <cell r="FO88">
            <v>0</v>
          </cell>
          <cell r="FQ88">
            <v>0</v>
          </cell>
          <cell r="FR88">
            <v>0</v>
          </cell>
          <cell r="FS88">
            <v>0</v>
          </cell>
          <cell r="FT88">
            <v>0</v>
          </cell>
          <cell r="FV88">
            <v>0</v>
          </cell>
          <cell r="FW88" t="str">
            <v xml:space="preserve"> profit-(equity method)</v>
          </cell>
          <cell r="FX88">
            <v>0</v>
          </cell>
          <cell r="FY88">
            <v>0</v>
          </cell>
          <cell r="GA88">
            <v>0</v>
          </cell>
          <cell r="GB88">
            <v>0</v>
          </cell>
          <cell r="GC88">
            <v>0</v>
          </cell>
          <cell r="GD88">
            <v>0</v>
          </cell>
          <cell r="GE88">
            <v>0</v>
          </cell>
          <cell r="GF88" t="e">
            <v>#DIV/0!</v>
          </cell>
          <cell r="GG88">
            <v>0</v>
          </cell>
          <cell r="GH88">
            <v>0</v>
          </cell>
        </row>
        <row r="89">
          <cell r="A89" t="str">
            <v xml:space="preserve"> goodwill</v>
          </cell>
          <cell r="AD89">
            <v>0</v>
          </cell>
          <cell r="AF89">
            <v>49.908999999999999</v>
          </cell>
          <cell r="AJ89">
            <v>49.908999999999999</v>
          </cell>
          <cell r="AP89">
            <v>49.908999999999999</v>
          </cell>
          <cell r="AT89">
            <v>49.908999999999999</v>
          </cell>
          <cell r="AV89">
            <v>-49.908999999999999</v>
          </cell>
          <cell r="AX89">
            <v>0</v>
          </cell>
          <cell r="AY89">
            <v>0</v>
          </cell>
          <cell r="AZ89" t="str">
            <v xml:space="preserve"> goodwill</v>
          </cell>
          <cell r="BX89">
            <v>0</v>
          </cell>
          <cell r="CD89">
            <v>0</v>
          </cell>
          <cell r="CF89">
            <v>114.83</v>
          </cell>
          <cell r="CJ89">
            <v>114.83</v>
          </cell>
          <cell r="CP89">
            <v>114.83</v>
          </cell>
          <cell r="CT89">
            <v>114.83</v>
          </cell>
          <cell r="CV89">
            <v>-114.83</v>
          </cell>
          <cell r="CX89">
            <v>0</v>
          </cell>
          <cell r="FN89">
            <v>0</v>
          </cell>
          <cell r="FO89">
            <v>216.82900000000001</v>
          </cell>
          <cell r="FR89">
            <v>216.82900000000001</v>
          </cell>
          <cell r="FS89">
            <v>0</v>
          </cell>
          <cell r="FT89">
            <v>216.82900000000001</v>
          </cell>
          <cell r="FU89">
            <v>-216.82900000000001</v>
          </cell>
          <cell r="FV89">
            <v>0</v>
          </cell>
          <cell r="FW89" t="str">
            <v xml:space="preserve"> goodwill</v>
          </cell>
          <cell r="FX89">
            <v>0</v>
          </cell>
          <cell r="FY89">
            <v>216.82900000000001</v>
          </cell>
          <cell r="FZ89">
            <v>-216.82900000000001</v>
          </cell>
          <cell r="GA89">
            <v>0</v>
          </cell>
          <cell r="GB89">
            <v>0</v>
          </cell>
          <cell r="GC89">
            <v>0</v>
          </cell>
          <cell r="GD89">
            <v>0</v>
          </cell>
          <cell r="GE89">
            <v>0</v>
          </cell>
          <cell r="GF89" t="e">
            <v>#DIV/0!</v>
          </cell>
          <cell r="GG89">
            <v>286.76159372958853</v>
          </cell>
          <cell r="GH89">
            <v>0</v>
          </cell>
          <cell r="GT89" t="str">
            <v xml:space="preserve">דוח דולר  </v>
          </cell>
        </row>
        <row r="90">
          <cell r="B90" t="str">
            <v xml:space="preserve">total </v>
          </cell>
          <cell r="C90">
            <v>0</v>
          </cell>
          <cell r="E90">
            <v>0</v>
          </cell>
          <cell r="G90">
            <v>0</v>
          </cell>
          <cell r="I90">
            <v>0</v>
          </cell>
          <cell r="M90">
            <v>0</v>
          </cell>
          <cell r="O90">
            <v>0</v>
          </cell>
          <cell r="Q90">
            <v>0</v>
          </cell>
          <cell r="S90">
            <v>0</v>
          </cell>
          <cell r="U90">
            <v>0</v>
          </cell>
          <cell r="Z90">
            <v>0</v>
          </cell>
          <cell r="AB90">
            <v>0</v>
          </cell>
          <cell r="AD90">
            <v>0</v>
          </cell>
          <cell r="AF90">
            <v>50.911000000000001</v>
          </cell>
          <cell r="AH90">
            <v>0</v>
          </cell>
          <cell r="AJ90">
            <v>50.911000000000001</v>
          </cell>
          <cell r="AN90">
            <v>-1.002</v>
          </cell>
          <cell r="AP90">
            <v>49.908999999999999</v>
          </cell>
          <cell r="AR90">
            <v>0</v>
          </cell>
          <cell r="AT90">
            <v>49.908999999999999</v>
          </cell>
          <cell r="AV90">
            <v>-49.908999999999999</v>
          </cell>
          <cell r="AX90">
            <v>0</v>
          </cell>
          <cell r="AY90">
            <v>0</v>
          </cell>
          <cell r="BA90" t="str">
            <v xml:space="preserve">total </v>
          </cell>
          <cell r="BC90">
            <v>0</v>
          </cell>
          <cell r="BE90">
            <v>0</v>
          </cell>
          <cell r="BG90">
            <v>0</v>
          </cell>
          <cell r="BI90">
            <v>0</v>
          </cell>
          <cell r="BO90">
            <v>0</v>
          </cell>
          <cell r="BQ90">
            <v>0</v>
          </cell>
          <cell r="BS90">
            <v>0</v>
          </cell>
          <cell r="BU90">
            <v>0</v>
          </cell>
          <cell r="BX90">
            <v>0</v>
          </cell>
          <cell r="BZ90">
            <v>0</v>
          </cell>
          <cell r="CB90">
            <v>0</v>
          </cell>
          <cell r="CD90">
            <v>0</v>
          </cell>
          <cell r="CF90">
            <v>118.998</v>
          </cell>
          <cell r="CH90">
            <v>0</v>
          </cell>
          <cell r="CJ90">
            <v>118.998</v>
          </cell>
          <cell r="CL90">
            <v>0</v>
          </cell>
          <cell r="CN90">
            <v>-1.002</v>
          </cell>
          <cell r="CP90">
            <v>117.996</v>
          </cell>
          <cell r="CR90">
            <v>0</v>
          </cell>
          <cell r="CT90">
            <v>117.996</v>
          </cell>
          <cell r="CV90">
            <v>-114.83</v>
          </cell>
          <cell r="CX90">
            <v>3.1660000000000004</v>
          </cell>
          <cell r="FC90">
            <v>0</v>
          </cell>
          <cell r="FE90">
            <v>0</v>
          </cell>
          <cell r="FI90">
            <v>0</v>
          </cell>
          <cell r="FM90">
            <v>0</v>
          </cell>
          <cell r="FN90">
            <v>0</v>
          </cell>
          <cell r="FO90">
            <v>220.99700000000001</v>
          </cell>
          <cell r="FQ90">
            <v>0</v>
          </cell>
          <cell r="FR90">
            <v>220.99700000000001</v>
          </cell>
          <cell r="FS90">
            <v>0</v>
          </cell>
          <cell r="FT90">
            <v>220.99700000000001</v>
          </cell>
          <cell r="FU90">
            <v>-220.99700000000001</v>
          </cell>
          <cell r="FV90">
            <v>0</v>
          </cell>
          <cell r="FX90">
            <v>0</v>
          </cell>
          <cell r="FY90">
            <v>220.99700000000001</v>
          </cell>
          <cell r="FZ90">
            <v>-220.99700000000001</v>
          </cell>
          <cell r="GA90">
            <v>0</v>
          </cell>
          <cell r="GB90">
            <v>0</v>
          </cell>
          <cell r="GC90">
            <v>0</v>
          </cell>
          <cell r="GD90">
            <v>0</v>
          </cell>
          <cell r="GE90">
            <v>0</v>
          </cell>
          <cell r="GF90" t="e">
            <v>#DIV/0!</v>
          </cell>
          <cell r="GG90">
            <v>286.76159372958853</v>
          </cell>
          <cell r="GH90">
            <v>0</v>
          </cell>
        </row>
        <row r="91">
          <cell r="A91" t="str">
            <v>TOTAL INVESTMENTS</v>
          </cell>
          <cell r="C91">
            <v>73599.842999999993</v>
          </cell>
          <cell r="E91">
            <v>0</v>
          </cell>
          <cell r="G91">
            <v>5511.5614496153848</v>
          </cell>
          <cell r="I91">
            <v>79111.40444961538</v>
          </cell>
          <cell r="K91">
            <v>0</v>
          </cell>
          <cell r="M91">
            <v>0</v>
          </cell>
          <cell r="O91">
            <v>0</v>
          </cell>
          <cell r="Q91">
            <v>90867.509815384619</v>
          </cell>
          <cell r="S91">
            <v>-186.898</v>
          </cell>
          <cell r="U91">
            <v>90680.611815384618</v>
          </cell>
          <cell r="W91">
            <v>-5165.25</v>
          </cell>
          <cell r="X91">
            <v>326</v>
          </cell>
          <cell r="Z91">
            <v>0</v>
          </cell>
          <cell r="AB91">
            <v>-2629.3998153846155</v>
          </cell>
          <cell r="AD91">
            <v>83211.962</v>
          </cell>
          <cell r="AF91">
            <v>8707.65</v>
          </cell>
          <cell r="AH91">
            <v>2329.5149999999999</v>
          </cell>
          <cell r="AJ91">
            <v>11037.164999999999</v>
          </cell>
          <cell r="AL91">
            <v>0</v>
          </cell>
          <cell r="AN91">
            <v>-10899.692999999999</v>
          </cell>
          <cell r="AP91">
            <v>137.47200000000001</v>
          </cell>
          <cell r="AR91">
            <v>0</v>
          </cell>
          <cell r="AT91">
            <v>162460.8384496154</v>
          </cell>
          <cell r="AV91">
            <v>-158847.57350961538</v>
          </cell>
          <cell r="AX91">
            <v>3613.26494</v>
          </cell>
          <cell r="AY91">
            <v>2.2737367544323206E-11</v>
          </cell>
          <cell r="AZ91" t="str">
            <v>TOTAL INVESTMENTS</v>
          </cell>
          <cell r="BC91">
            <v>198946.75874999998</v>
          </cell>
          <cell r="BE91">
            <v>0</v>
          </cell>
          <cell r="BG91">
            <v>23302.147870000001</v>
          </cell>
          <cell r="BI91">
            <v>222248.90662000002</v>
          </cell>
          <cell r="BM91">
            <v>0</v>
          </cell>
          <cell r="BO91">
            <v>0</v>
          </cell>
          <cell r="BQ91">
            <v>343957.83600000001</v>
          </cell>
          <cell r="BS91">
            <v>0</v>
          </cell>
          <cell r="BU91">
            <v>343957.83600000001</v>
          </cell>
          <cell r="BW91">
            <v>14883.217000000001</v>
          </cell>
          <cell r="BX91">
            <v>621</v>
          </cell>
          <cell r="BZ91">
            <v>0</v>
          </cell>
          <cell r="CB91">
            <v>-4893.777</v>
          </cell>
          <cell r="CD91">
            <v>354568.27600000001</v>
          </cell>
          <cell r="CF91">
            <v>5238.1120000000001</v>
          </cell>
          <cell r="CH91">
            <v>1948.2059999999983</v>
          </cell>
          <cell r="CJ91">
            <v>7186.3179999999984</v>
          </cell>
          <cell r="CL91">
            <v>0</v>
          </cell>
          <cell r="CN91">
            <v>-6864.9979999999996</v>
          </cell>
          <cell r="CP91">
            <v>321.32</v>
          </cell>
          <cell r="CR91">
            <v>0</v>
          </cell>
          <cell r="CT91">
            <v>577138.50262000004</v>
          </cell>
          <cell r="CV91">
            <v>-574280.57499999995</v>
          </cell>
          <cell r="CX91">
            <v>2857.9276199999986</v>
          </cell>
          <cell r="FC91">
            <v>309875.64030437625</v>
          </cell>
          <cell r="FE91">
            <v>1.0456000000045265</v>
          </cell>
          <cell r="FF91">
            <v>309876.68590437621</v>
          </cell>
          <cell r="FI91">
            <v>362241.14500000002</v>
          </cell>
          <cell r="FJ91">
            <v>-23378.782999999999</v>
          </cell>
          <cell r="FK91">
            <v>1092</v>
          </cell>
          <cell r="FM91">
            <v>-5338.1769999999997</v>
          </cell>
          <cell r="FN91">
            <v>334616.185</v>
          </cell>
          <cell r="FO91">
            <v>46600.830219000003</v>
          </cell>
          <cell r="FQ91">
            <v>-45995.904219000004</v>
          </cell>
          <cell r="FR91">
            <v>604.92599999999948</v>
          </cell>
          <cell r="FS91">
            <v>0</v>
          </cell>
          <cell r="FT91">
            <v>645097.79690437624</v>
          </cell>
          <cell r="FU91">
            <v>-635356.37258693669</v>
          </cell>
          <cell r="FV91">
            <v>9740.8059307642052</v>
          </cell>
          <cell r="FW91" t="str">
            <v>TOTAL INVESTMENTS</v>
          </cell>
          <cell r="FX91">
            <v>334616.185</v>
          </cell>
          <cell r="FY91">
            <v>604.92599999999993</v>
          </cell>
          <cell r="FZ91">
            <v>-328981.87699999998</v>
          </cell>
          <cell r="GA91">
            <v>6239.2340000000004</v>
          </cell>
          <cell r="GB91">
            <v>6322.8990139506914</v>
          </cell>
          <cell r="GC91">
            <v>9740.8059307642052</v>
          </cell>
          <cell r="GD91">
            <v>9871.4252766788377</v>
          </cell>
          <cell r="GE91">
            <v>3501.5719307642048</v>
          </cell>
          <cell r="GF91">
            <v>2.6958460263819473</v>
          </cell>
          <cell r="GG91">
            <v>6109.1994486187441</v>
          </cell>
          <cell r="GH91">
            <v>0.61838667534721026</v>
          </cell>
        </row>
        <row r="92">
          <cell r="FX92">
            <v>0</v>
          </cell>
          <cell r="FY92">
            <v>0</v>
          </cell>
          <cell r="GA92">
            <v>0</v>
          </cell>
          <cell r="GB92">
            <v>0</v>
          </cell>
          <cell r="GC92">
            <v>0</v>
          </cell>
          <cell r="GD92">
            <v>0</v>
          </cell>
          <cell r="GE92">
            <v>0</v>
          </cell>
        </row>
        <row r="93">
          <cell r="A93" t="str">
            <v>OTHER INVESTMENTS</v>
          </cell>
          <cell r="AT93">
            <v>0</v>
          </cell>
          <cell r="AY93">
            <v>0</v>
          </cell>
          <cell r="AZ93" t="str">
            <v>OTHER INVESTMENTS</v>
          </cell>
          <cell r="BX93">
            <v>0</v>
          </cell>
          <cell r="CD93">
            <v>0</v>
          </cell>
          <cell r="CT93">
            <v>0</v>
          </cell>
          <cell r="FS93">
            <v>0</v>
          </cell>
          <cell r="FW93" t="str">
            <v>OTHER INVESTMENTS</v>
          </cell>
          <cell r="FX93">
            <v>0</v>
          </cell>
          <cell r="FY93">
            <v>0</v>
          </cell>
          <cell r="GA93">
            <v>0</v>
          </cell>
          <cell r="GB93">
            <v>0</v>
          </cell>
          <cell r="GC93">
            <v>0</v>
          </cell>
          <cell r="GD93">
            <v>0</v>
          </cell>
          <cell r="GE93">
            <v>0</v>
          </cell>
          <cell r="GF93" t="e">
            <v>#DIV/0!</v>
          </cell>
          <cell r="GH93">
            <v>0</v>
          </cell>
        </row>
        <row r="94">
          <cell r="A94" t="str">
            <v>Preferred shares 3% AGI.Ltd</v>
          </cell>
          <cell r="C94">
            <v>12785.105</v>
          </cell>
          <cell r="I94">
            <v>12785.105</v>
          </cell>
          <cell r="U94">
            <v>0</v>
          </cell>
          <cell r="AD94">
            <v>0</v>
          </cell>
          <cell r="AJ94">
            <v>0</v>
          </cell>
          <cell r="AP94">
            <v>0</v>
          </cell>
          <cell r="AT94">
            <v>12785.105</v>
          </cell>
          <cell r="AX94">
            <v>12785.105</v>
          </cell>
          <cell r="AY94">
            <v>0</v>
          </cell>
          <cell r="AZ94" t="str">
            <v>Preferred shares 3% AGI.Ltd</v>
          </cell>
          <cell r="BC94">
            <v>45631.175999999999</v>
          </cell>
          <cell r="BI94">
            <v>45631.175999999999</v>
          </cell>
          <cell r="BX94">
            <v>0</v>
          </cell>
          <cell r="CD94">
            <v>0</v>
          </cell>
          <cell r="CJ94">
            <v>0</v>
          </cell>
          <cell r="CP94">
            <v>0</v>
          </cell>
          <cell r="CT94">
            <v>45631.175999999999</v>
          </cell>
          <cell r="CX94">
            <v>45631.175999999999</v>
          </cell>
          <cell r="FC94">
            <v>49766.67</v>
          </cell>
          <cell r="FF94">
            <v>49766.67</v>
          </cell>
          <cell r="FN94">
            <v>0</v>
          </cell>
          <cell r="FO94">
            <v>0</v>
          </cell>
          <cell r="FR94">
            <v>0</v>
          </cell>
          <cell r="FS94">
            <v>0</v>
          </cell>
          <cell r="FT94">
            <v>49766.67</v>
          </cell>
          <cell r="FV94">
            <v>49766.67</v>
          </cell>
          <cell r="FW94" t="str">
            <v>Preferred shares 3% AGI.Ltd</v>
          </cell>
          <cell r="FX94">
            <v>0</v>
          </cell>
          <cell r="FY94">
            <v>0</v>
          </cell>
          <cell r="GA94">
            <v>0</v>
          </cell>
          <cell r="GB94">
            <v>0</v>
          </cell>
          <cell r="GC94">
            <v>49766.67</v>
          </cell>
          <cell r="GD94">
            <v>50434.016206253749</v>
          </cell>
          <cell r="GE94">
            <v>49766.67</v>
          </cell>
          <cell r="GF94">
            <v>3.8925507455746353</v>
          </cell>
          <cell r="GG94">
            <v>35131.978597648595</v>
          </cell>
          <cell r="GH94">
            <v>0</v>
          </cell>
        </row>
        <row r="95">
          <cell r="A95" t="str">
            <v>Capital Notes AIG Golden I.Ltd</v>
          </cell>
          <cell r="C95">
            <v>1737.877</v>
          </cell>
          <cell r="I95">
            <v>1737.877</v>
          </cell>
          <cell r="U95">
            <v>0</v>
          </cell>
          <cell r="AD95">
            <v>0</v>
          </cell>
          <cell r="AJ95">
            <v>0</v>
          </cell>
          <cell r="AP95">
            <v>0</v>
          </cell>
          <cell r="AT95">
            <v>1737.877</v>
          </cell>
          <cell r="AX95">
            <v>1737.877</v>
          </cell>
          <cell r="AY95">
            <v>0</v>
          </cell>
          <cell r="AZ95" t="str">
            <v>Capital Notes AIG Golden I.Ltd</v>
          </cell>
          <cell r="BC95">
            <v>7229.5690000000004</v>
          </cell>
          <cell r="BG95">
            <v>0</v>
          </cell>
          <cell r="BI95">
            <v>7229.5690000000004</v>
          </cell>
          <cell r="BX95">
            <v>0</v>
          </cell>
          <cell r="CD95">
            <v>0</v>
          </cell>
          <cell r="CJ95">
            <v>0</v>
          </cell>
          <cell r="CP95">
            <v>0</v>
          </cell>
          <cell r="CT95">
            <v>7229.5690000000004</v>
          </cell>
          <cell r="CX95">
            <v>7229.5690000000004</v>
          </cell>
          <cell r="FC95">
            <v>7229.5690000000004</v>
          </cell>
          <cell r="FF95">
            <v>7229.5690000000004</v>
          </cell>
          <cell r="FN95">
            <v>0</v>
          </cell>
          <cell r="FO95">
            <v>0</v>
          </cell>
          <cell r="FR95">
            <v>0</v>
          </cell>
          <cell r="FS95">
            <v>0</v>
          </cell>
          <cell r="FT95">
            <v>7229.5690000000004</v>
          </cell>
          <cell r="FV95">
            <v>7229.5690000000004</v>
          </cell>
          <cell r="FW95" t="str">
            <v>Capital Notes AIG Golden I.Ltd</v>
          </cell>
          <cell r="FX95">
            <v>0</v>
          </cell>
          <cell r="FY95">
            <v>0</v>
          </cell>
          <cell r="GA95">
            <v>0</v>
          </cell>
          <cell r="GB95">
            <v>0</v>
          </cell>
          <cell r="GC95">
            <v>7229.5690000000004</v>
          </cell>
          <cell r="GD95">
            <v>7326.5139120264585</v>
          </cell>
          <cell r="GE95">
            <v>7229.5690000000004</v>
          </cell>
          <cell r="GF95">
            <v>4.1600003912820069</v>
          </cell>
          <cell r="GG95">
            <v>7257.5438125408245</v>
          </cell>
          <cell r="GH95">
            <v>0</v>
          </cell>
        </row>
        <row r="96">
          <cell r="A96" t="str">
            <v>Provision for the year-AGI</v>
          </cell>
          <cell r="I96">
            <v>0</v>
          </cell>
          <cell r="U96">
            <v>0</v>
          </cell>
          <cell r="AD96">
            <v>0</v>
          </cell>
          <cell r="AJ96">
            <v>0</v>
          </cell>
          <cell r="AP96">
            <v>0</v>
          </cell>
          <cell r="AT96">
            <v>0</v>
          </cell>
          <cell r="AX96">
            <v>0</v>
          </cell>
          <cell r="AY96">
            <v>0</v>
          </cell>
          <cell r="AZ96" t="str">
            <v>Provision for the year</v>
          </cell>
          <cell r="BG96">
            <v>0</v>
          </cell>
          <cell r="BI96">
            <v>0</v>
          </cell>
          <cell r="BX96">
            <v>0</v>
          </cell>
          <cell r="CD96">
            <v>0</v>
          </cell>
          <cell r="CJ96">
            <v>0</v>
          </cell>
          <cell r="CP96">
            <v>0</v>
          </cell>
          <cell r="CT96">
            <v>0</v>
          </cell>
          <cell r="CX96">
            <v>0</v>
          </cell>
          <cell r="FN96">
            <v>0</v>
          </cell>
          <cell r="FO96">
            <v>0</v>
          </cell>
          <cell r="FR96">
            <v>0</v>
          </cell>
          <cell r="FS96">
            <v>0</v>
          </cell>
          <cell r="FT96">
            <v>0</v>
          </cell>
          <cell r="FV96">
            <v>0</v>
          </cell>
          <cell r="FW96" t="str">
            <v>Provision for the year-AGI</v>
          </cell>
          <cell r="FX96">
            <v>0</v>
          </cell>
          <cell r="FY96">
            <v>0</v>
          </cell>
          <cell r="GA96">
            <v>0</v>
          </cell>
          <cell r="GB96">
            <v>0</v>
          </cell>
          <cell r="GC96">
            <v>0</v>
          </cell>
          <cell r="GD96">
            <v>0</v>
          </cell>
          <cell r="GE96">
            <v>0</v>
          </cell>
          <cell r="GF96" t="e">
            <v>#DIV/0!</v>
          </cell>
          <cell r="GG96">
            <v>0</v>
          </cell>
          <cell r="GH96">
            <v>0</v>
          </cell>
        </row>
        <row r="97">
          <cell r="A97" t="str">
            <v>Accumulated Provision</v>
          </cell>
          <cell r="I97">
            <v>0</v>
          </cell>
          <cell r="U97">
            <v>0</v>
          </cell>
          <cell r="AD97">
            <v>0</v>
          </cell>
          <cell r="AJ97">
            <v>0</v>
          </cell>
          <cell r="AP97">
            <v>0</v>
          </cell>
          <cell r="AT97">
            <v>0</v>
          </cell>
          <cell r="AX97">
            <v>0</v>
          </cell>
          <cell r="AY97">
            <v>0</v>
          </cell>
          <cell r="AZ97" t="str">
            <v>Accumulated Provision</v>
          </cell>
          <cell r="BI97">
            <v>0</v>
          </cell>
          <cell r="BX97">
            <v>0</v>
          </cell>
          <cell r="CD97">
            <v>0</v>
          </cell>
          <cell r="CJ97">
            <v>0</v>
          </cell>
          <cell r="CP97">
            <v>0</v>
          </cell>
          <cell r="CT97">
            <v>0</v>
          </cell>
          <cell r="CX97">
            <v>0</v>
          </cell>
          <cell r="FN97">
            <v>0</v>
          </cell>
          <cell r="FO97">
            <v>0</v>
          </cell>
          <cell r="FR97">
            <v>0</v>
          </cell>
          <cell r="FS97">
            <v>0</v>
          </cell>
          <cell r="FT97">
            <v>0</v>
          </cell>
          <cell r="FV97">
            <v>0</v>
          </cell>
          <cell r="FW97" t="str">
            <v>Accumulated Provision</v>
          </cell>
          <cell r="FX97">
            <v>0</v>
          </cell>
          <cell r="FY97">
            <v>0</v>
          </cell>
          <cell r="GA97">
            <v>0</v>
          </cell>
          <cell r="GB97">
            <v>0</v>
          </cell>
          <cell r="GC97">
            <v>0</v>
          </cell>
          <cell r="GD97">
            <v>0</v>
          </cell>
          <cell r="GE97">
            <v>0</v>
          </cell>
          <cell r="GF97" t="e">
            <v>#DIV/0!</v>
          </cell>
          <cell r="GG97">
            <v>0</v>
          </cell>
          <cell r="GH97">
            <v>0</v>
          </cell>
        </row>
        <row r="98">
          <cell r="C98">
            <v>14522.982</v>
          </cell>
          <cell r="E98">
            <v>0</v>
          </cell>
          <cell r="G98">
            <v>0</v>
          </cell>
          <cell r="I98">
            <v>14522.982</v>
          </cell>
          <cell r="M98">
            <v>0</v>
          </cell>
          <cell r="O98">
            <v>0</v>
          </cell>
          <cell r="Q98">
            <v>0</v>
          </cell>
          <cell r="S98">
            <v>0</v>
          </cell>
          <cell r="U98">
            <v>0</v>
          </cell>
          <cell r="Z98">
            <v>0</v>
          </cell>
          <cell r="AB98">
            <v>0</v>
          </cell>
          <cell r="AD98">
            <v>0</v>
          </cell>
          <cell r="AF98">
            <v>0</v>
          </cell>
          <cell r="AH98">
            <v>0</v>
          </cell>
          <cell r="AJ98">
            <v>0</v>
          </cell>
          <cell r="AL98">
            <v>0</v>
          </cell>
          <cell r="AN98">
            <v>0</v>
          </cell>
          <cell r="AP98">
            <v>0</v>
          </cell>
          <cell r="AR98">
            <v>0</v>
          </cell>
          <cell r="AT98">
            <v>14522.982</v>
          </cell>
          <cell r="AV98">
            <v>0</v>
          </cell>
          <cell r="AX98">
            <v>14522.982</v>
          </cell>
          <cell r="AY98">
            <v>0</v>
          </cell>
          <cell r="BA98" t="str">
            <v xml:space="preserve">total </v>
          </cell>
          <cell r="BC98">
            <v>52860.745000000003</v>
          </cell>
          <cell r="BE98">
            <v>0</v>
          </cell>
          <cell r="BG98">
            <v>0</v>
          </cell>
          <cell r="BI98">
            <v>52860.745000000003</v>
          </cell>
          <cell r="BM98">
            <v>0</v>
          </cell>
          <cell r="BO98">
            <v>0</v>
          </cell>
          <cell r="BQ98">
            <v>0</v>
          </cell>
          <cell r="BS98">
            <v>0</v>
          </cell>
          <cell r="BU98">
            <v>0</v>
          </cell>
          <cell r="BW98">
            <v>0</v>
          </cell>
          <cell r="BX98">
            <v>0</v>
          </cell>
          <cell r="BZ98">
            <v>0</v>
          </cell>
          <cell r="CB98">
            <v>0</v>
          </cell>
          <cell r="CD98">
            <v>0</v>
          </cell>
          <cell r="CF98">
            <v>0</v>
          </cell>
          <cell r="CH98">
            <v>0</v>
          </cell>
          <cell r="CJ98">
            <v>0</v>
          </cell>
          <cell r="CL98">
            <v>0</v>
          </cell>
          <cell r="CN98">
            <v>0</v>
          </cell>
          <cell r="CP98">
            <v>0</v>
          </cell>
          <cell r="CR98">
            <v>0</v>
          </cell>
          <cell r="CT98">
            <v>52860.745000000003</v>
          </cell>
          <cell r="CV98">
            <v>0</v>
          </cell>
          <cell r="CX98">
            <v>52860.745000000003</v>
          </cell>
          <cell r="FC98">
            <v>56996.239000000001</v>
          </cell>
          <cell r="FE98">
            <v>0</v>
          </cell>
          <cell r="FF98">
            <v>56996.239000000001</v>
          </cell>
          <cell r="FI98">
            <v>0</v>
          </cell>
          <cell r="FJ98">
            <v>0</v>
          </cell>
          <cell r="FK98">
            <v>0</v>
          </cell>
          <cell r="FM98">
            <v>0</v>
          </cell>
          <cell r="FN98">
            <v>0</v>
          </cell>
          <cell r="FO98">
            <v>0</v>
          </cell>
          <cell r="FQ98">
            <v>0</v>
          </cell>
          <cell r="FR98">
            <v>0</v>
          </cell>
          <cell r="FS98">
            <v>0</v>
          </cell>
          <cell r="FT98">
            <v>56996.239000000001</v>
          </cell>
          <cell r="FU98">
            <v>0</v>
          </cell>
          <cell r="FV98">
            <v>56996.239000000001</v>
          </cell>
          <cell r="FX98">
            <v>0</v>
          </cell>
          <cell r="FY98">
            <v>0</v>
          </cell>
          <cell r="FZ98">
            <v>0</v>
          </cell>
          <cell r="GA98">
            <v>0</v>
          </cell>
          <cell r="GB98">
            <v>0</v>
          </cell>
          <cell r="GC98">
            <v>56996.239000000001</v>
          </cell>
          <cell r="GD98">
            <v>57760.530118280207</v>
          </cell>
          <cell r="GE98">
            <v>56996.239000000001</v>
          </cell>
          <cell r="GF98">
            <v>3.9245548193890207</v>
          </cell>
          <cell r="GG98">
            <v>42389.522410189427</v>
          </cell>
          <cell r="GH98">
            <v>0</v>
          </cell>
        </row>
        <row r="99">
          <cell r="A99" t="str">
            <v>AU. GOL.MED 1</v>
          </cell>
          <cell r="B99">
            <v>0.1</v>
          </cell>
          <cell r="C99">
            <v>2.3079999999999998</v>
          </cell>
          <cell r="I99">
            <v>2.3079999999999998</v>
          </cell>
          <cell r="U99">
            <v>0</v>
          </cell>
          <cell r="AD99">
            <v>0</v>
          </cell>
          <cell r="AJ99">
            <v>0</v>
          </cell>
          <cell r="AP99">
            <v>0</v>
          </cell>
          <cell r="AT99">
            <v>2.3079999999999998</v>
          </cell>
          <cell r="AX99">
            <v>2.3079999999999998</v>
          </cell>
          <cell r="AY99">
            <v>0</v>
          </cell>
          <cell r="AZ99" t="str">
            <v>AUREC GOLDEN MED 1</v>
          </cell>
          <cell r="BC99">
            <v>8.25</v>
          </cell>
          <cell r="BI99">
            <v>8.25</v>
          </cell>
          <cell r="BX99">
            <v>0</v>
          </cell>
          <cell r="CD99">
            <v>0</v>
          </cell>
          <cell r="CJ99">
            <v>0</v>
          </cell>
          <cell r="CP99">
            <v>0</v>
          </cell>
          <cell r="CT99">
            <v>8.25</v>
          </cell>
          <cell r="CX99">
            <v>8.25</v>
          </cell>
          <cell r="FC99">
            <v>8.9239999999999995</v>
          </cell>
          <cell r="FF99">
            <v>8.9239999999999995</v>
          </cell>
          <cell r="FO99">
            <v>0</v>
          </cell>
          <cell r="FR99">
            <v>0</v>
          </cell>
          <cell r="FS99">
            <v>0</v>
          </cell>
          <cell r="FT99">
            <v>8.9239999999999995</v>
          </cell>
          <cell r="FV99">
            <v>8.9239999999999995</v>
          </cell>
          <cell r="FW99" t="str">
            <v>AU. GOL.MED 1</v>
          </cell>
          <cell r="FX99">
            <v>0</v>
          </cell>
          <cell r="FY99">
            <v>0</v>
          </cell>
          <cell r="GA99">
            <v>0</v>
          </cell>
          <cell r="GB99">
            <v>0</v>
          </cell>
          <cell r="GC99">
            <v>8.9239999999999995</v>
          </cell>
          <cell r="GD99">
            <v>9.0436663860493081</v>
          </cell>
          <cell r="GE99">
            <v>8.9239999999999995</v>
          </cell>
          <cell r="GF99">
            <v>3.8665511265164647</v>
          </cell>
          <cell r="GG99">
            <v>5.5527472240365778</v>
          </cell>
          <cell r="GH99">
            <v>0</v>
          </cell>
        </row>
        <row r="100">
          <cell r="A100" t="str">
            <v xml:space="preserve"> Long term loans-Med1</v>
          </cell>
          <cell r="C100">
            <v>892.274</v>
          </cell>
          <cell r="I100">
            <v>892.274</v>
          </cell>
          <cell r="U100">
            <v>0</v>
          </cell>
          <cell r="AD100">
            <v>0</v>
          </cell>
          <cell r="AJ100">
            <v>0</v>
          </cell>
          <cell r="AP100">
            <v>0</v>
          </cell>
          <cell r="AT100">
            <v>892.274</v>
          </cell>
          <cell r="AX100">
            <v>892.274</v>
          </cell>
          <cell r="AY100">
            <v>0</v>
          </cell>
          <cell r="AZ100" t="str">
            <v xml:space="preserve"> long term loans+ idan</v>
          </cell>
          <cell r="BC100">
            <v>3711.8609999999999</v>
          </cell>
          <cell r="BI100">
            <v>3711.8609999999999</v>
          </cell>
          <cell r="BX100">
            <v>0</v>
          </cell>
          <cell r="CD100">
            <v>0</v>
          </cell>
          <cell r="CJ100">
            <v>0</v>
          </cell>
          <cell r="CP100">
            <v>0</v>
          </cell>
          <cell r="CT100">
            <v>3711.8609999999999</v>
          </cell>
          <cell r="CX100">
            <v>3711.8609999999999</v>
          </cell>
          <cell r="FC100">
            <v>3711.8609999999999</v>
          </cell>
          <cell r="FF100">
            <v>3711.8609999999999</v>
          </cell>
          <cell r="FN100">
            <v>0</v>
          </cell>
          <cell r="FO100">
            <v>0</v>
          </cell>
          <cell r="FR100">
            <v>0</v>
          </cell>
          <cell r="FS100">
            <v>0</v>
          </cell>
          <cell r="FT100">
            <v>3711.8609999999999</v>
          </cell>
          <cell r="FV100">
            <v>3711.8609999999999</v>
          </cell>
          <cell r="FW100" t="str">
            <v xml:space="preserve"> Long term loans-Med1</v>
          </cell>
          <cell r="FX100">
            <v>0</v>
          </cell>
          <cell r="FY100">
            <v>0</v>
          </cell>
          <cell r="GA100">
            <v>0</v>
          </cell>
          <cell r="GB100">
            <v>0</v>
          </cell>
          <cell r="GC100">
            <v>3711.8609999999999</v>
          </cell>
          <cell r="GD100">
            <v>3761.6352034275401</v>
          </cell>
          <cell r="GE100">
            <v>3711.8609999999999</v>
          </cell>
          <cell r="GF100">
            <v>4.1600013000490881</v>
          </cell>
          <cell r="GG100">
            <v>1186.9985649902026</v>
          </cell>
          <cell r="GH100">
            <v>0</v>
          </cell>
        </row>
        <row r="101">
          <cell r="A101" t="str">
            <v>Provision for the year-Med1</v>
          </cell>
          <cell r="I101">
            <v>0</v>
          </cell>
          <cell r="U101">
            <v>0</v>
          </cell>
          <cell r="AD101">
            <v>0</v>
          </cell>
          <cell r="AJ101">
            <v>0</v>
          </cell>
          <cell r="AP101">
            <v>0</v>
          </cell>
          <cell r="AT101">
            <v>0</v>
          </cell>
          <cell r="AX101">
            <v>0</v>
          </cell>
          <cell r="AY101">
            <v>0</v>
          </cell>
          <cell r="BI101">
            <v>0</v>
          </cell>
          <cell r="BX101">
            <v>0</v>
          </cell>
          <cell r="CD101">
            <v>0</v>
          </cell>
          <cell r="CJ101">
            <v>0</v>
          </cell>
          <cell r="CP101">
            <v>0</v>
          </cell>
          <cell r="CT101">
            <v>0</v>
          </cell>
          <cell r="CX101">
            <v>0</v>
          </cell>
          <cell r="FN101">
            <v>0</v>
          </cell>
          <cell r="FO101">
            <v>0</v>
          </cell>
          <cell r="FR101">
            <v>0</v>
          </cell>
          <cell r="FS101">
            <v>0</v>
          </cell>
          <cell r="FT101">
            <v>0</v>
          </cell>
          <cell r="FV101">
            <v>0</v>
          </cell>
          <cell r="FW101" t="str">
            <v>Provision for the year-Med1</v>
          </cell>
          <cell r="FX101">
            <v>0</v>
          </cell>
          <cell r="FY101">
            <v>0</v>
          </cell>
          <cell r="GA101">
            <v>0</v>
          </cell>
          <cell r="GB101">
            <v>0</v>
          </cell>
          <cell r="GC101">
            <v>0</v>
          </cell>
          <cell r="GD101">
            <v>0</v>
          </cell>
          <cell r="GE101">
            <v>0</v>
          </cell>
          <cell r="GF101" t="e">
            <v>#DIV/0!</v>
          </cell>
          <cell r="GG101">
            <v>0</v>
          </cell>
          <cell r="GH101">
            <v>0</v>
          </cell>
        </row>
        <row r="102">
          <cell r="A102" t="str">
            <v>Accumulated Provision</v>
          </cell>
          <cell r="I102">
            <v>0</v>
          </cell>
          <cell r="U102">
            <v>0</v>
          </cell>
          <cell r="AD102">
            <v>0</v>
          </cell>
          <cell r="AJ102">
            <v>0</v>
          </cell>
          <cell r="AP102">
            <v>0</v>
          </cell>
          <cell r="AT102">
            <v>0</v>
          </cell>
          <cell r="AX102">
            <v>0</v>
          </cell>
          <cell r="AY102">
            <v>0</v>
          </cell>
          <cell r="AZ102" t="str">
            <v>Accumulated Provision</v>
          </cell>
          <cell r="BI102">
            <v>0</v>
          </cell>
          <cell r="BX102">
            <v>0</v>
          </cell>
          <cell r="CD102">
            <v>0</v>
          </cell>
          <cell r="CJ102">
            <v>0</v>
          </cell>
          <cell r="CP102">
            <v>0</v>
          </cell>
          <cell r="CT102">
            <v>0</v>
          </cell>
          <cell r="CX102">
            <v>0</v>
          </cell>
          <cell r="FH102">
            <v>0</v>
          </cell>
          <cell r="FN102">
            <v>0</v>
          </cell>
          <cell r="FO102">
            <v>0</v>
          </cell>
          <cell r="FR102">
            <v>0</v>
          </cell>
          <cell r="FS102">
            <v>0</v>
          </cell>
          <cell r="FT102">
            <v>0</v>
          </cell>
          <cell r="FU102" t="str">
            <v xml:space="preserve">    </v>
          </cell>
          <cell r="FV102">
            <v>0</v>
          </cell>
          <cell r="FW102" t="str">
            <v>Accumulated Provision</v>
          </cell>
          <cell r="FX102">
            <v>0</v>
          </cell>
          <cell r="FY102">
            <v>0</v>
          </cell>
          <cell r="GA102">
            <v>0</v>
          </cell>
          <cell r="GB102">
            <v>0</v>
          </cell>
          <cell r="GC102">
            <v>0</v>
          </cell>
          <cell r="GD102">
            <v>0</v>
          </cell>
          <cell r="GE102">
            <v>0</v>
          </cell>
          <cell r="GF102" t="e">
            <v>#DIV/0!</v>
          </cell>
          <cell r="GG102">
            <v>0</v>
          </cell>
          <cell r="GH102">
            <v>0</v>
          </cell>
        </row>
        <row r="103">
          <cell r="I103">
            <v>0</v>
          </cell>
          <cell r="M103">
            <v>0</v>
          </cell>
          <cell r="AT103">
            <v>0</v>
          </cell>
          <cell r="AX103">
            <v>0</v>
          </cell>
          <cell r="BI103">
            <v>0</v>
          </cell>
          <cell r="BX103">
            <v>0</v>
          </cell>
          <cell r="CT103">
            <v>0</v>
          </cell>
          <cell r="CX103">
            <v>0</v>
          </cell>
          <cell r="FN103">
            <v>0</v>
          </cell>
          <cell r="FO103">
            <v>0</v>
          </cell>
          <cell r="FQ103">
            <v>0</v>
          </cell>
          <cell r="FR103">
            <v>0</v>
          </cell>
          <cell r="FS103">
            <v>0</v>
          </cell>
          <cell r="FV103">
            <v>0</v>
          </cell>
          <cell r="FX103">
            <v>0</v>
          </cell>
          <cell r="FY103">
            <v>0</v>
          </cell>
          <cell r="GA103">
            <v>0</v>
          </cell>
          <cell r="GB103">
            <v>0</v>
          </cell>
          <cell r="GC103">
            <v>0</v>
          </cell>
          <cell r="GD103">
            <v>0</v>
          </cell>
          <cell r="GE103">
            <v>0</v>
          </cell>
          <cell r="GF103" t="e">
            <v>#DIV/0!</v>
          </cell>
        </row>
        <row r="104">
          <cell r="A104" t="str">
            <v>Investment in NETVISION-in trust</v>
          </cell>
          <cell r="C104">
            <v>10200</v>
          </cell>
          <cell r="I104">
            <v>10200</v>
          </cell>
          <cell r="M104">
            <v>0</v>
          </cell>
          <cell r="AT104">
            <v>10200</v>
          </cell>
          <cell r="AX104">
            <v>10200</v>
          </cell>
          <cell r="AZ104" t="str">
            <v>Investment in NETVISION-in trust</v>
          </cell>
          <cell r="BC104">
            <v>42432</v>
          </cell>
          <cell r="BI104">
            <v>42432</v>
          </cell>
          <cell r="BX104">
            <v>0</v>
          </cell>
          <cell r="CT104">
            <v>42432</v>
          </cell>
          <cell r="CX104">
            <v>42432</v>
          </cell>
          <cell r="FC104">
            <v>42432</v>
          </cell>
          <cell r="FF104">
            <v>42432</v>
          </cell>
          <cell r="FN104">
            <v>0</v>
          </cell>
          <cell r="FT104">
            <v>42432</v>
          </cell>
          <cell r="FV104">
            <v>42432</v>
          </cell>
          <cell r="FW104" t="str">
            <v>Investment in NETVISION-in trust</v>
          </cell>
          <cell r="FX104">
            <v>0</v>
          </cell>
          <cell r="FY104">
            <v>0</v>
          </cell>
          <cell r="GA104">
            <v>0</v>
          </cell>
          <cell r="GB104">
            <v>0</v>
          </cell>
          <cell r="GC104">
            <v>42432</v>
          </cell>
          <cell r="GD104">
            <v>43000.991942272994</v>
          </cell>
          <cell r="GE104">
            <v>42432</v>
          </cell>
          <cell r="GF104">
            <v>4.16</v>
          </cell>
        </row>
        <row r="105">
          <cell r="C105">
            <v>11094.582</v>
          </cell>
          <cell r="E105">
            <v>0</v>
          </cell>
          <cell r="G105">
            <v>0</v>
          </cell>
          <cell r="I105">
            <v>11094.582</v>
          </cell>
          <cell r="O105">
            <v>0</v>
          </cell>
          <cell r="Q105">
            <v>0</v>
          </cell>
          <cell r="S105">
            <v>0</v>
          </cell>
          <cell r="U105">
            <v>0</v>
          </cell>
          <cell r="Z105">
            <v>0</v>
          </cell>
          <cell r="AB105">
            <v>0</v>
          </cell>
          <cell r="AD105">
            <v>0</v>
          </cell>
          <cell r="AF105">
            <v>0</v>
          </cell>
          <cell r="AH105">
            <v>0</v>
          </cell>
          <cell r="AJ105">
            <v>0</v>
          </cell>
          <cell r="AL105">
            <v>0</v>
          </cell>
          <cell r="AN105">
            <v>0</v>
          </cell>
          <cell r="AP105">
            <v>0</v>
          </cell>
          <cell r="AR105">
            <v>0</v>
          </cell>
          <cell r="AT105">
            <v>11094.582</v>
          </cell>
          <cell r="AV105">
            <v>0</v>
          </cell>
          <cell r="AX105">
            <v>11094.582</v>
          </cell>
          <cell r="AY105">
            <v>0</v>
          </cell>
          <cell r="BA105" t="str">
            <v xml:space="preserve">total </v>
          </cell>
          <cell r="BC105">
            <v>46152.110999999997</v>
          </cell>
          <cell r="BE105">
            <v>0</v>
          </cell>
          <cell r="BG105">
            <v>0</v>
          </cell>
          <cell r="BI105">
            <v>46152.110999999997</v>
          </cell>
          <cell r="BM105">
            <v>0</v>
          </cell>
          <cell r="BO105">
            <v>0</v>
          </cell>
          <cell r="BQ105">
            <v>0</v>
          </cell>
          <cell r="BS105">
            <v>0</v>
          </cell>
          <cell r="BU105">
            <v>0</v>
          </cell>
          <cell r="BW105">
            <v>0</v>
          </cell>
          <cell r="BX105">
            <v>0</v>
          </cell>
          <cell r="BZ105">
            <v>0</v>
          </cell>
          <cell r="CB105">
            <v>0</v>
          </cell>
          <cell r="CD105">
            <v>0</v>
          </cell>
          <cell r="CF105">
            <v>0</v>
          </cell>
          <cell r="CH105">
            <v>0</v>
          </cell>
          <cell r="CJ105">
            <v>0</v>
          </cell>
          <cell r="CL105">
            <v>0</v>
          </cell>
          <cell r="CN105">
            <v>0</v>
          </cell>
          <cell r="CP105">
            <v>0</v>
          </cell>
          <cell r="CR105">
            <v>0</v>
          </cell>
          <cell r="CT105">
            <v>46152.110999999997</v>
          </cell>
          <cell r="CV105">
            <v>0</v>
          </cell>
          <cell r="CX105">
            <v>46152.110999999997</v>
          </cell>
          <cell r="FC105">
            <v>46152.785000000003</v>
          </cell>
          <cell r="FE105">
            <v>0</v>
          </cell>
          <cell r="FF105">
            <v>46152.785000000003</v>
          </cell>
          <cell r="FI105">
            <v>0</v>
          </cell>
          <cell r="FJ105">
            <v>0</v>
          </cell>
          <cell r="FM105">
            <v>0</v>
          </cell>
          <cell r="FT105">
            <v>46152.785000000003</v>
          </cell>
          <cell r="FU105">
            <v>0</v>
          </cell>
          <cell r="FV105">
            <v>46152.785000000003</v>
          </cell>
          <cell r="FX105">
            <v>0</v>
          </cell>
          <cell r="FY105">
            <v>0</v>
          </cell>
          <cell r="GA105">
            <v>0</v>
          </cell>
          <cell r="GB105">
            <v>0</v>
          </cell>
          <cell r="GC105">
            <v>46152.785000000003</v>
          </cell>
          <cell r="GD105">
            <v>46771.670812086588</v>
          </cell>
          <cell r="GE105">
            <v>46152.785000000003</v>
          </cell>
          <cell r="GF105">
            <v>4.1599390585422684</v>
          </cell>
          <cell r="GG105">
            <v>1192.5513122142393</v>
          </cell>
          <cell r="GH105">
            <v>0</v>
          </cell>
        </row>
        <row r="106">
          <cell r="A106" t="str">
            <v>TOTAL OTHER INVESTMENTS</v>
          </cell>
          <cell r="C106">
            <v>25617.563999999998</v>
          </cell>
          <cell r="E106">
            <v>0</v>
          </cell>
          <cell r="G106">
            <v>0</v>
          </cell>
          <cell r="I106">
            <v>25617.563999999998</v>
          </cell>
          <cell r="O106">
            <v>0</v>
          </cell>
          <cell r="Q106">
            <v>0</v>
          </cell>
          <cell r="S106">
            <v>0</v>
          </cell>
          <cell r="U106">
            <v>0</v>
          </cell>
          <cell r="Z106">
            <v>0</v>
          </cell>
          <cell r="AB106">
            <v>0</v>
          </cell>
          <cell r="AD106">
            <v>0</v>
          </cell>
          <cell r="AF106">
            <v>0</v>
          </cell>
          <cell r="AH106">
            <v>0</v>
          </cell>
          <cell r="AJ106">
            <v>0</v>
          </cell>
          <cell r="AL106">
            <v>0</v>
          </cell>
          <cell r="AN106">
            <v>0</v>
          </cell>
          <cell r="AP106">
            <v>0</v>
          </cell>
          <cell r="AR106">
            <v>0</v>
          </cell>
          <cell r="AT106">
            <v>25617.563999999998</v>
          </cell>
          <cell r="AV106">
            <v>0</v>
          </cell>
          <cell r="AX106">
            <v>25617.563999999998</v>
          </cell>
          <cell r="AY106">
            <v>0</v>
          </cell>
          <cell r="BC106">
            <v>99012.856</v>
          </cell>
          <cell r="BE106">
            <v>0</v>
          </cell>
          <cell r="BG106">
            <v>0</v>
          </cell>
          <cell r="BI106">
            <v>99012.856</v>
          </cell>
          <cell r="BM106">
            <v>0</v>
          </cell>
          <cell r="BO106">
            <v>0</v>
          </cell>
          <cell r="BQ106">
            <v>0</v>
          </cell>
          <cell r="BS106">
            <v>0</v>
          </cell>
          <cell r="BU106">
            <v>0</v>
          </cell>
          <cell r="BW106">
            <v>0</v>
          </cell>
          <cell r="BX106">
            <v>0</v>
          </cell>
          <cell r="BZ106">
            <v>0</v>
          </cell>
          <cell r="CB106">
            <v>0</v>
          </cell>
          <cell r="CD106">
            <v>0</v>
          </cell>
          <cell r="CF106">
            <v>0</v>
          </cell>
          <cell r="CH106">
            <v>0</v>
          </cell>
          <cell r="CJ106">
            <v>0</v>
          </cell>
          <cell r="CL106">
            <v>0</v>
          </cell>
          <cell r="CN106">
            <v>0</v>
          </cell>
          <cell r="CP106">
            <v>0</v>
          </cell>
          <cell r="CR106">
            <v>0</v>
          </cell>
          <cell r="CT106">
            <v>99012.856</v>
          </cell>
          <cell r="CV106">
            <v>0</v>
          </cell>
          <cell r="CX106">
            <v>99012.856</v>
          </cell>
          <cell r="FC106">
            <v>103149.024</v>
          </cell>
          <cell r="FE106">
            <v>0</v>
          </cell>
          <cell r="FF106">
            <v>103149.024</v>
          </cell>
          <cell r="FI106">
            <v>0</v>
          </cell>
          <cell r="FJ106">
            <v>0</v>
          </cell>
          <cell r="FK106">
            <v>0</v>
          </cell>
          <cell r="FM106">
            <v>0</v>
          </cell>
          <cell r="FN106">
            <v>0</v>
          </cell>
          <cell r="FO106">
            <v>0</v>
          </cell>
          <cell r="FQ106">
            <v>0</v>
          </cell>
          <cell r="FR106">
            <v>0</v>
          </cell>
          <cell r="FS106">
            <v>0</v>
          </cell>
          <cell r="FT106">
            <v>103149.024</v>
          </cell>
          <cell r="FU106">
            <v>0</v>
          </cell>
          <cell r="FV106">
            <v>103149.024</v>
          </cell>
          <cell r="FW106" t="str">
            <v>TOTAL OTHER INVESTMENTS</v>
          </cell>
          <cell r="FX106">
            <v>0</v>
          </cell>
          <cell r="FY106">
            <v>0</v>
          </cell>
          <cell r="FZ106">
            <v>0</v>
          </cell>
          <cell r="GA106">
            <v>0</v>
          </cell>
          <cell r="GB106">
            <v>0</v>
          </cell>
          <cell r="GC106">
            <v>103149.024</v>
          </cell>
          <cell r="GD106">
            <v>104532.2009303668</v>
          </cell>
          <cell r="GE106">
            <v>92296.646000000008</v>
          </cell>
          <cell r="GF106">
            <v>4.0264961961254402</v>
          </cell>
          <cell r="GG106">
            <v>43582.073722403657</v>
          </cell>
          <cell r="GH106">
            <v>0</v>
          </cell>
        </row>
        <row r="107">
          <cell r="FX107">
            <v>0</v>
          </cell>
          <cell r="FY107">
            <v>0</v>
          </cell>
          <cell r="GA107">
            <v>0</v>
          </cell>
          <cell r="GB107">
            <v>0</v>
          </cell>
          <cell r="GC107">
            <v>0</v>
          </cell>
          <cell r="GD107">
            <v>0</v>
          </cell>
          <cell r="GE107">
            <v>0</v>
          </cell>
        </row>
        <row r="108">
          <cell r="A108" t="str">
            <v>CURRENT ASSETS</v>
          </cell>
          <cell r="AT108">
            <v>0</v>
          </cell>
          <cell r="AY108">
            <v>0</v>
          </cell>
          <cell r="AZ108" t="str">
            <v>CURRENT ASSETS</v>
          </cell>
          <cell r="BX108">
            <v>0</v>
          </cell>
          <cell r="CD108">
            <v>0</v>
          </cell>
          <cell r="CT108">
            <v>0</v>
          </cell>
          <cell r="FW108" t="str">
            <v>CURRENT ASSETS</v>
          </cell>
          <cell r="FX108">
            <v>0</v>
          </cell>
          <cell r="FY108">
            <v>0</v>
          </cell>
          <cell r="GA108">
            <v>0</v>
          </cell>
          <cell r="GB108">
            <v>0</v>
          </cell>
          <cell r="GC108">
            <v>0</v>
          </cell>
          <cell r="GD108">
            <v>0</v>
          </cell>
          <cell r="GE108">
            <v>0</v>
          </cell>
          <cell r="GF108" t="e">
            <v>#DIV/0!</v>
          </cell>
          <cell r="GG108">
            <v>0</v>
          </cell>
          <cell r="GH108">
            <v>0</v>
          </cell>
        </row>
        <row r="109">
          <cell r="A109" t="str">
            <v>Acc.receivable</v>
          </cell>
          <cell r="M109" t="str">
            <v xml:space="preserve"> </v>
          </cell>
          <cell r="Q109">
            <v>47.584000000000003</v>
          </cell>
          <cell r="U109">
            <v>47.584000000000003</v>
          </cell>
          <cell r="Z109">
            <v>4.8289999999999997</v>
          </cell>
          <cell r="AD109">
            <v>52.413000000000004</v>
          </cell>
          <cell r="AR109">
            <v>9.1999999999999998E-2</v>
          </cell>
          <cell r="AT109">
            <v>52.505000000000003</v>
          </cell>
          <cell r="AX109">
            <v>52.505000000000003</v>
          </cell>
          <cell r="AY109">
            <v>0</v>
          </cell>
          <cell r="AZ109" t="str">
            <v>Acc.receivable</v>
          </cell>
          <cell r="BC109" t="str">
            <v xml:space="preserve">                                                                                                                      </v>
          </cell>
          <cell r="BE109" t="str">
            <v xml:space="preserve"> </v>
          </cell>
          <cell r="BQ109">
            <v>198.209</v>
          </cell>
          <cell r="BU109">
            <v>198.209</v>
          </cell>
          <cell r="BX109">
            <v>0</v>
          </cell>
          <cell r="BZ109">
            <v>20.088999999999999</v>
          </cell>
          <cell r="CD109">
            <v>218.298</v>
          </cell>
          <cell r="CR109">
            <v>0.38500000000000001</v>
          </cell>
          <cell r="CT109">
            <v>218.68299999999999</v>
          </cell>
          <cell r="CX109">
            <v>218.68299999999999</v>
          </cell>
          <cell r="FI109">
            <v>198.209</v>
          </cell>
          <cell r="FL109">
            <v>20.088999999999999</v>
          </cell>
          <cell r="FN109">
            <v>218.298</v>
          </cell>
          <cell r="FR109">
            <v>0</v>
          </cell>
          <cell r="FS109">
            <v>0.38500000000000001</v>
          </cell>
          <cell r="FT109">
            <v>218.68299999999999</v>
          </cell>
          <cell r="FV109">
            <v>218.68299999999999</v>
          </cell>
          <cell r="FW109" t="str">
            <v>Acc.receivable</v>
          </cell>
          <cell r="FX109">
            <v>218.298</v>
          </cell>
          <cell r="FY109">
            <v>0</v>
          </cell>
          <cell r="GA109">
            <v>218.298</v>
          </cell>
          <cell r="GB109">
            <v>221.22526722790138</v>
          </cell>
          <cell r="GC109">
            <v>218.68299999999999</v>
          </cell>
          <cell r="GD109">
            <v>221.61542988574863</v>
          </cell>
          <cell r="GE109">
            <v>0.38499999999999091</v>
          </cell>
          <cell r="GF109">
            <v>4.1649938101133221</v>
          </cell>
          <cell r="GG109">
            <v>436.65969954278256</v>
          </cell>
          <cell r="GH109">
            <v>0</v>
          </cell>
        </row>
        <row r="110">
          <cell r="A110" t="str">
            <v>customers</v>
          </cell>
          <cell r="I110">
            <v>0</v>
          </cell>
          <cell r="M110" t="str">
            <v xml:space="preserve"> </v>
          </cell>
          <cell r="O110">
            <v>3649.5</v>
          </cell>
          <cell r="Q110">
            <v>707.06600000000003</v>
          </cell>
          <cell r="U110">
            <v>707.06600000000003</v>
          </cell>
          <cell r="W110">
            <v>73</v>
          </cell>
          <cell r="X110">
            <v>73</v>
          </cell>
          <cell r="Z110">
            <v>18.760999999999999</v>
          </cell>
          <cell r="AD110">
            <v>871.827</v>
          </cell>
          <cell r="AJ110">
            <v>0</v>
          </cell>
          <cell r="AL110">
            <v>337</v>
          </cell>
          <cell r="AP110">
            <v>337</v>
          </cell>
          <cell r="AT110">
            <v>4858.3270000000002</v>
          </cell>
          <cell r="AX110">
            <v>4858.3270000000002</v>
          </cell>
          <cell r="AY110">
            <v>0</v>
          </cell>
          <cell r="AZ110" t="str">
            <v>customers</v>
          </cell>
          <cell r="BI110">
            <v>0</v>
          </cell>
          <cell r="BO110">
            <v>15182.5</v>
          </cell>
          <cell r="BQ110">
            <v>2941.3939999999998</v>
          </cell>
          <cell r="BU110">
            <v>2941.3939999999998</v>
          </cell>
          <cell r="BW110">
            <v>303.5</v>
          </cell>
          <cell r="BX110">
            <v>303.5</v>
          </cell>
          <cell r="BZ110">
            <v>78.046000000000006</v>
          </cell>
          <cell r="CD110">
            <v>3626.44</v>
          </cell>
          <cell r="CJ110">
            <v>0</v>
          </cell>
          <cell r="CL110">
            <v>1401</v>
          </cell>
          <cell r="CP110">
            <v>1401</v>
          </cell>
          <cell r="CT110">
            <v>20209.939999999999</v>
          </cell>
          <cell r="CX110">
            <v>20209.939999999999</v>
          </cell>
          <cell r="FH110">
            <v>15182.5</v>
          </cell>
          <cell r="FI110">
            <v>2941.3939999999998</v>
          </cell>
          <cell r="FJ110">
            <v>303.5</v>
          </cell>
          <cell r="FK110">
            <v>303.5</v>
          </cell>
          <cell r="FL110">
            <v>78.046000000000006</v>
          </cell>
          <cell r="FN110">
            <v>3626.44</v>
          </cell>
          <cell r="FO110">
            <v>0</v>
          </cell>
          <cell r="FP110">
            <v>1611.88</v>
          </cell>
          <cell r="FR110">
            <v>1611.88</v>
          </cell>
          <cell r="FS110">
            <v>0</v>
          </cell>
          <cell r="FT110">
            <v>20420.82</v>
          </cell>
          <cell r="FU110">
            <v>-212</v>
          </cell>
          <cell r="FV110">
            <v>20208.82</v>
          </cell>
          <cell r="FW110" t="str">
            <v>customers</v>
          </cell>
          <cell r="FX110">
            <v>3626.44</v>
          </cell>
          <cell r="FY110">
            <v>1611.88</v>
          </cell>
          <cell r="GA110">
            <v>5238.32</v>
          </cell>
          <cell r="GB110">
            <v>5308.5632567648818</v>
          </cell>
          <cell r="GC110">
            <v>20208.82</v>
          </cell>
          <cell r="GD110">
            <v>20479.810190018037</v>
          </cell>
          <cell r="GE110">
            <v>14970.5</v>
          </cell>
          <cell r="GF110">
            <v>4.1596253195801758</v>
          </cell>
          <cell r="GG110">
            <v>21139.00009322874</v>
          </cell>
          <cell r="GH110">
            <v>0</v>
          </cell>
        </row>
        <row r="111">
          <cell r="A111" t="str">
            <v>checks receivable</v>
          </cell>
          <cell r="I111">
            <v>0</v>
          </cell>
          <cell r="M111">
            <v>38.849639423076923</v>
          </cell>
          <cell r="O111">
            <v>197</v>
          </cell>
          <cell r="Q111">
            <v>151.65600000000001</v>
          </cell>
          <cell r="U111">
            <v>151.65600000000001</v>
          </cell>
          <cell r="W111">
            <v>90</v>
          </cell>
          <cell r="X111">
            <v>90</v>
          </cell>
          <cell r="Z111">
            <v>3.4569999999999999</v>
          </cell>
          <cell r="AD111">
            <v>335.113</v>
          </cell>
          <cell r="AJ111">
            <v>0</v>
          </cell>
          <cell r="AL111">
            <v>83</v>
          </cell>
          <cell r="AP111">
            <v>83</v>
          </cell>
          <cell r="AT111">
            <v>653.96263942307689</v>
          </cell>
          <cell r="AX111">
            <v>653.96263942307689</v>
          </cell>
          <cell r="AY111">
            <v>0</v>
          </cell>
          <cell r="AZ111" t="str">
            <v>checks receivable</v>
          </cell>
          <cell r="BI111">
            <v>0</v>
          </cell>
          <cell r="BM111">
            <v>161.61449999999999</v>
          </cell>
          <cell r="BO111">
            <v>819.5</v>
          </cell>
          <cell r="BQ111">
            <v>630.89099999999996</v>
          </cell>
          <cell r="BU111">
            <v>630.89099999999996</v>
          </cell>
          <cell r="BW111">
            <v>375</v>
          </cell>
          <cell r="BX111">
            <v>375</v>
          </cell>
          <cell r="BZ111">
            <v>14.382</v>
          </cell>
          <cell r="CD111">
            <v>1395.2730000000001</v>
          </cell>
          <cell r="CJ111">
            <v>0</v>
          </cell>
          <cell r="CL111">
            <v>347</v>
          </cell>
          <cell r="CP111">
            <v>347</v>
          </cell>
          <cell r="CT111">
            <v>2723.3874999999998</v>
          </cell>
          <cell r="CX111">
            <v>2723.3874999999998</v>
          </cell>
          <cell r="FG111">
            <v>161.61449999999999</v>
          </cell>
          <cell r="FH111">
            <v>819.5</v>
          </cell>
          <cell r="FI111">
            <v>630.89099999999996</v>
          </cell>
          <cell r="FJ111">
            <v>375</v>
          </cell>
          <cell r="FK111">
            <v>375</v>
          </cell>
          <cell r="FL111">
            <v>14</v>
          </cell>
          <cell r="FN111">
            <v>1394.8910000000001</v>
          </cell>
          <cell r="FO111">
            <v>0</v>
          </cell>
          <cell r="FP111">
            <v>345.28</v>
          </cell>
          <cell r="FR111">
            <v>345.28</v>
          </cell>
          <cell r="FS111">
            <v>0</v>
          </cell>
          <cell r="FT111">
            <v>2721.2855</v>
          </cell>
          <cell r="FV111">
            <v>2721.2855</v>
          </cell>
          <cell r="FW111" t="str">
            <v>checks receivable</v>
          </cell>
          <cell r="FX111">
            <v>1394.8910000000001</v>
          </cell>
          <cell r="FY111">
            <v>345.28</v>
          </cell>
          <cell r="GA111">
            <v>1740.171</v>
          </cell>
          <cell r="GB111">
            <v>1763.505824594107</v>
          </cell>
          <cell r="GC111">
            <v>2721.2855</v>
          </cell>
          <cell r="GD111">
            <v>2757.7765803668067</v>
          </cell>
          <cell r="GE111">
            <v>981.11449999999991</v>
          </cell>
          <cell r="GF111">
            <v>4.1612247182816233</v>
          </cell>
          <cell r="GG111">
            <v>1145.2621686458447</v>
          </cell>
          <cell r="GH111">
            <v>0</v>
          </cell>
        </row>
        <row r="112">
          <cell r="A112" t="str">
            <v>prov.doubtf.debts</v>
          </cell>
          <cell r="I112">
            <v>0</v>
          </cell>
          <cell r="M112">
            <v>-101.86141826923077</v>
          </cell>
          <cell r="O112">
            <v>-9</v>
          </cell>
          <cell r="Q112">
            <v>-162.01900000000001</v>
          </cell>
          <cell r="U112">
            <v>-162.01900000000001</v>
          </cell>
          <cell r="W112">
            <v>-36</v>
          </cell>
          <cell r="X112">
            <v>-36</v>
          </cell>
          <cell r="Z112">
            <v>-5.5279999999999996</v>
          </cell>
          <cell r="AD112">
            <v>-239.547</v>
          </cell>
          <cell r="AJ112">
            <v>0</v>
          </cell>
          <cell r="AL112">
            <v>-104</v>
          </cell>
          <cell r="AP112">
            <v>-104</v>
          </cell>
          <cell r="AT112">
            <v>-454.40841826923076</v>
          </cell>
          <cell r="AX112">
            <v>-454.40841826923076</v>
          </cell>
          <cell r="AY112">
            <v>0</v>
          </cell>
          <cell r="AZ112" t="str">
            <v>prov.doubtf.debts</v>
          </cell>
          <cell r="BI112">
            <v>0</v>
          </cell>
          <cell r="BM112">
            <v>-423.74349999999998</v>
          </cell>
          <cell r="BO112">
            <v>-37.5</v>
          </cell>
          <cell r="BQ112">
            <v>-674</v>
          </cell>
          <cell r="BU112">
            <v>-674</v>
          </cell>
          <cell r="BW112">
            <v>-149</v>
          </cell>
          <cell r="BX112">
            <v>-149</v>
          </cell>
          <cell r="BZ112">
            <v>-23</v>
          </cell>
          <cell r="CD112">
            <v>-995</v>
          </cell>
          <cell r="CH112">
            <v>0</v>
          </cell>
          <cell r="CJ112">
            <v>0</v>
          </cell>
          <cell r="CL112">
            <v>-431</v>
          </cell>
          <cell r="CP112">
            <v>-431</v>
          </cell>
          <cell r="CT112">
            <v>-1887.2435</v>
          </cell>
          <cell r="CV112">
            <v>0</v>
          </cell>
          <cell r="CX112">
            <v>-1887.2435</v>
          </cell>
          <cell r="FG112">
            <v>-423.74349999999998</v>
          </cell>
          <cell r="FH112">
            <v>-37.5</v>
          </cell>
          <cell r="FI112">
            <v>-674</v>
          </cell>
          <cell r="FJ112">
            <v>-149</v>
          </cell>
          <cell r="FK112">
            <v>-149</v>
          </cell>
          <cell r="FL112">
            <v>-23</v>
          </cell>
          <cell r="FN112">
            <v>-995</v>
          </cell>
          <cell r="FO112">
            <v>0</v>
          </cell>
          <cell r="FP112">
            <v>-431</v>
          </cell>
          <cell r="FR112">
            <v>-431</v>
          </cell>
          <cell r="FS112">
            <v>0</v>
          </cell>
          <cell r="FT112">
            <v>-1887.2435</v>
          </cell>
          <cell r="FU112" t="str">
            <v>לשאול את גיא</v>
          </cell>
          <cell r="FV112">
            <v>-1887.2435</v>
          </cell>
          <cell r="FW112" t="str">
            <v>prov.doubtf.debts</v>
          </cell>
          <cell r="FX112">
            <v>-995</v>
          </cell>
          <cell r="FY112">
            <v>-431</v>
          </cell>
          <cell r="GA112">
            <v>-1426</v>
          </cell>
          <cell r="GB112">
            <v>-1445.1219482862296</v>
          </cell>
          <cell r="GC112">
            <v>-1887.2435</v>
          </cell>
          <cell r="GD112">
            <v>-1912.550493415514</v>
          </cell>
          <cell r="GE112">
            <v>-461.24350000000004</v>
          </cell>
          <cell r="GF112">
            <v>4.1531878022599358</v>
          </cell>
          <cell r="GG112">
            <v>-953.14954410804637</v>
          </cell>
          <cell r="GH112">
            <v>0</v>
          </cell>
        </row>
        <row r="113">
          <cell r="A113" t="str">
            <v>related companies</v>
          </cell>
          <cell r="C113">
            <v>-17941.614999999998</v>
          </cell>
          <cell r="E113">
            <v>18208.349999999999</v>
          </cell>
          <cell r="I113">
            <v>266.73500000000058</v>
          </cell>
          <cell r="M113">
            <v>227.57175480769229</v>
          </cell>
          <cell r="O113">
            <v>7.5</v>
          </cell>
          <cell r="Q113">
            <v>4890.2530000000006</v>
          </cell>
          <cell r="S113">
            <v>-15.269</v>
          </cell>
          <cell r="U113">
            <v>4874.9840000000004</v>
          </cell>
          <cell r="W113">
            <v>218.5</v>
          </cell>
          <cell r="X113">
            <v>218.5</v>
          </cell>
          <cell r="AD113">
            <v>5311.9840000000004</v>
          </cell>
          <cell r="AF113">
            <v>42.854999999999997</v>
          </cell>
          <cell r="AJ113">
            <v>42.854999999999997</v>
          </cell>
          <cell r="AL113">
            <v>216</v>
          </cell>
          <cell r="AN113">
            <v>-26.103999999999999</v>
          </cell>
          <cell r="AP113">
            <v>232.75100000000003</v>
          </cell>
          <cell r="AR113">
            <v>1805</v>
          </cell>
          <cell r="AT113">
            <v>7851.541754807693</v>
          </cell>
          <cell r="AV113">
            <v>-5858.0150000000003</v>
          </cell>
          <cell r="AX113">
            <v>1993.5267548076927</v>
          </cell>
          <cell r="AY113">
            <v>0</v>
          </cell>
          <cell r="AZ113" t="str">
            <v>related companies</v>
          </cell>
          <cell r="BC113">
            <v>-67408.320000000007</v>
          </cell>
          <cell r="BE113">
            <v>67408.320000000007</v>
          </cell>
          <cell r="BG113">
            <v>0</v>
          </cell>
          <cell r="BI113">
            <v>0</v>
          </cell>
          <cell r="BM113">
            <v>946.69849999999997</v>
          </cell>
          <cell r="BO113">
            <v>30.5</v>
          </cell>
          <cell r="BQ113">
            <v>18611.771999999997</v>
          </cell>
          <cell r="BU113">
            <v>18611.771999999997</v>
          </cell>
          <cell r="BW113">
            <v>909</v>
          </cell>
          <cell r="BX113">
            <v>909</v>
          </cell>
          <cell r="CD113">
            <v>20429.771999999997</v>
          </cell>
          <cell r="CF113">
            <v>178.279</v>
          </cell>
          <cell r="CH113">
            <v>0</v>
          </cell>
          <cell r="CJ113">
            <v>178.279</v>
          </cell>
          <cell r="CL113">
            <v>898</v>
          </cell>
          <cell r="CN113">
            <v>-108.59399999999999</v>
          </cell>
          <cell r="CP113">
            <v>967.68499999999995</v>
          </cell>
          <cell r="CR113">
            <v>7508.2929999999997</v>
          </cell>
          <cell r="CT113">
            <v>29882.948499999995</v>
          </cell>
          <cell r="CV113">
            <v>-23376.774000000001</v>
          </cell>
          <cell r="CX113">
            <v>6506.1744999999937</v>
          </cell>
          <cell r="FC113">
            <v>-67407.64</v>
          </cell>
          <cell r="FD113">
            <v>67407.64</v>
          </cell>
          <cell r="FE113">
            <v>1109.6199999999999</v>
          </cell>
          <cell r="FF113">
            <v>1109.6199999999999</v>
          </cell>
          <cell r="FG113">
            <v>946.69849999999997</v>
          </cell>
          <cell r="FH113">
            <v>30.5</v>
          </cell>
          <cell r="FI113">
            <v>20279.382999999998</v>
          </cell>
          <cell r="FJ113">
            <v>909</v>
          </cell>
          <cell r="FK113">
            <v>909</v>
          </cell>
          <cell r="FN113">
            <v>22097.382999999998</v>
          </cell>
          <cell r="FO113">
            <v>178.279</v>
          </cell>
          <cell r="FP113">
            <v>898</v>
          </cell>
          <cell r="FR113">
            <v>1076.279</v>
          </cell>
          <cell r="FS113">
            <v>7508.2920000000004</v>
          </cell>
          <cell r="FT113">
            <v>32768.772499999999</v>
          </cell>
          <cell r="FU113">
            <v>-24473.342400000001</v>
          </cell>
          <cell r="FV113">
            <v>8295.4300999999978</v>
          </cell>
          <cell r="FW113" t="str">
            <v>related companies</v>
          </cell>
          <cell r="FX113">
            <v>22097.382999999998</v>
          </cell>
          <cell r="FY113">
            <v>1076.279</v>
          </cell>
          <cell r="GA113">
            <v>23173.661999999997</v>
          </cell>
          <cell r="GB113">
            <v>23484.409241491277</v>
          </cell>
          <cell r="GC113">
            <v>8295.4300999999978</v>
          </cell>
          <cell r="GD113">
            <v>8406.6676774082953</v>
          </cell>
          <cell r="GE113">
            <v>-14878.231899999999</v>
          </cell>
          <cell r="GF113">
            <v>4.1611832296678779</v>
          </cell>
          <cell r="GG113">
            <v>1001.4062328339301</v>
          </cell>
          <cell r="GH113">
            <v>0</v>
          </cell>
          <cell r="HJ113" t="str">
            <v>------~:tac~</v>
          </cell>
        </row>
        <row r="114">
          <cell r="A114" t="str">
            <v>INCOME TAX</v>
          </cell>
          <cell r="B114">
            <v>0.36</v>
          </cell>
          <cell r="C114">
            <v>4344.4549999999999</v>
          </cell>
          <cell r="G114">
            <v>-5030.1838852202718</v>
          </cell>
          <cell r="I114">
            <v>-685.72888522027188</v>
          </cell>
          <cell r="M114" t="str">
            <v xml:space="preserve"> </v>
          </cell>
          <cell r="O114">
            <v>397.5</v>
          </cell>
          <cell r="U114">
            <v>0</v>
          </cell>
          <cell r="W114">
            <v>353</v>
          </cell>
          <cell r="X114">
            <v>353</v>
          </cell>
          <cell r="Z114">
            <v>51.353000000000002</v>
          </cell>
          <cell r="AD114">
            <v>757.35299999999995</v>
          </cell>
          <cell r="AJ114">
            <v>0</v>
          </cell>
          <cell r="AP114">
            <v>0</v>
          </cell>
          <cell r="AT114">
            <v>469.12411477972807</v>
          </cell>
          <cell r="AV114">
            <v>-94.021692307692305</v>
          </cell>
          <cell r="AX114">
            <v>375.10242247203576</v>
          </cell>
          <cell r="AY114">
            <v>0</v>
          </cell>
          <cell r="AZ114" t="str">
            <v>INCOME TAX</v>
          </cell>
          <cell r="BA114">
            <v>0.36</v>
          </cell>
          <cell r="BC114">
            <v>16044.262000000001</v>
          </cell>
          <cell r="BG114">
            <v>-18618.462406415285</v>
          </cell>
          <cell r="BI114">
            <v>-2574.2004064152843</v>
          </cell>
          <cell r="BO114">
            <v>430.5</v>
          </cell>
          <cell r="BU114">
            <v>0</v>
          </cell>
          <cell r="BW114">
            <v>1469.5</v>
          </cell>
          <cell r="BX114">
            <v>1469.5</v>
          </cell>
          <cell r="BZ114">
            <v>213.62700000000001</v>
          </cell>
          <cell r="CD114">
            <v>3152.627</v>
          </cell>
          <cell r="CH114">
            <v>0</v>
          </cell>
          <cell r="CJ114">
            <v>0</v>
          </cell>
          <cell r="CL114">
            <v>165</v>
          </cell>
          <cell r="CP114">
            <v>165</v>
          </cell>
          <cell r="CT114">
            <v>1173.9265935847156</v>
          </cell>
          <cell r="CV114">
            <v>0</v>
          </cell>
          <cell r="CX114">
            <v>1173.9265935847156</v>
          </cell>
          <cell r="FC114">
            <v>16044.262000000001</v>
          </cell>
          <cell r="FE114">
            <v>-18588.940406415284</v>
          </cell>
          <cell r="FF114">
            <v>-2544.6784064152835</v>
          </cell>
          <cell r="FH114">
            <v>1652</v>
          </cell>
          <cell r="FJ114">
            <v>1469</v>
          </cell>
          <cell r="FK114">
            <v>1469</v>
          </cell>
          <cell r="FN114">
            <v>2938</v>
          </cell>
          <cell r="FO114">
            <v>0</v>
          </cell>
          <cell r="FR114">
            <v>0</v>
          </cell>
          <cell r="FS114">
            <v>0</v>
          </cell>
          <cell r="FT114">
            <v>2045.3215935847165</v>
          </cell>
          <cell r="FU114">
            <v>0</v>
          </cell>
          <cell r="FV114">
            <v>2045.3215935847165</v>
          </cell>
          <cell r="FW114" t="str">
            <v>INCOME TAX</v>
          </cell>
          <cell r="FX114">
            <v>2938</v>
          </cell>
          <cell r="FY114">
            <v>0</v>
          </cell>
          <cell r="GA114">
            <v>2938</v>
          </cell>
          <cell r="GB114">
            <v>2977.39711365003</v>
          </cell>
          <cell r="GC114">
            <v>2045.3215935847165</v>
          </cell>
          <cell r="GD114">
            <v>2072.7483353387388</v>
          </cell>
          <cell r="GE114">
            <v>-892.67840641528346</v>
          </cell>
          <cell r="GF114">
            <v>5.4527016384096996</v>
          </cell>
          <cell r="GG114">
            <v>2473.8340885893531</v>
          </cell>
          <cell r="GH114">
            <v>0</v>
          </cell>
        </row>
        <row r="115">
          <cell r="A115" t="str">
            <v>VAT</v>
          </cell>
          <cell r="C115">
            <v>7.0000000000000001E-3</v>
          </cell>
          <cell r="I115">
            <v>7.0000000000000001E-3</v>
          </cell>
          <cell r="M115" t="str">
            <v xml:space="preserve"> </v>
          </cell>
          <cell r="O115">
            <v>17.5</v>
          </cell>
          <cell r="W115">
            <v>212.5</v>
          </cell>
          <cell r="X115">
            <v>212.5</v>
          </cell>
          <cell r="AD115">
            <v>425</v>
          </cell>
          <cell r="AT115">
            <v>442.50700000000001</v>
          </cell>
          <cell r="AX115">
            <v>442.50700000000001</v>
          </cell>
          <cell r="AY115">
            <v>0</v>
          </cell>
          <cell r="AZ115" t="str">
            <v>VAT</v>
          </cell>
          <cell r="BC115">
            <v>0</v>
          </cell>
          <cell r="BI115">
            <v>0</v>
          </cell>
          <cell r="BW115">
            <v>883</v>
          </cell>
          <cell r="BX115">
            <v>883</v>
          </cell>
          <cell r="CD115">
            <v>1766</v>
          </cell>
          <cell r="CP115">
            <v>0</v>
          </cell>
          <cell r="CT115">
            <v>1766</v>
          </cell>
          <cell r="CX115">
            <v>1766</v>
          </cell>
          <cell r="FC115">
            <v>0</v>
          </cell>
          <cell r="FF115">
            <v>0</v>
          </cell>
          <cell r="FH115">
            <v>72.5</v>
          </cell>
          <cell r="FJ115">
            <v>883</v>
          </cell>
          <cell r="FK115">
            <v>883</v>
          </cell>
          <cell r="FN115">
            <v>1766</v>
          </cell>
          <cell r="FR115">
            <v>0</v>
          </cell>
          <cell r="FS115">
            <v>0</v>
          </cell>
          <cell r="FT115">
            <v>1838.5</v>
          </cell>
          <cell r="FV115">
            <v>1838.5</v>
          </cell>
          <cell r="FW115" t="str">
            <v>VAT</v>
          </cell>
          <cell r="FX115">
            <v>1766</v>
          </cell>
          <cell r="FY115">
            <v>0</v>
          </cell>
          <cell r="GA115">
            <v>1766</v>
          </cell>
          <cell r="GB115">
            <v>1789.6811785929042</v>
          </cell>
          <cell r="GC115">
            <v>1838.5</v>
          </cell>
          <cell r="GD115">
            <v>1863.1533674082982</v>
          </cell>
          <cell r="GE115">
            <v>72.5</v>
          </cell>
          <cell r="GF115">
            <v>4.1547365352412502</v>
          </cell>
        </row>
        <row r="116">
          <cell r="A116" t="str">
            <v>prepaid exp.</v>
          </cell>
          <cell r="I116">
            <v>0</v>
          </cell>
          <cell r="M116">
            <v>5.2531249999999998</v>
          </cell>
          <cell r="O116">
            <v>39.5</v>
          </cell>
          <cell r="Q116">
            <v>237.34700000000001</v>
          </cell>
          <cell r="U116">
            <v>237.34700000000001</v>
          </cell>
          <cell r="W116">
            <v>36.5</v>
          </cell>
          <cell r="X116">
            <v>36.5</v>
          </cell>
          <cell r="AD116">
            <v>310.34699999999998</v>
          </cell>
          <cell r="AH116">
            <v>0</v>
          </cell>
          <cell r="AJ116">
            <v>0</v>
          </cell>
          <cell r="AL116">
            <v>42</v>
          </cell>
          <cell r="AP116">
            <v>42</v>
          </cell>
          <cell r="AR116">
            <v>17.288</v>
          </cell>
          <cell r="AT116">
            <v>414.388125</v>
          </cell>
          <cell r="AX116">
            <v>414.388125</v>
          </cell>
          <cell r="AY116">
            <v>0</v>
          </cell>
          <cell r="AZ116" t="str">
            <v>prepaid exp.</v>
          </cell>
          <cell r="BA116" t="str">
            <v>='ני"ע 2'!BO28+'ני"ע 2'!BK29-BH286+'ני"ע 2'!BO30-BD105+'ני"ע 2'!BK42+BH297+'ני"ע 2'!BO18+'ני"ע 2'!BO2</v>
          </cell>
          <cell r="BI116">
            <v>0</v>
          </cell>
          <cell r="BM116">
            <v>21.853000000000002</v>
          </cell>
          <cell r="BO116">
            <v>152</v>
          </cell>
          <cell r="BQ116">
            <v>950.13699999999994</v>
          </cell>
          <cell r="BU116">
            <v>950.13699999999994</v>
          </cell>
          <cell r="BW116">
            <v>138</v>
          </cell>
          <cell r="BX116">
            <v>138</v>
          </cell>
          <cell r="CD116">
            <v>1226.1369999999999</v>
          </cell>
          <cell r="CH116">
            <v>0</v>
          </cell>
          <cell r="CJ116">
            <v>0</v>
          </cell>
          <cell r="CL116">
            <v>167</v>
          </cell>
          <cell r="CP116">
            <v>167</v>
          </cell>
          <cell r="CR116">
            <v>75.406999999999996</v>
          </cell>
          <cell r="CT116">
            <v>1642.3969999999999</v>
          </cell>
          <cell r="CV116">
            <v>0</v>
          </cell>
          <cell r="CX116">
            <v>1642.3969999999999</v>
          </cell>
          <cell r="FG116">
            <v>21.853000000000002</v>
          </cell>
          <cell r="FH116">
            <v>158</v>
          </cell>
          <cell r="FI116">
            <v>964.50800000000004</v>
          </cell>
          <cell r="FJ116">
            <v>154</v>
          </cell>
          <cell r="FK116">
            <v>154</v>
          </cell>
          <cell r="FN116">
            <v>1272.508</v>
          </cell>
          <cell r="FO116">
            <v>0</v>
          </cell>
          <cell r="FR116">
            <v>0</v>
          </cell>
          <cell r="FS116">
            <v>71.917000000000002</v>
          </cell>
          <cell r="FT116">
            <v>1524.278</v>
          </cell>
          <cell r="FU116">
            <v>212</v>
          </cell>
          <cell r="FV116">
            <v>1736.278</v>
          </cell>
          <cell r="FW116" t="str">
            <v>prepaid exp.</v>
          </cell>
          <cell r="FX116">
            <v>1272.508</v>
          </cell>
          <cell r="FY116">
            <v>0</v>
          </cell>
          <cell r="GA116">
            <v>1272.508</v>
          </cell>
          <cell r="GB116">
            <v>1289.5716971737822</v>
          </cell>
          <cell r="GC116">
            <v>1736.278</v>
          </cell>
          <cell r="GD116">
            <v>1759.5606214070956</v>
          </cell>
          <cell r="GE116">
            <v>463.77</v>
          </cell>
          <cell r="GF116">
            <v>4.1899801062108137</v>
          </cell>
          <cell r="GG116">
            <v>892.34944870385368</v>
          </cell>
          <cell r="GH116">
            <v>0</v>
          </cell>
          <cell r="HJ116" t="str">
            <v>:fu~~</v>
          </cell>
        </row>
        <row r="117">
          <cell r="A117" t="str">
            <v>i.c.p.</v>
          </cell>
          <cell r="I117">
            <v>0</v>
          </cell>
          <cell r="M117" t="str">
            <v xml:space="preserve"> </v>
          </cell>
          <cell r="U117">
            <v>0</v>
          </cell>
          <cell r="W117">
            <v>0</v>
          </cell>
          <cell r="X117">
            <v>0</v>
          </cell>
          <cell r="AD117">
            <v>0</v>
          </cell>
          <cell r="AJ117">
            <v>0</v>
          </cell>
          <cell r="AP117">
            <v>0</v>
          </cell>
          <cell r="AT117">
            <v>0</v>
          </cell>
          <cell r="AX117">
            <v>0</v>
          </cell>
          <cell r="AY117">
            <v>0</v>
          </cell>
          <cell r="AZ117" t="str">
            <v>i.c.p.</v>
          </cell>
          <cell r="BI117">
            <v>0</v>
          </cell>
          <cell r="BQ117">
            <v>1667.6110000000001</v>
          </cell>
          <cell r="BU117">
            <v>1667.6110000000001</v>
          </cell>
          <cell r="BW117">
            <v>0</v>
          </cell>
          <cell r="BX117">
            <v>0</v>
          </cell>
          <cell r="CD117">
            <v>1667.6110000000001</v>
          </cell>
          <cell r="CJ117">
            <v>0</v>
          </cell>
          <cell r="CP117">
            <v>0</v>
          </cell>
          <cell r="CT117">
            <v>1667.6110000000001</v>
          </cell>
          <cell r="CX117">
            <v>1667.6110000000001</v>
          </cell>
          <cell r="FJ117">
            <v>0</v>
          </cell>
          <cell r="FK117">
            <v>0</v>
          </cell>
          <cell r="FN117">
            <v>0</v>
          </cell>
          <cell r="FO117">
            <v>0</v>
          </cell>
          <cell r="FR117">
            <v>0</v>
          </cell>
          <cell r="FS117">
            <v>0</v>
          </cell>
          <cell r="FT117">
            <v>0</v>
          </cell>
          <cell r="FV117">
            <v>0</v>
          </cell>
          <cell r="FW117" t="str">
            <v>i.c.p.</v>
          </cell>
          <cell r="FX117">
            <v>0</v>
          </cell>
          <cell r="FY117">
            <v>0</v>
          </cell>
          <cell r="GA117">
            <v>0</v>
          </cell>
          <cell r="GB117">
            <v>0</v>
          </cell>
          <cell r="GC117">
            <v>0</v>
          </cell>
          <cell r="GD117">
            <v>0</v>
          </cell>
          <cell r="GE117">
            <v>0</v>
          </cell>
          <cell r="GF117" t="e">
            <v>#DIV/0!</v>
          </cell>
          <cell r="GG117">
            <v>1842.3106829941539</v>
          </cell>
          <cell r="GH117">
            <v>0</v>
          </cell>
        </row>
        <row r="118">
          <cell r="A118" t="str">
            <v>employees</v>
          </cell>
          <cell r="I118">
            <v>0</v>
          </cell>
          <cell r="M118" t="str">
            <v xml:space="preserve"> </v>
          </cell>
          <cell r="O118">
            <v>18.5</v>
          </cell>
          <cell r="U118">
            <v>0</v>
          </cell>
          <cell r="W118">
            <v>0</v>
          </cell>
          <cell r="X118">
            <v>0</v>
          </cell>
          <cell r="AD118">
            <v>0</v>
          </cell>
          <cell r="AJ118">
            <v>0</v>
          </cell>
          <cell r="AP118">
            <v>0</v>
          </cell>
          <cell r="AT118">
            <v>18.5</v>
          </cell>
          <cell r="AX118">
            <v>18.5</v>
          </cell>
          <cell r="AY118">
            <v>0</v>
          </cell>
          <cell r="AZ118" t="str">
            <v>employees</v>
          </cell>
          <cell r="BI118">
            <v>0</v>
          </cell>
          <cell r="BO118">
            <v>78</v>
          </cell>
          <cell r="BU118">
            <v>0</v>
          </cell>
          <cell r="BW118">
            <v>0</v>
          </cell>
          <cell r="BX118">
            <v>0</v>
          </cell>
          <cell r="CD118">
            <v>0</v>
          </cell>
          <cell r="CH118">
            <v>0</v>
          </cell>
          <cell r="CJ118">
            <v>0</v>
          </cell>
          <cell r="CP118">
            <v>0</v>
          </cell>
          <cell r="CT118">
            <v>78</v>
          </cell>
          <cell r="CX118">
            <v>78</v>
          </cell>
          <cell r="FH118">
            <v>78</v>
          </cell>
          <cell r="FJ118">
            <v>0</v>
          </cell>
          <cell r="FK118">
            <v>0</v>
          </cell>
          <cell r="FN118">
            <v>0</v>
          </cell>
          <cell r="FR118">
            <v>0</v>
          </cell>
          <cell r="FS118">
            <v>0</v>
          </cell>
          <cell r="FT118">
            <v>78</v>
          </cell>
          <cell r="FV118">
            <v>78</v>
          </cell>
          <cell r="FW118" t="str">
            <v>employees</v>
          </cell>
          <cell r="FX118">
            <v>0</v>
          </cell>
          <cell r="FY118">
            <v>0</v>
          </cell>
          <cell r="GA118">
            <v>0</v>
          </cell>
          <cell r="GB118">
            <v>0</v>
          </cell>
          <cell r="GC118">
            <v>78</v>
          </cell>
          <cell r="GD118">
            <v>79.045941070354772</v>
          </cell>
          <cell r="GE118">
            <v>78</v>
          </cell>
          <cell r="GF118">
            <v>4.2162162162162158</v>
          </cell>
          <cell r="GG118">
            <v>88.373110915994573</v>
          </cell>
          <cell r="GH118">
            <v>0</v>
          </cell>
          <cell r="HJ118" t="str">
            <v>/re~:fldb~{D}</v>
          </cell>
        </row>
        <row r="119">
          <cell r="A119" t="str">
            <v>suppliers</v>
          </cell>
          <cell r="I119">
            <v>0</v>
          </cell>
          <cell r="M119" t="str">
            <v xml:space="preserve"> </v>
          </cell>
          <cell r="Q119">
            <v>157.68100000000001</v>
          </cell>
          <cell r="U119">
            <v>157.68100000000001</v>
          </cell>
          <cell r="W119">
            <v>33</v>
          </cell>
          <cell r="X119">
            <v>33</v>
          </cell>
          <cell r="AD119">
            <v>223.68100000000001</v>
          </cell>
          <cell r="AJ119">
            <v>0</v>
          </cell>
          <cell r="AL119">
            <v>0.32500000000000001</v>
          </cell>
          <cell r="AP119">
            <v>0.32500000000000001</v>
          </cell>
          <cell r="AR119">
            <v>1</v>
          </cell>
          <cell r="AT119">
            <v>225.006</v>
          </cell>
          <cell r="AX119">
            <v>225.006</v>
          </cell>
          <cell r="AY119">
            <v>0</v>
          </cell>
          <cell r="AZ119" t="str">
            <v>suppliers</v>
          </cell>
          <cell r="BG119">
            <v>0</v>
          </cell>
          <cell r="BI119">
            <v>0</v>
          </cell>
          <cell r="BO119">
            <v>43</v>
          </cell>
          <cell r="BQ119">
            <v>657.19</v>
          </cell>
          <cell r="BU119">
            <v>657.19</v>
          </cell>
          <cell r="BW119">
            <v>136.5</v>
          </cell>
          <cell r="BX119">
            <v>136.5</v>
          </cell>
          <cell r="BZ119" t="str">
            <v xml:space="preserve"> </v>
          </cell>
          <cell r="CD119">
            <v>930.19</v>
          </cell>
          <cell r="CJ119">
            <v>0</v>
          </cell>
          <cell r="CL119">
            <v>0</v>
          </cell>
          <cell r="CP119">
            <v>0</v>
          </cell>
          <cell r="CT119">
            <v>973.19</v>
          </cell>
          <cell r="CX119">
            <v>973.19</v>
          </cell>
          <cell r="FI119">
            <v>657.19</v>
          </cell>
          <cell r="FJ119">
            <v>136.5</v>
          </cell>
          <cell r="FK119">
            <v>136.5</v>
          </cell>
          <cell r="FN119">
            <v>930.19</v>
          </cell>
          <cell r="FR119">
            <v>0</v>
          </cell>
          <cell r="FS119">
            <v>4.0949999999999998</v>
          </cell>
          <cell r="FT119">
            <v>934.28499999999997</v>
          </cell>
          <cell r="FV119">
            <v>934.28499999999997</v>
          </cell>
          <cell r="FW119" t="str">
            <v>suppliers</v>
          </cell>
          <cell r="FX119">
            <v>930.19</v>
          </cell>
          <cell r="FY119">
            <v>0</v>
          </cell>
          <cell r="GA119">
            <v>930.19</v>
          </cell>
          <cell r="GB119">
            <v>942.6633836440169</v>
          </cell>
          <cell r="GC119">
            <v>934.28499999999997</v>
          </cell>
          <cell r="GD119">
            <v>946.81329555021046</v>
          </cell>
          <cell r="GE119">
            <v>4.0950000000000273</v>
          </cell>
          <cell r="GF119">
            <v>4.1522670506564276</v>
          </cell>
          <cell r="GG119">
            <v>474.0597769922644</v>
          </cell>
          <cell r="GH119">
            <v>0</v>
          </cell>
        </row>
        <row r="120">
          <cell r="A120" t="str">
            <v>program material</v>
          </cell>
          <cell r="I120">
            <v>0</v>
          </cell>
          <cell r="M120" t="str">
            <v xml:space="preserve"> </v>
          </cell>
          <cell r="U120">
            <v>0</v>
          </cell>
          <cell r="W120">
            <v>0</v>
          </cell>
          <cell r="X120">
            <v>0</v>
          </cell>
          <cell r="AD120">
            <v>0</v>
          </cell>
          <cell r="AJ120">
            <v>0</v>
          </cell>
          <cell r="AN120">
            <v>0</v>
          </cell>
          <cell r="AP120">
            <v>0</v>
          </cell>
          <cell r="AT120">
            <v>0</v>
          </cell>
          <cell r="AX120">
            <v>0</v>
          </cell>
          <cell r="AY120">
            <v>0</v>
          </cell>
          <cell r="AZ120" t="str">
            <v>program material</v>
          </cell>
          <cell r="BG120">
            <v>0</v>
          </cell>
          <cell r="BI120">
            <v>0</v>
          </cell>
          <cell r="BU120">
            <v>0</v>
          </cell>
          <cell r="BW120">
            <v>0</v>
          </cell>
          <cell r="BX120">
            <v>0</v>
          </cell>
          <cell r="CD120">
            <v>0</v>
          </cell>
          <cell r="CJ120">
            <v>0</v>
          </cell>
          <cell r="CN120">
            <v>0</v>
          </cell>
          <cell r="CP120">
            <v>0</v>
          </cell>
          <cell r="CT120">
            <v>0</v>
          </cell>
          <cell r="CX120">
            <v>0</v>
          </cell>
          <cell r="FJ120">
            <v>0</v>
          </cell>
          <cell r="FK120">
            <v>0</v>
          </cell>
          <cell r="FN120">
            <v>0</v>
          </cell>
          <cell r="FO120">
            <v>0</v>
          </cell>
          <cell r="FQ120">
            <v>0</v>
          </cell>
          <cell r="FR120">
            <v>0</v>
          </cell>
          <cell r="FS120">
            <v>0</v>
          </cell>
          <cell r="FT120">
            <v>0</v>
          </cell>
          <cell r="FV120">
            <v>0</v>
          </cell>
          <cell r="FW120" t="str">
            <v>program material</v>
          </cell>
          <cell r="FX120">
            <v>0</v>
          </cell>
          <cell r="FY120">
            <v>0</v>
          </cell>
          <cell r="GA120">
            <v>0</v>
          </cell>
          <cell r="GB120">
            <v>0</v>
          </cell>
          <cell r="GC120">
            <v>0</v>
          </cell>
          <cell r="GD120">
            <v>0</v>
          </cell>
          <cell r="GE120">
            <v>0</v>
          </cell>
          <cell r="GF120" t="e">
            <v>#DIV/0!</v>
          </cell>
          <cell r="GG120">
            <v>169.14820081931691</v>
          </cell>
          <cell r="GH120">
            <v>0</v>
          </cell>
          <cell r="GT120" t="str">
            <v xml:space="preserve">דוח דולר  </v>
          </cell>
        </row>
        <row r="121">
          <cell r="A121" t="str">
            <v>sundry</v>
          </cell>
          <cell r="I121">
            <v>0</v>
          </cell>
          <cell r="M121" t="str">
            <v xml:space="preserve"> </v>
          </cell>
          <cell r="O121">
            <v>20</v>
          </cell>
          <cell r="Q121">
            <v>235.922</v>
          </cell>
          <cell r="U121">
            <v>235.922</v>
          </cell>
          <cell r="W121">
            <v>11</v>
          </cell>
          <cell r="X121">
            <v>11</v>
          </cell>
          <cell r="AD121">
            <v>257.92200000000003</v>
          </cell>
          <cell r="AH121">
            <v>0</v>
          </cell>
          <cell r="AJ121">
            <v>0</v>
          </cell>
          <cell r="AL121">
            <v>49</v>
          </cell>
          <cell r="AP121">
            <v>49</v>
          </cell>
          <cell r="AR121">
            <v>2.504</v>
          </cell>
          <cell r="AT121">
            <v>329.42600000000004</v>
          </cell>
          <cell r="AX121">
            <v>329.42600000000004</v>
          </cell>
          <cell r="AZ121" t="str">
            <v>sundry</v>
          </cell>
          <cell r="BG121">
            <v>0</v>
          </cell>
          <cell r="BI121">
            <v>0</v>
          </cell>
          <cell r="BO121">
            <v>1762</v>
          </cell>
          <cell r="BQ121">
            <v>981.41800000000001</v>
          </cell>
          <cell r="BU121">
            <v>981.41800000000001</v>
          </cell>
          <cell r="BW121">
            <v>197.5</v>
          </cell>
          <cell r="BX121">
            <v>197.5</v>
          </cell>
          <cell r="CD121">
            <v>1376.4180000000001</v>
          </cell>
          <cell r="CH121">
            <v>0</v>
          </cell>
          <cell r="CJ121">
            <v>0</v>
          </cell>
          <cell r="CL121">
            <v>210</v>
          </cell>
          <cell r="CP121">
            <v>210</v>
          </cell>
          <cell r="CR121">
            <v>0.40500000000000003</v>
          </cell>
          <cell r="CT121">
            <v>3348.8230000000003</v>
          </cell>
          <cell r="CV121">
            <v>0</v>
          </cell>
          <cell r="CX121">
            <v>3348.8230000000003</v>
          </cell>
          <cell r="FH121">
            <v>81</v>
          </cell>
          <cell r="FI121">
            <v>981.41800000000001</v>
          </cell>
          <cell r="FJ121">
            <v>47.5</v>
          </cell>
          <cell r="FK121">
            <v>47.5</v>
          </cell>
          <cell r="FN121">
            <v>1076.4180000000001</v>
          </cell>
          <cell r="FO121">
            <v>0</v>
          </cell>
          <cell r="FP121">
            <v>203.84</v>
          </cell>
          <cell r="FR121">
            <v>203.84</v>
          </cell>
          <cell r="FS121">
            <v>11.895</v>
          </cell>
          <cell r="FT121">
            <v>1373.153</v>
          </cell>
          <cell r="FU121">
            <v>0</v>
          </cell>
          <cell r="FV121">
            <v>1373.153</v>
          </cell>
          <cell r="FW121" t="str">
            <v>sundry</v>
          </cell>
          <cell r="FX121">
            <v>1076.4180000000001</v>
          </cell>
          <cell r="FY121">
            <v>203.84</v>
          </cell>
          <cell r="GA121">
            <v>1280.258</v>
          </cell>
          <cell r="GB121">
            <v>1297.4256208057727</v>
          </cell>
          <cell r="GC121">
            <v>1373.153</v>
          </cell>
          <cell r="GD121">
            <v>1391.5662963920624</v>
          </cell>
          <cell r="GE121">
            <v>92.894999999999996</v>
          </cell>
          <cell r="GF121">
            <v>4.1683200475979429</v>
          </cell>
          <cell r="GG121">
            <v>2670.3466610525779</v>
          </cell>
          <cell r="GH121">
            <v>0</v>
          </cell>
          <cell r="HJ121" t="str">
            <v>/re~:fr~{U}:fud~</v>
          </cell>
        </row>
        <row r="122">
          <cell r="A122" t="str">
            <v>total acc. rec.</v>
          </cell>
          <cell r="C122">
            <v>-13597.152999999998</v>
          </cell>
          <cell r="E122">
            <v>18208.349999999999</v>
          </cell>
          <cell r="G122">
            <v>-5030.1838852202718</v>
          </cell>
          <cell r="I122">
            <v>-418.98688522027129</v>
          </cell>
          <cell r="M122">
            <v>169.81310096153845</v>
          </cell>
          <cell r="O122">
            <v>4338</v>
          </cell>
          <cell r="Q122">
            <v>6265.49</v>
          </cell>
          <cell r="S122">
            <v>-15.269</v>
          </cell>
          <cell r="U122">
            <v>6250.2209999999995</v>
          </cell>
          <cell r="W122">
            <v>991.5</v>
          </cell>
          <cell r="X122">
            <v>1028</v>
          </cell>
          <cell r="Z122">
            <v>72.872</v>
          </cell>
          <cell r="AB122">
            <v>0</v>
          </cell>
          <cell r="AD122">
            <v>8306.0930000000008</v>
          </cell>
          <cell r="AF122">
            <v>42.854999999999997</v>
          </cell>
          <cell r="AH122">
            <v>0</v>
          </cell>
          <cell r="AJ122">
            <v>42.854999999999997</v>
          </cell>
          <cell r="AL122">
            <v>623.32500000000005</v>
          </cell>
          <cell r="AN122">
            <v>-26.103999999999999</v>
          </cell>
          <cell r="AP122">
            <v>640.07600000000002</v>
          </cell>
          <cell r="AR122">
            <v>1825.7919999999999</v>
          </cell>
          <cell r="AT122">
            <v>14860.879215741266</v>
          </cell>
          <cell r="AV122">
            <v>-5952.0366923076926</v>
          </cell>
          <cell r="AX122">
            <v>8908.8425234335737</v>
          </cell>
          <cell r="AZ122" t="str">
            <v>total acc. rec.</v>
          </cell>
          <cell r="BC122">
            <v>-51364.058000000005</v>
          </cell>
          <cell r="BE122">
            <v>67408.320000000007</v>
          </cell>
          <cell r="BG122">
            <v>-18618.462406415285</v>
          </cell>
          <cell r="BI122">
            <v>-2574.2004064152843</v>
          </cell>
          <cell r="BM122">
            <v>706.42250000000001</v>
          </cell>
          <cell r="BO122">
            <v>18460.5</v>
          </cell>
          <cell r="BQ122">
            <v>25964.621999999996</v>
          </cell>
          <cell r="BS122">
            <v>0</v>
          </cell>
          <cell r="BU122">
            <v>25964.621999999996</v>
          </cell>
          <cell r="BW122">
            <v>4263</v>
          </cell>
          <cell r="BX122">
            <v>4263</v>
          </cell>
          <cell r="BZ122">
            <v>303.14400000000001</v>
          </cell>
          <cell r="CB122">
            <v>0</v>
          </cell>
          <cell r="CD122">
            <v>34793.765999999996</v>
          </cell>
          <cell r="CF122">
            <v>178.279</v>
          </cell>
          <cell r="CH122">
            <v>0</v>
          </cell>
          <cell r="CJ122">
            <v>178.279</v>
          </cell>
          <cell r="CL122">
            <v>2757</v>
          </cell>
          <cell r="CN122">
            <v>-108.59399999999999</v>
          </cell>
          <cell r="CP122">
            <v>2826.6849999999999</v>
          </cell>
          <cell r="CR122">
            <v>7584.1049999999996</v>
          </cell>
          <cell r="CT122">
            <v>61797.663093584706</v>
          </cell>
          <cell r="CV122">
            <v>-23376.774000000001</v>
          </cell>
          <cell r="CX122">
            <v>38420.889093584716</v>
          </cell>
          <cell r="FC122">
            <v>-51363.377999999997</v>
          </cell>
          <cell r="FD122">
            <v>67407.64</v>
          </cell>
          <cell r="FE122">
            <v>-17479.320406415285</v>
          </cell>
          <cell r="FF122">
            <v>-1435.0584064152836</v>
          </cell>
          <cell r="FG122">
            <v>706.42250000000001</v>
          </cell>
          <cell r="FH122">
            <v>18036.5</v>
          </cell>
          <cell r="FI122">
            <v>25978.992999999999</v>
          </cell>
          <cell r="FJ122">
            <v>4128.5</v>
          </cell>
          <cell r="FK122">
            <v>4128.5</v>
          </cell>
          <cell r="FL122">
            <v>89.135000000000005</v>
          </cell>
          <cell r="FM122">
            <v>0</v>
          </cell>
          <cell r="FN122">
            <v>34325.127999999997</v>
          </cell>
          <cell r="FO122">
            <v>178.279</v>
          </cell>
          <cell r="FP122">
            <v>2628</v>
          </cell>
          <cell r="FQ122">
            <v>0</v>
          </cell>
          <cell r="FR122">
            <v>2806.2790000000005</v>
          </cell>
          <cell r="FS122">
            <v>7596.5840000000017</v>
          </cell>
          <cell r="FT122">
            <v>62035.855093584723</v>
          </cell>
          <cell r="FU122">
            <v>-24473.342400000001</v>
          </cell>
          <cell r="FV122">
            <v>37562.512693584715</v>
          </cell>
          <cell r="FW122" t="str">
            <v>total acc. rec.</v>
          </cell>
          <cell r="FX122">
            <v>34325.127999999997</v>
          </cell>
          <cell r="FY122">
            <v>2806.2790000000005</v>
          </cell>
          <cell r="FZ122">
            <v>0</v>
          </cell>
          <cell r="GA122">
            <v>37131.407000000007</v>
          </cell>
          <cell r="GB122">
            <v>37629.320635658441</v>
          </cell>
          <cell r="GC122">
            <v>37562.512693584715</v>
          </cell>
          <cell r="GD122">
            <v>38066.207241430129</v>
          </cell>
          <cell r="GE122">
            <v>431.10569358470821</v>
          </cell>
          <cell r="GF122">
            <v>4.216317955422527</v>
          </cell>
          <cell r="GG122">
            <v>31379.600620210771</v>
          </cell>
          <cell r="GH122">
            <v>0</v>
          </cell>
        </row>
        <row r="123">
          <cell r="FX123">
            <v>0</v>
          </cell>
          <cell r="FY123">
            <v>0</v>
          </cell>
          <cell r="GA123">
            <v>0</v>
          </cell>
          <cell r="GB123">
            <v>0</v>
          </cell>
          <cell r="GC123">
            <v>0</v>
          </cell>
          <cell r="GD123">
            <v>0</v>
          </cell>
          <cell r="GE123">
            <v>0</v>
          </cell>
        </row>
        <row r="124">
          <cell r="A124" t="str">
            <v>INVENTORIES</v>
          </cell>
          <cell r="I124">
            <v>0</v>
          </cell>
          <cell r="O124">
            <v>2104.5</v>
          </cell>
          <cell r="Q124">
            <v>0</v>
          </cell>
          <cell r="U124">
            <v>0</v>
          </cell>
          <cell r="AD124">
            <v>0</v>
          </cell>
          <cell r="AJ124">
            <v>0</v>
          </cell>
          <cell r="AN124">
            <v>0</v>
          </cell>
          <cell r="AP124">
            <v>0</v>
          </cell>
          <cell r="AT124">
            <v>2104.5</v>
          </cell>
          <cell r="AX124">
            <v>2104.5</v>
          </cell>
          <cell r="AY124">
            <v>0</v>
          </cell>
          <cell r="AZ124" t="str">
            <v>INVENTORIES</v>
          </cell>
          <cell r="BG124">
            <v>0</v>
          </cell>
          <cell r="BI124">
            <v>0</v>
          </cell>
          <cell r="BM124">
            <v>8.7769999999999992</v>
          </cell>
          <cell r="BO124">
            <v>8435</v>
          </cell>
          <cell r="BU124">
            <v>0</v>
          </cell>
          <cell r="BW124">
            <v>0</v>
          </cell>
          <cell r="BX124">
            <v>0</v>
          </cell>
          <cell r="CD124">
            <v>0</v>
          </cell>
          <cell r="CJ124">
            <v>0</v>
          </cell>
          <cell r="CN124">
            <v>0</v>
          </cell>
          <cell r="CP124">
            <v>0</v>
          </cell>
          <cell r="CT124">
            <v>8443.777</v>
          </cell>
          <cell r="CX124">
            <v>8443.777</v>
          </cell>
          <cell r="FG124">
            <v>8.7769999999999992</v>
          </cell>
          <cell r="FH124">
            <v>8657</v>
          </cell>
          <cell r="FL124">
            <v>0</v>
          </cell>
          <cell r="FN124">
            <v>0</v>
          </cell>
          <cell r="FO124">
            <v>0</v>
          </cell>
          <cell r="FQ124">
            <v>0</v>
          </cell>
          <cell r="FR124">
            <v>0</v>
          </cell>
          <cell r="FS124">
            <v>0</v>
          </cell>
          <cell r="FT124">
            <v>8665.777</v>
          </cell>
          <cell r="FV124">
            <v>8665.777</v>
          </cell>
          <cell r="FW124" t="str">
            <v>INVENTORIES</v>
          </cell>
          <cell r="FX124">
            <v>0</v>
          </cell>
          <cell r="FY124">
            <v>0</v>
          </cell>
          <cell r="GA124">
            <v>0</v>
          </cell>
          <cell r="GB124">
            <v>0</v>
          </cell>
          <cell r="GC124">
            <v>8665.777</v>
          </cell>
          <cell r="GD124">
            <v>8781.9807444978942</v>
          </cell>
          <cell r="GE124">
            <v>8665.777</v>
          </cell>
          <cell r="GF124">
            <v>4.1177367545735333</v>
          </cell>
          <cell r="GG124">
            <v>8146.5367965382111</v>
          </cell>
          <cell r="GH124">
            <v>0</v>
          </cell>
          <cell r="HJ124" t="str">
            <v>:flb~{D}</v>
          </cell>
        </row>
        <row r="125">
          <cell r="FX125">
            <v>0</v>
          </cell>
          <cell r="FY125">
            <v>0</v>
          </cell>
          <cell r="GA125">
            <v>0</v>
          </cell>
          <cell r="GB125">
            <v>0</v>
          </cell>
          <cell r="GC125">
            <v>0</v>
          </cell>
          <cell r="GD125">
            <v>0</v>
          </cell>
          <cell r="GE125">
            <v>0</v>
          </cell>
        </row>
        <row r="126">
          <cell r="A126" t="str">
            <v>BANKS</v>
          </cell>
          <cell r="AT126">
            <v>0</v>
          </cell>
          <cell r="AY126">
            <v>0</v>
          </cell>
          <cell r="AZ126" t="str">
            <v>BANKS</v>
          </cell>
          <cell r="BX126">
            <v>0</v>
          </cell>
          <cell r="CD126">
            <v>0</v>
          </cell>
          <cell r="CT126">
            <v>0</v>
          </cell>
          <cell r="FL126">
            <v>0</v>
          </cell>
          <cell r="FN126">
            <v>0</v>
          </cell>
          <cell r="FW126" t="str">
            <v>BANKS</v>
          </cell>
          <cell r="FX126">
            <v>0</v>
          </cell>
          <cell r="FY126">
            <v>0</v>
          </cell>
          <cell r="GA126">
            <v>0</v>
          </cell>
          <cell r="GB126">
            <v>0</v>
          </cell>
          <cell r="GC126">
            <v>0</v>
          </cell>
          <cell r="GD126">
            <v>0</v>
          </cell>
          <cell r="GE126">
            <v>0</v>
          </cell>
          <cell r="GF126" t="e">
            <v>#DIV/0!</v>
          </cell>
          <cell r="GH126">
            <v>0</v>
          </cell>
        </row>
        <row r="127">
          <cell r="A127" t="str">
            <v xml:space="preserve">Shekel  accounts                                                   </v>
          </cell>
          <cell r="C127">
            <v>0.871</v>
          </cell>
          <cell r="I127">
            <v>0.871</v>
          </cell>
          <cell r="O127">
            <v>40.5</v>
          </cell>
          <cell r="Q127">
            <v>81.971000000000004</v>
          </cell>
          <cell r="S127" t="str">
            <v xml:space="preserve"> </v>
          </cell>
          <cell r="U127">
            <v>81.971000000000004</v>
          </cell>
          <cell r="W127">
            <v>99.5</v>
          </cell>
          <cell r="X127">
            <v>99.5</v>
          </cell>
          <cell r="Z127">
            <v>12.333</v>
          </cell>
          <cell r="AD127">
            <v>293.30400000000003</v>
          </cell>
          <cell r="AF127">
            <v>16.248000000000001</v>
          </cell>
          <cell r="AJ127">
            <v>16.248000000000001</v>
          </cell>
          <cell r="AL127">
            <v>13</v>
          </cell>
          <cell r="AP127">
            <v>29.248000000000001</v>
          </cell>
          <cell r="AR127">
            <v>8.7769999999999992</v>
          </cell>
          <cell r="AT127">
            <v>372.7</v>
          </cell>
          <cell r="AX127">
            <v>372.7</v>
          </cell>
          <cell r="AY127">
            <v>0</v>
          </cell>
          <cell r="AZ127" t="str">
            <v xml:space="preserve">Shekel  accounts                                                   </v>
          </cell>
          <cell r="BC127">
            <v>3.625</v>
          </cell>
          <cell r="BI127">
            <v>3.625</v>
          </cell>
          <cell r="BO127">
            <v>168.5</v>
          </cell>
          <cell r="BQ127">
            <v>340.7</v>
          </cell>
          <cell r="BS127" t="str">
            <v xml:space="preserve"> </v>
          </cell>
          <cell r="BU127">
            <v>340.7</v>
          </cell>
          <cell r="BW127">
            <v>413.5</v>
          </cell>
          <cell r="BX127">
            <v>413.5</v>
          </cell>
          <cell r="BZ127">
            <v>51.302999999999997</v>
          </cell>
          <cell r="CD127">
            <v>1219.0030000000002</v>
          </cell>
          <cell r="CF127">
            <v>67.59</v>
          </cell>
          <cell r="CJ127">
            <v>67.59</v>
          </cell>
          <cell r="CL127">
            <v>53</v>
          </cell>
          <cell r="CP127">
            <v>120.59</v>
          </cell>
          <cell r="CR127">
            <v>36.517000000000003</v>
          </cell>
          <cell r="CT127">
            <v>1548.2349999999999</v>
          </cell>
          <cell r="CX127">
            <v>1548.2349999999999</v>
          </cell>
          <cell r="FC127">
            <v>3.625</v>
          </cell>
          <cell r="FF127">
            <v>3.625</v>
          </cell>
          <cell r="FH127">
            <v>168.5</v>
          </cell>
          <cell r="FI127">
            <v>340.7</v>
          </cell>
          <cell r="FJ127">
            <v>413.5</v>
          </cell>
          <cell r="FK127">
            <v>413.5</v>
          </cell>
          <cell r="FL127">
            <v>51.302999999999997</v>
          </cell>
          <cell r="FN127">
            <v>1219.0030000000002</v>
          </cell>
          <cell r="FO127">
            <v>67.59</v>
          </cell>
          <cell r="FP127">
            <v>7713</v>
          </cell>
          <cell r="FR127">
            <v>7780.59</v>
          </cell>
          <cell r="FS127">
            <v>36.517000000000003</v>
          </cell>
          <cell r="FT127">
            <v>9208.2350000000006</v>
          </cell>
          <cell r="FV127">
            <v>9208.2350000000006</v>
          </cell>
          <cell r="FW127" t="str">
            <v xml:space="preserve">Shekel  accounts                                                   </v>
          </cell>
          <cell r="FX127">
            <v>1219.0030000000002</v>
          </cell>
          <cell r="FY127">
            <v>7780.59</v>
          </cell>
          <cell r="GA127">
            <v>8999.5930000000008</v>
          </cell>
          <cell r="GB127">
            <v>9120.2730504509927</v>
          </cell>
          <cell r="GC127">
            <v>9208.2350000000006</v>
          </cell>
          <cell r="GD127">
            <v>9331.7128355381828</v>
          </cell>
          <cell r="GE127">
            <v>208.64199999999983</v>
          </cell>
          <cell r="GF127">
            <v>24.706828548430376</v>
          </cell>
          <cell r="GG127">
            <v>10227.441908675792</v>
          </cell>
          <cell r="GH127">
            <v>0</v>
          </cell>
          <cell r="HJ127" t="str">
            <v>{EDIT}{HOME}{R 1} ~</v>
          </cell>
        </row>
        <row r="128">
          <cell r="A128" t="str">
            <v>Shekel deposits</v>
          </cell>
          <cell r="I128">
            <v>0</v>
          </cell>
          <cell r="Q128">
            <v>89.278999999999996</v>
          </cell>
          <cell r="U128">
            <v>89.278999999999996</v>
          </cell>
          <cell r="Z128">
            <v>593.78200000000004</v>
          </cell>
          <cell r="AD128">
            <v>683.06100000000004</v>
          </cell>
          <cell r="AJ128">
            <v>0</v>
          </cell>
          <cell r="AL128">
            <v>1841</v>
          </cell>
          <cell r="AP128">
            <v>1841</v>
          </cell>
          <cell r="AR128">
            <v>636.10199999999998</v>
          </cell>
          <cell r="AT128">
            <v>3160.163</v>
          </cell>
          <cell r="AX128">
            <v>3160.163</v>
          </cell>
          <cell r="AY128">
            <v>0</v>
          </cell>
          <cell r="AZ128" t="str">
            <v>Shekel deposits</v>
          </cell>
          <cell r="BE128">
            <v>0</v>
          </cell>
          <cell r="BI128">
            <v>0</v>
          </cell>
          <cell r="BQ128">
            <v>371.4</v>
          </cell>
          <cell r="BU128">
            <v>371.4</v>
          </cell>
          <cell r="BX128">
            <v>0</v>
          </cell>
          <cell r="BZ128">
            <v>2470.1309999999999</v>
          </cell>
          <cell r="CD128">
            <v>2841.5309999999999</v>
          </cell>
          <cell r="CJ128">
            <v>0</v>
          </cell>
          <cell r="CL128">
            <v>7660</v>
          </cell>
          <cell r="CP128">
            <v>7660</v>
          </cell>
          <cell r="CR128">
            <v>2646.1849999999999</v>
          </cell>
          <cell r="CT128">
            <v>13147.716</v>
          </cell>
          <cell r="CX128">
            <v>13147.716</v>
          </cell>
          <cell r="FI128">
            <v>371.4</v>
          </cell>
          <cell r="FL128">
            <v>2469.1309999999999</v>
          </cell>
          <cell r="FN128">
            <v>2840.5309999999999</v>
          </cell>
          <cell r="FO128">
            <v>0</v>
          </cell>
          <cell r="FR128">
            <v>0</v>
          </cell>
          <cell r="FS128">
            <v>2646.1849999999999</v>
          </cell>
          <cell r="FT128">
            <v>5486.7160000000003</v>
          </cell>
          <cell r="FV128">
            <v>5486.7160000000003</v>
          </cell>
          <cell r="FW128" t="str">
            <v>Shekel deposits</v>
          </cell>
          <cell r="FX128">
            <v>2840.5309999999999</v>
          </cell>
          <cell r="FY128">
            <v>0</v>
          </cell>
          <cell r="GA128">
            <v>2840.5309999999999</v>
          </cell>
          <cell r="GB128">
            <v>2878.6211030066142</v>
          </cell>
          <cell r="GC128">
            <v>5486.7160000000003</v>
          </cell>
          <cell r="GD128">
            <v>5560.2901231509322</v>
          </cell>
          <cell r="GE128">
            <v>2646.1850000000004</v>
          </cell>
          <cell r="GF128">
            <v>1.7362129738244516</v>
          </cell>
          <cell r="GG128">
            <v>2891.392628713234</v>
          </cell>
          <cell r="GH128">
            <v>0</v>
          </cell>
        </row>
        <row r="129">
          <cell r="A129" t="str">
            <v>Cash in banks</v>
          </cell>
          <cell r="C129">
            <v>0.871</v>
          </cell>
          <cell r="E129">
            <v>0</v>
          </cell>
          <cell r="G129">
            <v>0</v>
          </cell>
          <cell r="I129">
            <v>0.871</v>
          </cell>
          <cell r="O129">
            <v>40.5</v>
          </cell>
          <cell r="Q129">
            <v>171.25</v>
          </cell>
          <cell r="S129">
            <v>0</v>
          </cell>
          <cell r="U129">
            <v>171.25</v>
          </cell>
          <cell r="W129">
            <v>99.5</v>
          </cell>
          <cell r="X129">
            <v>99.5</v>
          </cell>
          <cell r="Z129">
            <v>606.11500000000001</v>
          </cell>
          <cell r="AB129">
            <v>0</v>
          </cell>
          <cell r="AD129">
            <v>976.36500000000001</v>
          </cell>
          <cell r="AF129">
            <v>16.248000000000001</v>
          </cell>
          <cell r="AH129">
            <v>0</v>
          </cell>
          <cell r="AJ129">
            <v>16.248000000000001</v>
          </cell>
          <cell r="AL129">
            <v>1854</v>
          </cell>
          <cell r="AN129">
            <v>0</v>
          </cell>
          <cell r="AP129">
            <v>1870.248</v>
          </cell>
          <cell r="AR129">
            <v>644.87900000000002</v>
          </cell>
          <cell r="AT129">
            <v>3532.8629999999998</v>
          </cell>
          <cell r="AV129">
            <v>0</v>
          </cell>
          <cell r="AX129">
            <v>3532.8629999999998</v>
          </cell>
          <cell r="AY129">
            <v>0</v>
          </cell>
          <cell r="AZ129" t="str">
            <v>Cash in banks</v>
          </cell>
          <cell r="BC129">
            <v>3.625</v>
          </cell>
          <cell r="BE129">
            <v>0</v>
          </cell>
          <cell r="BG129">
            <v>0</v>
          </cell>
          <cell r="BI129">
            <v>3.625</v>
          </cell>
          <cell r="BM129">
            <v>0</v>
          </cell>
          <cell r="BO129">
            <v>168.5</v>
          </cell>
          <cell r="BQ129">
            <v>712.1</v>
          </cell>
          <cell r="BS129">
            <v>0</v>
          </cell>
          <cell r="BU129">
            <v>712.1</v>
          </cell>
          <cell r="BW129">
            <v>413.5</v>
          </cell>
          <cell r="BX129">
            <v>413.5</v>
          </cell>
          <cell r="BZ129">
            <v>2521.4339999999997</v>
          </cell>
          <cell r="CB129">
            <v>0</v>
          </cell>
          <cell r="CD129">
            <v>4060.5339999999997</v>
          </cell>
          <cell r="CF129">
            <v>67.59</v>
          </cell>
          <cell r="CH129">
            <v>0</v>
          </cell>
          <cell r="CJ129">
            <v>67.59</v>
          </cell>
          <cell r="CL129">
            <v>7713</v>
          </cell>
          <cell r="CP129">
            <v>7780.59</v>
          </cell>
          <cell r="CR129">
            <v>2682.7019999999998</v>
          </cell>
          <cell r="CT129">
            <v>14695.951000000001</v>
          </cell>
          <cell r="CV129">
            <v>0</v>
          </cell>
          <cell r="CX129">
            <v>14695.951000000001</v>
          </cell>
          <cell r="FC129">
            <v>3.625</v>
          </cell>
          <cell r="FD129">
            <v>0</v>
          </cell>
          <cell r="FE129">
            <v>0</v>
          </cell>
          <cell r="FF129">
            <v>3.625</v>
          </cell>
          <cell r="FG129">
            <v>0</v>
          </cell>
          <cell r="FH129">
            <v>168.5</v>
          </cell>
          <cell r="FI129">
            <v>712.1</v>
          </cell>
          <cell r="FJ129">
            <v>413.5</v>
          </cell>
          <cell r="FK129">
            <v>413.5</v>
          </cell>
          <cell r="FL129">
            <v>2520.4339999999997</v>
          </cell>
          <cell r="FM129">
            <v>0</v>
          </cell>
          <cell r="FN129">
            <v>4059.5340000000001</v>
          </cell>
          <cell r="FO129">
            <v>67.59</v>
          </cell>
          <cell r="FP129">
            <v>7713</v>
          </cell>
          <cell r="FQ129">
            <v>0</v>
          </cell>
          <cell r="FR129">
            <v>7780.59</v>
          </cell>
          <cell r="FS129">
            <v>2682.7019999999998</v>
          </cell>
          <cell r="FT129">
            <v>14694.951000000001</v>
          </cell>
          <cell r="FU129">
            <v>0</v>
          </cell>
          <cell r="FV129">
            <v>14694.951000000001</v>
          </cell>
          <cell r="FW129" t="str">
            <v>Cash in banks</v>
          </cell>
          <cell r="FX129">
            <v>4059.5340000000001</v>
          </cell>
          <cell r="FY129">
            <v>7780.59</v>
          </cell>
          <cell r="FZ129">
            <v>0</v>
          </cell>
          <cell r="GA129">
            <v>11840.124</v>
          </cell>
          <cell r="GB129">
            <v>11998.894153457608</v>
          </cell>
          <cell r="GC129">
            <v>14694.951000000001</v>
          </cell>
          <cell r="GD129">
            <v>14892.002958689114</v>
          </cell>
          <cell r="GE129">
            <v>2854.8270000000011</v>
          </cell>
          <cell r="GF129">
            <v>4.1595020808902019</v>
          </cell>
          <cell r="GG129">
            <v>13118.834537389024</v>
          </cell>
          <cell r="GH129">
            <v>0</v>
          </cell>
          <cell r="HJ129" t="str">
            <v>{EDIT}{HOME}{R 1}{DELETE 1}~</v>
          </cell>
        </row>
        <row r="130">
          <cell r="FX130">
            <v>0</v>
          </cell>
          <cell r="FY130">
            <v>0</v>
          </cell>
          <cell r="GA130">
            <v>0</v>
          </cell>
          <cell r="GB130">
            <v>0</v>
          </cell>
          <cell r="GC130">
            <v>0</v>
          </cell>
          <cell r="GD130">
            <v>0</v>
          </cell>
          <cell r="GE130">
            <v>0</v>
          </cell>
        </row>
        <row r="131">
          <cell r="A131" t="str">
            <v>Total curr.ass.</v>
          </cell>
          <cell r="C131">
            <v>-13596.281999999999</v>
          </cell>
          <cell r="E131">
            <v>18208.349999999999</v>
          </cell>
          <cell r="G131">
            <v>-5030.1838852202718</v>
          </cell>
          <cell r="I131">
            <v>-418.11588522027131</v>
          </cell>
          <cell r="M131">
            <v>169.81310096153845</v>
          </cell>
          <cell r="O131">
            <v>6483</v>
          </cell>
          <cell r="Q131">
            <v>6436.74</v>
          </cell>
          <cell r="S131">
            <v>-15.269</v>
          </cell>
          <cell r="U131">
            <v>6421.4709999999995</v>
          </cell>
          <cell r="W131">
            <v>1091</v>
          </cell>
          <cell r="X131">
            <v>1127.5</v>
          </cell>
          <cell r="Z131">
            <v>678.98699999999997</v>
          </cell>
          <cell r="AB131">
            <v>0</v>
          </cell>
          <cell r="AD131">
            <v>9282.4580000000005</v>
          </cell>
          <cell r="AF131">
            <v>59.103000000000009</v>
          </cell>
          <cell r="AH131">
            <v>0</v>
          </cell>
          <cell r="AJ131">
            <v>59.103000000000009</v>
          </cell>
          <cell r="AL131">
            <v>2477.3249999999998</v>
          </cell>
          <cell r="AN131">
            <v>-26.103999999999999</v>
          </cell>
          <cell r="AP131">
            <v>2510.3240000000001</v>
          </cell>
          <cell r="AR131">
            <v>2470.6709999999998</v>
          </cell>
          <cell r="AT131">
            <v>20498.242215741266</v>
          </cell>
          <cell r="AV131">
            <v>-5952.0366923076926</v>
          </cell>
          <cell r="AX131">
            <v>14546.205523433573</v>
          </cell>
          <cell r="AY131">
            <v>0</v>
          </cell>
          <cell r="AZ131" t="str">
            <v>Total curr.ass.</v>
          </cell>
          <cell r="BC131">
            <v>-51360.433000000005</v>
          </cell>
          <cell r="BE131">
            <v>67408.320000000007</v>
          </cell>
          <cell r="BG131">
            <v>-18618.462406415285</v>
          </cell>
          <cell r="BI131">
            <v>-2570.5754064152843</v>
          </cell>
          <cell r="BM131">
            <v>715.19949999999994</v>
          </cell>
          <cell r="BO131">
            <v>27064</v>
          </cell>
          <cell r="BQ131">
            <v>26676.721999999994</v>
          </cell>
          <cell r="BS131">
            <v>0</v>
          </cell>
          <cell r="BU131">
            <v>26676.721999999994</v>
          </cell>
          <cell r="BW131">
            <v>4676.5</v>
          </cell>
          <cell r="BX131">
            <v>4676.5</v>
          </cell>
          <cell r="BZ131">
            <v>2824.5779999999995</v>
          </cell>
          <cell r="CB131">
            <v>0</v>
          </cell>
          <cell r="CD131">
            <v>38854.300000000003</v>
          </cell>
          <cell r="CF131">
            <v>245.869</v>
          </cell>
          <cell r="CH131">
            <v>0</v>
          </cell>
          <cell r="CJ131">
            <v>245.869</v>
          </cell>
          <cell r="CL131">
            <v>10470</v>
          </cell>
          <cell r="CN131">
            <v>-108.59399999999999</v>
          </cell>
          <cell r="CP131">
            <v>10607.275</v>
          </cell>
          <cell r="CR131">
            <v>10266.806999999999</v>
          </cell>
          <cell r="CT131">
            <v>84937.391093584709</v>
          </cell>
          <cell r="CV131">
            <v>-23376.774000000001</v>
          </cell>
          <cell r="CX131">
            <v>61560.617093584719</v>
          </cell>
          <cell r="FC131">
            <v>-51359.752999999997</v>
          </cell>
          <cell r="FD131">
            <v>67407.64</v>
          </cell>
          <cell r="FE131">
            <v>-17479.320406415285</v>
          </cell>
          <cell r="FF131">
            <v>-1431.4334064152836</v>
          </cell>
          <cell r="FG131">
            <v>715.19949999999994</v>
          </cell>
          <cell r="FH131">
            <v>26862</v>
          </cell>
          <cell r="FI131">
            <v>26691.092999999997</v>
          </cell>
          <cell r="FJ131">
            <v>4542</v>
          </cell>
          <cell r="FK131">
            <v>4542</v>
          </cell>
          <cell r="FL131">
            <v>2609.569</v>
          </cell>
          <cell r="FM131">
            <v>0</v>
          </cell>
          <cell r="FN131">
            <v>38384.661999999997</v>
          </cell>
          <cell r="FO131">
            <v>245.869</v>
          </cell>
          <cell r="FP131">
            <v>10341</v>
          </cell>
          <cell r="FQ131">
            <v>0</v>
          </cell>
          <cell r="FR131">
            <v>10586.869000000001</v>
          </cell>
          <cell r="FS131">
            <v>10279.286000000002</v>
          </cell>
          <cell r="FT131">
            <v>85396.583093584719</v>
          </cell>
          <cell r="FU131">
            <v>-24473.342400000001</v>
          </cell>
          <cell r="FV131">
            <v>60923.240693584718</v>
          </cell>
          <cell r="FW131" t="str">
            <v>Total curr.ass.</v>
          </cell>
          <cell r="FX131">
            <v>38384.661999999997</v>
          </cell>
          <cell r="FY131">
            <v>10586.869000000001</v>
          </cell>
          <cell r="FZ131">
            <v>0</v>
          </cell>
          <cell r="GA131">
            <v>48971.531000000003</v>
          </cell>
          <cell r="GB131">
            <v>49628.214789116049</v>
          </cell>
          <cell r="GC131">
            <v>60923.240693584718</v>
          </cell>
          <cell r="GD131">
            <v>61740.190944617134</v>
          </cell>
          <cell r="GE131">
            <v>11951.709693584715</v>
          </cell>
          <cell r="GF131">
            <v>4.1882565591032588</v>
          </cell>
          <cell r="GG131">
            <v>52644.971954138004</v>
          </cell>
          <cell r="GH131">
            <v>0</v>
          </cell>
        </row>
        <row r="132">
          <cell r="FX132">
            <v>0</v>
          </cell>
          <cell r="FY132">
            <v>0</v>
          </cell>
          <cell r="GA132">
            <v>0</v>
          </cell>
          <cell r="GB132">
            <v>0</v>
          </cell>
          <cell r="GC132">
            <v>0</v>
          </cell>
          <cell r="GD132">
            <v>0</v>
          </cell>
          <cell r="GE132">
            <v>0</v>
          </cell>
        </row>
        <row r="133">
          <cell r="A133" t="str">
            <v>DEFERRED EXP.</v>
          </cell>
          <cell r="AT133">
            <v>0</v>
          </cell>
          <cell r="AX133">
            <v>0</v>
          </cell>
          <cell r="AY133">
            <v>0</v>
          </cell>
          <cell r="AZ133" t="str">
            <v>DEF0ED EXP.</v>
          </cell>
          <cell r="BX133">
            <v>0</v>
          </cell>
          <cell r="CD133">
            <v>0</v>
          </cell>
          <cell r="CT133">
            <v>0</v>
          </cell>
          <cell r="FG133">
            <v>0</v>
          </cell>
          <cell r="FW133" t="str">
            <v>DEFERRED EXP.</v>
          </cell>
          <cell r="FX133">
            <v>0</v>
          </cell>
          <cell r="FY133">
            <v>0</v>
          </cell>
          <cell r="GA133">
            <v>0</v>
          </cell>
          <cell r="GB133">
            <v>0</v>
          </cell>
          <cell r="GC133">
            <v>0</v>
          </cell>
          <cell r="GD133">
            <v>0</v>
          </cell>
          <cell r="GE133">
            <v>0</v>
          </cell>
          <cell r="GF133" t="e">
            <v>#DIV/0!</v>
          </cell>
          <cell r="GH133">
            <v>0</v>
          </cell>
          <cell r="HJ133" t="str">
            <v>{EDIT}{home}+"-"&amp;@string({end},0)&amp;" באור"~{d}</v>
          </cell>
        </row>
        <row r="134">
          <cell r="A134" t="str">
            <v>franchises</v>
          </cell>
          <cell r="C134">
            <v>36.124000000000002</v>
          </cell>
          <cell r="I134">
            <v>36.124000000000002</v>
          </cell>
          <cell r="Q134">
            <v>245.75</v>
          </cell>
          <cell r="U134">
            <v>245.75</v>
          </cell>
          <cell r="Z134">
            <v>320.80099999999999</v>
          </cell>
          <cell r="AD134">
            <v>566.55099999999993</v>
          </cell>
          <cell r="AJ134">
            <v>0</v>
          </cell>
          <cell r="AL134">
            <v>33</v>
          </cell>
          <cell r="AP134">
            <v>33</v>
          </cell>
          <cell r="AT134">
            <v>635.67499999999995</v>
          </cell>
          <cell r="AX134">
            <v>635.67499999999995</v>
          </cell>
          <cell r="AY134">
            <v>0</v>
          </cell>
          <cell r="AZ134" t="str">
            <v>franchises</v>
          </cell>
          <cell r="BA134" t="str">
            <v>-franchises</v>
          </cell>
          <cell r="BC134">
            <v>58.728999999999999</v>
          </cell>
          <cell r="BI134">
            <v>58.728999999999999</v>
          </cell>
          <cell r="BQ134">
            <v>460.12</v>
          </cell>
          <cell r="BU134">
            <v>460.12</v>
          </cell>
          <cell r="BX134">
            <v>0</v>
          </cell>
          <cell r="BZ134">
            <v>1000</v>
          </cell>
          <cell r="CD134">
            <v>1460.12</v>
          </cell>
          <cell r="CJ134">
            <v>0</v>
          </cell>
          <cell r="CL134">
            <v>78</v>
          </cell>
          <cell r="CP134">
            <v>78</v>
          </cell>
          <cell r="CT134">
            <v>1596.8489999999999</v>
          </cell>
          <cell r="CX134">
            <v>1596.8489999999999</v>
          </cell>
          <cell r="FC134">
            <v>157.72999999999999</v>
          </cell>
          <cell r="FF134">
            <v>157.72999999999999</v>
          </cell>
          <cell r="FI134">
            <v>1296.7190000000001</v>
          </cell>
          <cell r="FL134">
            <v>1227</v>
          </cell>
          <cell r="FN134">
            <v>2523.7190000000001</v>
          </cell>
          <cell r="FO134">
            <v>0</v>
          </cell>
          <cell r="FP134">
            <v>178.13977792292621</v>
          </cell>
          <cell r="FR134">
            <v>178.13977792292621</v>
          </cell>
          <cell r="FS134">
            <v>0</v>
          </cell>
          <cell r="FT134">
            <v>2859.5887779229261</v>
          </cell>
          <cell r="FV134">
            <v>2859.5887779229261</v>
          </cell>
          <cell r="FW134" t="str">
            <v>franchises</v>
          </cell>
          <cell r="FX134">
            <v>2523.7190000000001</v>
          </cell>
          <cell r="FY134">
            <v>178.13977792292621</v>
          </cell>
          <cell r="GA134">
            <v>2701.8587779229265</v>
          </cell>
          <cell r="GB134">
            <v>2738.0893556425181</v>
          </cell>
          <cell r="GC134">
            <v>2859.5887779229261</v>
          </cell>
          <cell r="GD134">
            <v>2897.934436219788</v>
          </cell>
          <cell r="GE134">
            <v>157.72999999999999</v>
          </cell>
          <cell r="GF134">
            <v>4.4985075359624433</v>
          </cell>
          <cell r="GG134">
            <v>2861.3104408883087</v>
          </cell>
          <cell r="GH134">
            <v>0</v>
          </cell>
        </row>
        <row r="135">
          <cell r="A135" t="str">
            <v>Goodwill-(GC. &amp; G.Lines)</v>
          </cell>
          <cell r="C135">
            <v>290.52199999999999</v>
          </cell>
          <cell r="I135">
            <v>290.52199999999999</v>
          </cell>
          <cell r="U135">
            <v>0</v>
          </cell>
          <cell r="AD135">
            <v>0</v>
          </cell>
          <cell r="AJ135">
            <v>0</v>
          </cell>
          <cell r="AP135">
            <v>0</v>
          </cell>
          <cell r="AT135">
            <v>290.52199999999999</v>
          </cell>
          <cell r="AV135">
            <v>82510.197</v>
          </cell>
          <cell r="AX135">
            <v>82800.718999999997</v>
          </cell>
          <cell r="AY135">
            <v>0</v>
          </cell>
          <cell r="AZ135" t="str">
            <v>Goodwill-(GC. &amp; G.Lines)</v>
          </cell>
          <cell r="BC135">
            <v>621.57799999999997</v>
          </cell>
          <cell r="BG135">
            <v>0</v>
          </cell>
          <cell r="BI135">
            <v>621.57799999999997</v>
          </cell>
          <cell r="BU135">
            <v>0</v>
          </cell>
          <cell r="BX135">
            <v>0</v>
          </cell>
          <cell r="CD135">
            <v>0</v>
          </cell>
          <cell r="CJ135">
            <v>0</v>
          </cell>
          <cell r="CP135">
            <v>0</v>
          </cell>
          <cell r="CT135">
            <v>621.57799999999997</v>
          </cell>
          <cell r="CV135">
            <v>356411.43</v>
          </cell>
          <cell r="CX135">
            <v>357033.00800000003</v>
          </cell>
          <cell r="FC135">
            <v>1651.78</v>
          </cell>
          <cell r="FF135">
            <v>1651.78</v>
          </cell>
          <cell r="FN135">
            <v>0</v>
          </cell>
          <cell r="FO135">
            <v>0</v>
          </cell>
          <cell r="FR135">
            <v>0</v>
          </cell>
          <cell r="FS135">
            <v>0</v>
          </cell>
          <cell r="FT135">
            <v>1651.78</v>
          </cell>
          <cell r="FU135">
            <v>333205.70900000003</v>
          </cell>
          <cell r="FV135">
            <v>334857.48900000006</v>
          </cell>
          <cell r="FW135" t="str">
            <v>Goodwill-(GC. &amp; G.Lines)</v>
          </cell>
          <cell r="FX135">
            <v>0</v>
          </cell>
          <cell r="FY135">
            <v>0</v>
          </cell>
          <cell r="FZ135">
            <v>328977.70900000003</v>
          </cell>
          <cell r="GA135">
            <v>328977.70900000003</v>
          </cell>
          <cell r="GB135">
            <v>333389.13588556828</v>
          </cell>
          <cell r="GC135">
            <v>334857.48900000006</v>
          </cell>
          <cell r="GD135">
            <v>339347.76080078178</v>
          </cell>
          <cell r="GE135">
            <v>5879.7800000000279</v>
          </cell>
          <cell r="GF135">
            <v>4.0441374548933577</v>
          </cell>
          <cell r="GG135">
            <v>1651.0516002612674</v>
          </cell>
          <cell r="GH135">
            <v>0</v>
          </cell>
        </row>
        <row r="136">
          <cell r="A136" t="str">
            <v>leashold impr.</v>
          </cell>
          <cell r="I136" t="str">
            <v xml:space="preserve"> </v>
          </cell>
          <cell r="O136">
            <v>154.5</v>
          </cell>
          <cell r="Q136">
            <v>3124.7869999999998</v>
          </cell>
          <cell r="U136">
            <v>3124.7869999999998</v>
          </cell>
          <cell r="W136">
            <v>91.5</v>
          </cell>
          <cell r="X136">
            <v>91.5</v>
          </cell>
          <cell r="AD136">
            <v>3307.7869999999998</v>
          </cell>
          <cell r="AJ136">
            <v>0</v>
          </cell>
          <cell r="AL136">
            <v>70</v>
          </cell>
          <cell r="AP136">
            <v>70</v>
          </cell>
          <cell r="AT136">
            <v>3532.2869999999998</v>
          </cell>
          <cell r="AX136">
            <v>3532.2869999999998</v>
          </cell>
          <cell r="AY136">
            <v>0</v>
          </cell>
          <cell r="AZ136" t="str">
            <v>leashold impr.</v>
          </cell>
          <cell r="BI136">
            <v>0</v>
          </cell>
          <cell r="BO136">
            <v>654</v>
          </cell>
          <cell r="BQ136">
            <v>10061.714</v>
          </cell>
          <cell r="BU136">
            <v>10061.714</v>
          </cell>
          <cell r="BX136">
            <v>0</v>
          </cell>
          <cell r="CD136">
            <v>10061.714</v>
          </cell>
          <cell r="CJ136">
            <v>0</v>
          </cell>
          <cell r="CL136">
            <v>213</v>
          </cell>
          <cell r="CP136">
            <v>213</v>
          </cell>
          <cell r="CT136">
            <v>10928.714</v>
          </cell>
          <cell r="CX136">
            <v>10928.714</v>
          </cell>
          <cell r="FH136">
            <v>625.5</v>
          </cell>
          <cell r="FI136">
            <v>13280.342000000001</v>
          </cell>
          <cell r="FJ136">
            <v>417</v>
          </cell>
          <cell r="FK136">
            <v>417</v>
          </cell>
          <cell r="FN136">
            <v>14114.342000000001</v>
          </cell>
          <cell r="FO136">
            <v>0</v>
          </cell>
          <cell r="FR136">
            <v>0</v>
          </cell>
          <cell r="FS136">
            <v>0</v>
          </cell>
          <cell r="FT136">
            <v>14739.842000000001</v>
          </cell>
          <cell r="FV136">
            <v>14739.842000000001</v>
          </cell>
          <cell r="FW136" t="str">
            <v>leashold impr.</v>
          </cell>
          <cell r="FX136">
            <v>14114.342000000001</v>
          </cell>
          <cell r="FY136">
            <v>0</v>
          </cell>
          <cell r="GA136">
            <v>14114.342000000001</v>
          </cell>
          <cell r="GB136">
            <v>14303.608281779916</v>
          </cell>
          <cell r="GC136">
            <v>14739.842000000001</v>
          </cell>
          <cell r="GD136">
            <v>14937.495924594108</v>
          </cell>
          <cell r="GE136">
            <v>625.5</v>
          </cell>
          <cell r="GF136">
            <v>4.1728891225429878</v>
          </cell>
          <cell r="GG136">
            <v>7570.1400189418691</v>
          </cell>
          <cell r="GH136">
            <v>0</v>
          </cell>
        </row>
        <row r="137">
          <cell r="A137" t="str">
            <v>fraction:l.o.+s.p.</v>
          </cell>
          <cell r="I137">
            <v>0</v>
          </cell>
          <cell r="Q137">
            <v>588</v>
          </cell>
          <cell r="U137">
            <v>588</v>
          </cell>
          <cell r="AD137">
            <v>588</v>
          </cell>
          <cell r="AJ137">
            <v>0</v>
          </cell>
          <cell r="AP137">
            <v>0</v>
          </cell>
          <cell r="AT137">
            <v>588</v>
          </cell>
          <cell r="AX137">
            <v>588</v>
          </cell>
          <cell r="AY137">
            <v>0</v>
          </cell>
          <cell r="AZ137" t="str">
            <v>fraction:l.o.+s.p.</v>
          </cell>
          <cell r="BI137">
            <v>0</v>
          </cell>
          <cell r="BQ137">
            <v>1430.056</v>
          </cell>
          <cell r="BU137">
            <v>1430.056</v>
          </cell>
          <cell r="BX137">
            <v>0</v>
          </cell>
          <cell r="CD137">
            <v>1430.056</v>
          </cell>
          <cell r="CJ137">
            <v>0</v>
          </cell>
          <cell r="CP137">
            <v>0</v>
          </cell>
          <cell r="CT137">
            <v>1430.056</v>
          </cell>
          <cell r="CX137">
            <v>1430.056</v>
          </cell>
          <cell r="FI137">
            <v>3220.1909999999998</v>
          </cell>
          <cell r="FN137">
            <v>3220.1909999999998</v>
          </cell>
          <cell r="FO137">
            <v>0</v>
          </cell>
          <cell r="FP137">
            <v>1094.9595035924233</v>
          </cell>
          <cell r="FR137">
            <v>1094.9595035924233</v>
          </cell>
          <cell r="FS137">
            <v>0</v>
          </cell>
          <cell r="FT137">
            <v>4315.1505035924229</v>
          </cell>
          <cell r="FV137">
            <v>4315.1505035924229</v>
          </cell>
          <cell r="FW137" t="str">
            <v>fraction:l.o.+s.p.</v>
          </cell>
          <cell r="FX137">
            <v>3220.1909999999998</v>
          </cell>
          <cell r="FY137">
            <v>1094.9595035924233</v>
          </cell>
          <cell r="GA137">
            <v>4315.1505035924229</v>
          </cell>
          <cell r="GB137">
            <v>4373.014518162543</v>
          </cell>
          <cell r="GC137">
            <v>4315.1505035924229</v>
          </cell>
          <cell r="GD137">
            <v>4373.014518162543</v>
          </cell>
          <cell r="GE137">
            <v>0</v>
          </cell>
          <cell r="GF137">
            <v>7.3386913326401748</v>
          </cell>
          <cell r="GG137">
            <v>3220.1936616590469</v>
          </cell>
          <cell r="GH137">
            <v>0</v>
          </cell>
        </row>
        <row r="138">
          <cell r="A138" t="str">
            <v>Bezek</v>
          </cell>
          <cell r="I138">
            <v>0</v>
          </cell>
          <cell r="Q138">
            <v>3624.7669999999998</v>
          </cell>
          <cell r="U138">
            <v>3624.7669999999998</v>
          </cell>
          <cell r="AD138">
            <v>3624.7669999999998</v>
          </cell>
          <cell r="AJ138">
            <v>0</v>
          </cell>
          <cell r="AP138">
            <v>0</v>
          </cell>
          <cell r="AT138">
            <v>3624.7669999999998</v>
          </cell>
          <cell r="AX138">
            <v>3624.7669999999998</v>
          </cell>
          <cell r="AY138">
            <v>0</v>
          </cell>
          <cell r="AZ138" t="str">
            <v>Bezek</v>
          </cell>
          <cell r="BI138">
            <v>0</v>
          </cell>
          <cell r="BQ138">
            <v>12122.939</v>
          </cell>
          <cell r="BU138">
            <v>12122.939</v>
          </cell>
          <cell r="BX138">
            <v>0</v>
          </cell>
          <cell r="CD138">
            <v>12122.939</v>
          </cell>
          <cell r="CJ138">
            <v>0</v>
          </cell>
          <cell r="CP138">
            <v>0</v>
          </cell>
          <cell r="CT138">
            <v>12122.939</v>
          </cell>
          <cell r="CX138">
            <v>12122.939</v>
          </cell>
          <cell r="FI138">
            <v>14130.727999999999</v>
          </cell>
          <cell r="FN138">
            <v>14130.727999999999</v>
          </cell>
          <cell r="FO138">
            <v>0</v>
          </cell>
          <cell r="FR138">
            <v>0</v>
          </cell>
          <cell r="FS138">
            <v>0</v>
          </cell>
          <cell r="FT138">
            <v>14130.727999999999</v>
          </cell>
          <cell r="FV138">
            <v>14130.727999999999</v>
          </cell>
          <cell r="FW138" t="str">
            <v>Bezek</v>
          </cell>
          <cell r="FX138">
            <v>14130.727999999999</v>
          </cell>
          <cell r="FY138">
            <v>0</v>
          </cell>
          <cell r="GA138">
            <v>14130.727999999999</v>
          </cell>
          <cell r="GB138">
            <v>14320.214009861695</v>
          </cell>
          <cell r="GC138">
            <v>14130.727999999999</v>
          </cell>
          <cell r="GD138">
            <v>14320.214009861695</v>
          </cell>
          <cell r="GE138">
            <v>0</v>
          </cell>
          <cell r="GF138">
            <v>3.8983824339605828</v>
          </cell>
          <cell r="GG138">
            <v>11455.795459177009</v>
          </cell>
          <cell r="GH138">
            <v>0</v>
          </cell>
        </row>
        <row r="139">
          <cell r="A139" t="str">
            <v>software/other</v>
          </cell>
          <cell r="I139">
            <v>0</v>
          </cell>
          <cell r="Q139">
            <v>2032.921</v>
          </cell>
          <cell r="U139">
            <v>2032.921</v>
          </cell>
          <cell r="W139">
            <v>623</v>
          </cell>
          <cell r="X139">
            <v>623</v>
          </cell>
          <cell r="AD139">
            <v>3278.9210000000003</v>
          </cell>
          <cell r="AJ139">
            <v>0</v>
          </cell>
          <cell r="AL139">
            <v>181</v>
          </cell>
          <cell r="AN139">
            <v>0</v>
          </cell>
          <cell r="AP139">
            <v>181</v>
          </cell>
          <cell r="AR139">
            <v>0</v>
          </cell>
          <cell r="AT139">
            <v>3459.9210000000003</v>
          </cell>
          <cell r="AX139">
            <v>3459.9210000000003</v>
          </cell>
          <cell r="AY139">
            <v>0</v>
          </cell>
          <cell r="AZ139" t="str">
            <v>software/other</v>
          </cell>
          <cell r="BC139">
            <v>0</v>
          </cell>
          <cell r="BE139">
            <v>0</v>
          </cell>
          <cell r="BG139">
            <v>0</v>
          </cell>
          <cell r="BI139">
            <v>0</v>
          </cell>
          <cell r="BQ139">
            <v>6112.6610000000001</v>
          </cell>
          <cell r="BU139">
            <v>6112.6610000000001</v>
          </cell>
          <cell r="BW139">
            <v>2385.5</v>
          </cell>
          <cell r="BX139">
            <v>2385.5</v>
          </cell>
          <cell r="CD139">
            <v>10883.661</v>
          </cell>
          <cell r="CH139">
            <v>0</v>
          </cell>
          <cell r="CJ139">
            <v>0</v>
          </cell>
          <cell r="CL139">
            <v>424</v>
          </cell>
          <cell r="CN139">
            <v>0</v>
          </cell>
          <cell r="CP139">
            <v>424</v>
          </cell>
          <cell r="CR139">
            <v>0</v>
          </cell>
          <cell r="CT139">
            <v>11307.661</v>
          </cell>
          <cell r="CV139">
            <v>0</v>
          </cell>
          <cell r="CX139">
            <v>11307.661</v>
          </cell>
          <cell r="FI139">
            <v>8419.5370000000003</v>
          </cell>
          <cell r="FJ139">
            <v>2927.5</v>
          </cell>
          <cell r="FK139">
            <v>2927.5</v>
          </cell>
          <cell r="FN139">
            <v>14274.537</v>
          </cell>
          <cell r="FO139">
            <v>0</v>
          </cell>
          <cell r="FQ139">
            <v>0</v>
          </cell>
          <cell r="FR139">
            <v>0</v>
          </cell>
          <cell r="FS139">
            <v>0</v>
          </cell>
          <cell r="FT139">
            <v>14274.537</v>
          </cell>
          <cell r="FU139">
            <v>0</v>
          </cell>
          <cell r="FV139">
            <v>14274.537</v>
          </cell>
          <cell r="FW139" t="str">
            <v>software/other</v>
          </cell>
          <cell r="FX139">
            <v>14274.537</v>
          </cell>
          <cell r="FY139">
            <v>0</v>
          </cell>
          <cell r="GA139">
            <v>14274.537</v>
          </cell>
          <cell r="GB139">
            <v>14465.95141677691</v>
          </cell>
          <cell r="GC139">
            <v>14274.537</v>
          </cell>
          <cell r="GD139">
            <v>14465.95141677691</v>
          </cell>
          <cell r="GE139">
            <v>0</v>
          </cell>
          <cell r="GF139">
            <v>4.125682927442563</v>
          </cell>
          <cell r="GG139">
            <v>8800.8968824297863</v>
          </cell>
          <cell r="GH139">
            <v>0</v>
          </cell>
        </row>
        <row r="140">
          <cell r="A140" t="str">
            <v>total cost</v>
          </cell>
          <cell r="C140">
            <v>326.64600000000002</v>
          </cell>
          <cell r="E140">
            <v>0</v>
          </cell>
          <cell r="G140">
            <v>0</v>
          </cell>
          <cell r="I140">
            <v>326.64600000000002</v>
          </cell>
          <cell r="O140">
            <v>154.5</v>
          </cell>
          <cell r="Q140">
            <v>9616.2250000000004</v>
          </cell>
          <cell r="S140">
            <v>0</v>
          </cell>
          <cell r="U140">
            <v>9616.2250000000004</v>
          </cell>
          <cell r="W140">
            <v>714.5</v>
          </cell>
          <cell r="X140">
            <v>714.5</v>
          </cell>
          <cell r="Z140">
            <v>320.80099999999999</v>
          </cell>
          <cell r="AB140">
            <v>0</v>
          </cell>
          <cell r="AD140">
            <v>11366.026</v>
          </cell>
          <cell r="AF140">
            <v>0</v>
          </cell>
          <cell r="AH140">
            <v>0</v>
          </cell>
          <cell r="AJ140">
            <v>0</v>
          </cell>
          <cell r="AL140">
            <v>284</v>
          </cell>
          <cell r="AN140">
            <v>0</v>
          </cell>
          <cell r="AP140">
            <v>284</v>
          </cell>
          <cell r="AR140">
            <v>0</v>
          </cell>
          <cell r="AT140">
            <v>12131.172</v>
          </cell>
          <cell r="AV140">
            <v>82510.197</v>
          </cell>
          <cell r="AX140">
            <v>94641.369000000006</v>
          </cell>
          <cell r="AY140">
            <v>0</v>
          </cell>
          <cell r="AZ140" t="str">
            <v>total cost</v>
          </cell>
          <cell r="BC140">
            <v>680.30700000000002</v>
          </cell>
          <cell r="BE140">
            <v>0</v>
          </cell>
          <cell r="BG140">
            <v>0</v>
          </cell>
          <cell r="BI140">
            <v>680.30700000000002</v>
          </cell>
          <cell r="BO140">
            <v>654</v>
          </cell>
          <cell r="BQ140">
            <v>30187.49</v>
          </cell>
          <cell r="BS140">
            <v>0</v>
          </cell>
          <cell r="BU140">
            <v>30187.49</v>
          </cell>
          <cell r="BW140">
            <v>2385.5</v>
          </cell>
          <cell r="BX140">
            <v>2385.5</v>
          </cell>
          <cell r="BZ140">
            <v>1000</v>
          </cell>
          <cell r="CB140">
            <v>0</v>
          </cell>
          <cell r="CD140">
            <v>35958.49</v>
          </cell>
          <cell r="CF140">
            <v>0</v>
          </cell>
          <cell r="CH140">
            <v>0</v>
          </cell>
          <cell r="CJ140">
            <v>0</v>
          </cell>
          <cell r="CL140">
            <v>715</v>
          </cell>
          <cell r="CN140">
            <v>0</v>
          </cell>
          <cell r="CP140">
            <v>715</v>
          </cell>
          <cell r="CR140">
            <v>0</v>
          </cell>
          <cell r="CT140">
            <v>38007.796999999999</v>
          </cell>
          <cell r="CV140">
            <v>356411.43</v>
          </cell>
          <cell r="CX140">
            <v>394419.22700000001</v>
          </cell>
          <cell r="FC140">
            <v>1809.51</v>
          </cell>
          <cell r="FD140">
            <v>0</v>
          </cell>
          <cell r="FE140">
            <v>0</v>
          </cell>
          <cell r="FF140">
            <v>1809.51</v>
          </cell>
          <cell r="FG140">
            <v>0</v>
          </cell>
          <cell r="FH140">
            <v>625.5</v>
          </cell>
          <cell r="FI140">
            <v>40347.517</v>
          </cell>
          <cell r="FJ140">
            <v>3344.5</v>
          </cell>
          <cell r="FK140">
            <v>3344.5</v>
          </cell>
          <cell r="FL140">
            <v>1227</v>
          </cell>
          <cell r="FM140">
            <v>0</v>
          </cell>
          <cell r="FN140">
            <v>48263.516999999993</v>
          </cell>
          <cell r="FO140">
            <v>0</v>
          </cell>
          <cell r="FP140">
            <v>1273.0992815153495</v>
          </cell>
          <cell r="FQ140">
            <v>0</v>
          </cell>
          <cell r="FR140">
            <v>1273.0992815153495</v>
          </cell>
          <cell r="FS140">
            <v>0</v>
          </cell>
          <cell r="FT140">
            <v>51971.626281515346</v>
          </cell>
          <cell r="FU140">
            <v>333205.70900000003</v>
          </cell>
          <cell r="FV140">
            <v>385177.33528151544</v>
          </cell>
          <cell r="FW140" t="str">
            <v>total cost</v>
          </cell>
          <cell r="FX140">
            <v>48263.516999999993</v>
          </cell>
          <cell r="FY140">
            <v>1273.0992815153495</v>
          </cell>
          <cell r="FZ140">
            <v>328977.70900000003</v>
          </cell>
          <cell r="GA140">
            <v>378514.32528151543</v>
          </cell>
          <cell r="GB140">
            <v>383590.01346779184</v>
          </cell>
          <cell r="GC140">
            <v>385177.33528151544</v>
          </cell>
          <cell r="GD140">
            <v>390342.37110639684</v>
          </cell>
          <cell r="GE140">
            <v>6663.0100000000275</v>
          </cell>
          <cell r="GF140">
            <v>4.069862253170867</v>
          </cell>
          <cell r="GG140">
            <v>35559.388063357284</v>
          </cell>
          <cell r="GH140">
            <v>0</v>
          </cell>
        </row>
        <row r="141">
          <cell r="FX141">
            <v>0</v>
          </cell>
          <cell r="FY141">
            <v>0</v>
          </cell>
          <cell r="GA141">
            <v>0</v>
          </cell>
          <cell r="GB141">
            <v>0</v>
          </cell>
          <cell r="GC141">
            <v>0</v>
          </cell>
          <cell r="GD141">
            <v>0</v>
          </cell>
          <cell r="GE141">
            <v>0</v>
          </cell>
        </row>
        <row r="142">
          <cell r="A142" t="str">
            <v>amort.O.B.</v>
          </cell>
          <cell r="I142">
            <v>0</v>
          </cell>
          <cell r="Q142" t="str">
            <v xml:space="preserve"> </v>
          </cell>
          <cell r="U142">
            <v>0</v>
          </cell>
          <cell r="AD142">
            <v>0</v>
          </cell>
          <cell r="AJ142">
            <v>0</v>
          </cell>
          <cell r="AP142">
            <v>0</v>
          </cell>
          <cell r="AT142">
            <v>0</v>
          </cell>
          <cell r="AX142">
            <v>0</v>
          </cell>
          <cell r="AY142">
            <v>0</v>
          </cell>
          <cell r="AZ142" t="str">
            <v>amort.O.B.</v>
          </cell>
          <cell r="BE142">
            <v>0</v>
          </cell>
          <cell r="BI142">
            <v>0</v>
          </cell>
          <cell r="BU142">
            <v>0</v>
          </cell>
          <cell r="BX142">
            <v>0</v>
          </cell>
          <cell r="CD142">
            <v>0</v>
          </cell>
          <cell r="CJ142">
            <v>0</v>
          </cell>
          <cell r="CP142">
            <v>0</v>
          </cell>
          <cell r="CT142">
            <v>0</v>
          </cell>
          <cell r="CX142">
            <v>0</v>
          </cell>
          <cell r="FN142">
            <v>0</v>
          </cell>
          <cell r="FO142">
            <v>0</v>
          </cell>
          <cell r="FR142">
            <v>0</v>
          </cell>
          <cell r="FS142">
            <v>0</v>
          </cell>
          <cell r="FT142">
            <v>0</v>
          </cell>
          <cell r="FV142">
            <v>0</v>
          </cell>
          <cell r="FW142" t="str">
            <v>amort.O.B.</v>
          </cell>
          <cell r="FX142">
            <v>0</v>
          </cell>
          <cell r="FY142">
            <v>0</v>
          </cell>
          <cell r="GA142">
            <v>0</v>
          </cell>
          <cell r="GB142">
            <v>0</v>
          </cell>
          <cell r="GC142">
            <v>0</v>
          </cell>
          <cell r="GD142">
            <v>0</v>
          </cell>
          <cell r="GE142">
            <v>0</v>
          </cell>
          <cell r="GF142" t="e">
            <v>#DIV/0!</v>
          </cell>
          <cell r="GG142">
            <v>-4.8237776354059714E-16</v>
          </cell>
          <cell r="GH142">
            <v>0</v>
          </cell>
        </row>
        <row r="143">
          <cell r="A143" t="str">
            <v>amortiz.(GOODWIL)</v>
          </cell>
          <cell r="C143">
            <v>-261.46820000000002</v>
          </cell>
          <cell r="G143">
            <v>0</v>
          </cell>
          <cell r="I143">
            <v>-261.46820000000002</v>
          </cell>
          <cell r="AD143">
            <v>0</v>
          </cell>
          <cell r="AP143">
            <v>0</v>
          </cell>
          <cell r="AT143">
            <v>-261.46820000000002</v>
          </cell>
          <cell r="AX143">
            <v>-261.46820000000002</v>
          </cell>
          <cell r="AY143">
            <v>0</v>
          </cell>
          <cell r="AZ143" t="str">
            <v>amortiz.(GOODWIL)</v>
          </cell>
          <cell r="BC143">
            <v>-559.42160000000001</v>
          </cell>
          <cell r="BG143">
            <v>0</v>
          </cell>
          <cell r="BI143">
            <v>-559.42160000000001</v>
          </cell>
          <cell r="BU143">
            <v>0</v>
          </cell>
          <cell r="BX143">
            <v>0</v>
          </cell>
          <cell r="CD143">
            <v>0</v>
          </cell>
          <cell r="CP143">
            <v>0</v>
          </cell>
          <cell r="CT143">
            <v>-559.42160000000001</v>
          </cell>
          <cell r="CX143">
            <v>-559.42160000000001</v>
          </cell>
          <cell r="FC143">
            <v>-1486.607</v>
          </cell>
          <cell r="FE143">
            <v>0</v>
          </cell>
          <cell r="FF143">
            <v>-1486.607</v>
          </cell>
          <cell r="FG143">
            <v>0</v>
          </cell>
          <cell r="FN143">
            <v>0</v>
          </cell>
          <cell r="FR143">
            <v>0</v>
          </cell>
          <cell r="FS143">
            <v>0</v>
          </cell>
          <cell r="FT143">
            <v>-1486.607</v>
          </cell>
          <cell r="FV143">
            <v>-1486.607</v>
          </cell>
          <cell r="FW143" t="str">
            <v>amortiz.(GOODWIL)</v>
          </cell>
          <cell r="FX143">
            <v>0</v>
          </cell>
          <cell r="FY143">
            <v>0</v>
          </cell>
          <cell r="GA143">
            <v>0</v>
          </cell>
          <cell r="GB143">
            <v>0</v>
          </cell>
          <cell r="GC143">
            <v>-1486.607</v>
          </cell>
          <cell r="GD143">
            <v>-1506.5416579073963</v>
          </cell>
          <cell r="GE143">
            <v>-1486.607</v>
          </cell>
          <cell r="GF143">
            <v>5.685613011448428</v>
          </cell>
          <cell r="GG143">
            <v>-1321.9274983670805</v>
          </cell>
          <cell r="GH143">
            <v>0</v>
          </cell>
        </row>
        <row r="144">
          <cell r="A144" t="str">
            <v>amortiz.</v>
          </cell>
          <cell r="C144">
            <v>-28.111999999999995</v>
          </cell>
          <cell r="E144">
            <v>0</v>
          </cell>
          <cell r="G144">
            <v>0</v>
          </cell>
          <cell r="I144">
            <v>-28.111999999999995</v>
          </cell>
          <cell r="Q144">
            <v>-3767.7370000000001</v>
          </cell>
          <cell r="U144">
            <v>-3767.7370000000001</v>
          </cell>
          <cell r="W144">
            <v>-554</v>
          </cell>
          <cell r="X144">
            <v>-554</v>
          </cell>
          <cell r="Z144">
            <v>-139</v>
          </cell>
          <cell r="AD144">
            <v>-5014.7370000000001</v>
          </cell>
          <cell r="AH144">
            <v>0</v>
          </cell>
          <cell r="AJ144">
            <v>0</v>
          </cell>
          <cell r="AL144">
            <v>-159</v>
          </cell>
          <cell r="AN144">
            <v>0</v>
          </cell>
          <cell r="AP144">
            <v>-159</v>
          </cell>
          <cell r="AR144">
            <v>0</v>
          </cell>
          <cell r="AT144">
            <v>-5201.8490000000002</v>
          </cell>
          <cell r="AV144">
            <v>0</v>
          </cell>
          <cell r="AX144">
            <v>-5201.8490000000002</v>
          </cell>
          <cell r="AY144">
            <v>0</v>
          </cell>
          <cell r="AZ144" t="str">
            <v>amortiz.</v>
          </cell>
          <cell r="BC144">
            <v>-45.679000000000002</v>
          </cell>
          <cell r="BE144">
            <v>0</v>
          </cell>
          <cell r="BG144">
            <v>0</v>
          </cell>
          <cell r="BI144">
            <v>-45.679000000000002</v>
          </cell>
          <cell r="BO144">
            <v>-50</v>
          </cell>
          <cell r="BQ144">
            <v>-10182.071</v>
          </cell>
          <cell r="BU144">
            <v>-10182.071</v>
          </cell>
          <cell r="BW144">
            <v>-2052.5</v>
          </cell>
          <cell r="BX144">
            <v>-2052.5</v>
          </cell>
          <cell r="BZ144">
            <v>-432</v>
          </cell>
          <cell r="CD144">
            <v>-14719.071</v>
          </cell>
          <cell r="CH144">
            <v>0</v>
          </cell>
          <cell r="CJ144">
            <v>0</v>
          </cell>
          <cell r="CL144">
            <v>-390</v>
          </cell>
          <cell r="CN144">
            <v>0</v>
          </cell>
          <cell r="CP144">
            <v>-390</v>
          </cell>
          <cell r="CR144">
            <v>0</v>
          </cell>
          <cell r="CT144">
            <v>-15204.75</v>
          </cell>
          <cell r="CV144">
            <v>0</v>
          </cell>
          <cell r="CX144">
            <v>-15204.75</v>
          </cell>
          <cell r="FC144">
            <v>-125.31</v>
          </cell>
          <cell r="FE144">
            <v>0</v>
          </cell>
          <cell r="FF144">
            <v>-125.31</v>
          </cell>
          <cell r="FI144">
            <v>-17038.097000000002</v>
          </cell>
          <cell r="FJ144">
            <v>-2608.5</v>
          </cell>
          <cell r="FK144">
            <v>-2608.5</v>
          </cell>
          <cell r="FL144">
            <v>-531</v>
          </cell>
          <cell r="FN144">
            <v>-22786.097000000002</v>
          </cell>
          <cell r="FO144">
            <v>0</v>
          </cell>
          <cell r="FP144">
            <v>-720.74787720444169</v>
          </cell>
          <cell r="FQ144">
            <v>0</v>
          </cell>
          <cell r="FR144">
            <v>-720.74787720444169</v>
          </cell>
          <cell r="FS144">
            <v>0</v>
          </cell>
          <cell r="FT144">
            <v>-23632.154877204444</v>
          </cell>
          <cell r="FU144">
            <v>0</v>
          </cell>
          <cell r="FV144">
            <v>-23632.154877204444</v>
          </cell>
          <cell r="FW144" t="str">
            <v>amortiz.</v>
          </cell>
          <cell r="FX144">
            <v>-22786.097000000002</v>
          </cell>
          <cell r="FY144">
            <v>-720.74787720444169</v>
          </cell>
          <cell r="GA144">
            <v>-23506.844877204443</v>
          </cell>
          <cell r="GB144">
            <v>-23822.059934788122</v>
          </cell>
          <cell r="GC144">
            <v>-23632.154877204444</v>
          </cell>
          <cell r="GD144">
            <v>-23949.050279346149</v>
          </cell>
          <cell r="GE144">
            <v>-125.31000000000131</v>
          </cell>
          <cell r="GF144">
            <v>4.5430297721453359</v>
          </cell>
          <cell r="GG144">
            <v>-14825.817708687135</v>
          </cell>
          <cell r="GH144">
            <v>0</v>
          </cell>
          <cell r="HJ144" t="str">
            <v>{edit}{home}@round({end},0)~{d 1}</v>
          </cell>
        </row>
        <row r="145">
          <cell r="A145" t="str">
            <v>total</v>
          </cell>
          <cell r="C145">
            <v>37.065799999999996</v>
          </cell>
          <cell r="E145">
            <v>0</v>
          </cell>
          <cell r="G145">
            <v>0</v>
          </cell>
          <cell r="I145">
            <v>37.065799999999996</v>
          </cell>
          <cell r="O145">
            <v>154.5</v>
          </cell>
          <cell r="Q145">
            <v>5848.4880000000003</v>
          </cell>
          <cell r="S145">
            <v>0</v>
          </cell>
          <cell r="U145">
            <v>5848.4880000000003</v>
          </cell>
          <cell r="W145">
            <v>160.5</v>
          </cell>
          <cell r="X145">
            <v>160.5</v>
          </cell>
          <cell r="Z145">
            <v>181.80099999999999</v>
          </cell>
          <cell r="AB145">
            <v>0</v>
          </cell>
          <cell r="AD145">
            <v>6351.2889999999998</v>
          </cell>
          <cell r="AF145">
            <v>0</v>
          </cell>
          <cell r="AH145">
            <v>0</v>
          </cell>
          <cell r="AJ145">
            <v>0</v>
          </cell>
          <cell r="AL145">
            <v>125</v>
          </cell>
          <cell r="AN145">
            <v>0</v>
          </cell>
          <cell r="AP145">
            <v>125</v>
          </cell>
          <cell r="AR145">
            <v>0</v>
          </cell>
          <cell r="AT145">
            <v>6667.854800000001</v>
          </cell>
          <cell r="AV145">
            <v>82510.197</v>
          </cell>
          <cell r="AX145">
            <v>89178.051800000001</v>
          </cell>
          <cell r="AY145">
            <v>0</v>
          </cell>
          <cell r="AZ145" t="str">
            <v>total</v>
          </cell>
          <cell r="BA145">
            <v>0</v>
          </cell>
          <cell r="BC145">
            <v>75.206400000000002</v>
          </cell>
          <cell r="BE145">
            <v>0</v>
          </cell>
          <cell r="BG145">
            <v>0</v>
          </cell>
          <cell r="BI145">
            <v>75.206400000000002</v>
          </cell>
          <cell r="BO145">
            <v>604</v>
          </cell>
          <cell r="BQ145">
            <v>20005.419000000002</v>
          </cell>
          <cell r="BS145">
            <v>0</v>
          </cell>
          <cell r="BU145">
            <v>20005.419000000002</v>
          </cell>
          <cell r="BW145">
            <v>333</v>
          </cell>
          <cell r="BX145">
            <v>333</v>
          </cell>
          <cell r="BZ145">
            <v>568</v>
          </cell>
          <cell r="CB145">
            <v>0</v>
          </cell>
          <cell r="CD145">
            <v>21239.419000000002</v>
          </cell>
          <cell r="CF145">
            <v>0</v>
          </cell>
          <cell r="CH145">
            <v>0</v>
          </cell>
          <cell r="CJ145">
            <v>0</v>
          </cell>
          <cell r="CL145">
            <v>325</v>
          </cell>
          <cell r="CN145">
            <v>0</v>
          </cell>
          <cell r="CP145">
            <v>325</v>
          </cell>
          <cell r="CR145">
            <v>0</v>
          </cell>
          <cell r="CT145">
            <v>22243.625399999997</v>
          </cell>
          <cell r="CV145">
            <v>356411.43</v>
          </cell>
          <cell r="CX145">
            <v>378655.05540000001</v>
          </cell>
          <cell r="FC145">
            <v>197.59300000000002</v>
          </cell>
          <cell r="FD145">
            <v>0</v>
          </cell>
          <cell r="FE145">
            <v>0</v>
          </cell>
          <cell r="FF145">
            <v>197.59300000000002</v>
          </cell>
          <cell r="FG145">
            <v>0</v>
          </cell>
          <cell r="FH145">
            <v>625.5</v>
          </cell>
          <cell r="FI145">
            <v>23309.42</v>
          </cell>
          <cell r="FJ145">
            <v>736</v>
          </cell>
          <cell r="FK145">
            <v>736</v>
          </cell>
          <cell r="FL145">
            <v>696</v>
          </cell>
          <cell r="FM145">
            <v>0</v>
          </cell>
          <cell r="FN145">
            <v>25477.42</v>
          </cell>
          <cell r="FO145">
            <v>0</v>
          </cell>
          <cell r="FP145">
            <v>552.35140431090781</v>
          </cell>
          <cell r="FQ145">
            <v>0</v>
          </cell>
          <cell r="FR145">
            <v>552.35140431090781</v>
          </cell>
          <cell r="FS145">
            <v>0</v>
          </cell>
          <cell r="FT145">
            <v>26852.864404310898</v>
          </cell>
          <cell r="FU145">
            <v>333205.70900000003</v>
          </cell>
          <cell r="FV145">
            <v>360058.57340431097</v>
          </cell>
          <cell r="FW145" t="str">
            <v>total</v>
          </cell>
          <cell r="FX145">
            <v>25477.42</v>
          </cell>
          <cell r="FY145">
            <v>552.35140431090781</v>
          </cell>
          <cell r="FZ145">
            <v>328977.70900000003</v>
          </cell>
          <cell r="GA145">
            <v>355007.48040431098</v>
          </cell>
          <cell r="GB145">
            <v>359767.95353300369</v>
          </cell>
          <cell r="GC145">
            <v>360058.57340431097</v>
          </cell>
          <cell r="GD145">
            <v>364886.77916914329</v>
          </cell>
          <cell r="GE145">
            <v>5051.0930000000262</v>
          </cell>
          <cell r="GF145">
            <v>4.037524549334357</v>
          </cell>
          <cell r="GG145">
            <v>19411.642856303071</v>
          </cell>
          <cell r="GH145">
            <v>24932.889753755717</v>
          </cell>
          <cell r="GT145" t="str">
            <v xml:space="preserve"> A גליון</v>
          </cell>
        </row>
        <row r="146">
          <cell r="BX146">
            <v>0</v>
          </cell>
          <cell r="CD146">
            <v>0</v>
          </cell>
          <cell r="FI146">
            <v>0</v>
          </cell>
          <cell r="FL146">
            <v>0</v>
          </cell>
          <cell r="FN146">
            <v>0</v>
          </cell>
          <cell r="FX146">
            <v>0</v>
          </cell>
          <cell r="FY146">
            <v>0</v>
          </cell>
          <cell r="GA146">
            <v>0</v>
          </cell>
          <cell r="GB146">
            <v>0</v>
          </cell>
          <cell r="GC146">
            <v>0</v>
          </cell>
          <cell r="GD146">
            <v>0</v>
          </cell>
          <cell r="GE146">
            <v>0</v>
          </cell>
          <cell r="GF146" t="e">
            <v>#DIV/0!</v>
          </cell>
          <cell r="GG146">
            <v>0</v>
          </cell>
          <cell r="GH146">
            <v>0</v>
          </cell>
          <cell r="HJ146" t="str">
            <v>{edit}{bs 15}{del 15}~{edit}/1000{calc}~{D}</v>
          </cell>
        </row>
        <row r="147">
          <cell r="FX147">
            <v>0</v>
          </cell>
          <cell r="FY147">
            <v>0</v>
          </cell>
          <cell r="GA147">
            <v>0</v>
          </cell>
          <cell r="GB147">
            <v>0</v>
          </cell>
          <cell r="GC147">
            <v>0</v>
          </cell>
          <cell r="GD147">
            <v>0</v>
          </cell>
          <cell r="GE147">
            <v>0</v>
          </cell>
        </row>
        <row r="148">
          <cell r="FX148">
            <v>0</v>
          </cell>
          <cell r="FY148">
            <v>0</v>
          </cell>
          <cell r="GA148">
            <v>0</v>
          </cell>
          <cell r="GB148">
            <v>0</v>
          </cell>
          <cell r="GC148">
            <v>0</v>
          </cell>
          <cell r="GD148">
            <v>0</v>
          </cell>
          <cell r="GE148">
            <v>0</v>
          </cell>
        </row>
        <row r="149">
          <cell r="AZ149" t="str">
            <v>TOTAL ACTIVE</v>
          </cell>
          <cell r="BA149" t="str">
            <v>TOTAL ACTIVE</v>
          </cell>
          <cell r="BC149">
            <v>246674.38814999996</v>
          </cell>
          <cell r="BE149">
            <v>67408.320000000007</v>
          </cell>
          <cell r="BG149">
            <v>4683.6854635847158</v>
          </cell>
          <cell r="BI149">
            <v>318766.39361358481</v>
          </cell>
          <cell r="BM149">
            <v>769.16399999999999</v>
          </cell>
          <cell r="BO149">
            <v>30099</v>
          </cell>
          <cell r="BQ149">
            <v>579574.81400000001</v>
          </cell>
          <cell r="BS149">
            <v>0</v>
          </cell>
          <cell r="BU149">
            <v>579574.81400000001</v>
          </cell>
          <cell r="BW149">
            <v>84288.217000000004</v>
          </cell>
          <cell r="BX149">
            <v>70026</v>
          </cell>
          <cell r="BZ149">
            <v>7725.0929999999989</v>
          </cell>
          <cell r="CB149">
            <v>-4893.777</v>
          </cell>
          <cell r="CD149">
            <v>736720.34699999995</v>
          </cell>
          <cell r="CF149">
            <v>5483.9809999999998</v>
          </cell>
          <cell r="CH149">
            <v>1948.2059999999983</v>
          </cell>
          <cell r="CJ149">
            <v>7432.1869999999981</v>
          </cell>
          <cell r="CL149">
            <v>167841</v>
          </cell>
          <cell r="CN149">
            <v>-6973.5919999999996</v>
          </cell>
          <cell r="CP149">
            <v>168299.595</v>
          </cell>
          <cell r="CR149">
            <v>82090.294000000009</v>
          </cell>
          <cell r="CT149">
            <v>1336745.1786135847</v>
          </cell>
          <cell r="CV149">
            <v>-241245.91899999988</v>
          </cell>
          <cell r="CX149">
            <v>1095499.2596135847</v>
          </cell>
          <cell r="FC149">
            <v>361862.50430437626</v>
          </cell>
          <cell r="FD149">
            <v>67407.64</v>
          </cell>
          <cell r="FE149">
            <v>-17478.27480641528</v>
          </cell>
          <cell r="FF149">
            <v>411791.8694979609</v>
          </cell>
          <cell r="FG149">
            <v>771.43449999999996</v>
          </cell>
          <cell r="FH149">
            <v>30294.5</v>
          </cell>
          <cell r="FI149">
            <v>652430.13</v>
          </cell>
          <cell r="FJ149">
            <v>71643.217000000004</v>
          </cell>
          <cell r="FK149">
            <v>96114</v>
          </cell>
          <cell r="FL149">
            <v>8499.8469999999998</v>
          </cell>
          <cell r="FM149">
            <v>-5338.1769999999997</v>
          </cell>
          <cell r="FN149">
            <v>823349.01700000011</v>
          </cell>
          <cell r="FO149">
            <v>46846.699219000002</v>
          </cell>
          <cell r="FP149">
            <v>227211.80992815155</v>
          </cell>
          <cell r="FQ149">
            <v>-45995.904219000004</v>
          </cell>
          <cell r="FR149">
            <v>228062.60492815156</v>
          </cell>
          <cell r="FS149">
            <v>89217.725999999995</v>
          </cell>
          <cell r="FT149">
            <v>1583487.1519261128</v>
          </cell>
          <cell r="FU149">
            <v>-326624.00598693662</v>
          </cell>
          <cell r="FV149">
            <v>1256862.5275525008</v>
          </cell>
          <cell r="FW149" t="str">
            <v>TOTAL ACTIVE</v>
          </cell>
          <cell r="FX149">
            <v>823349.01700000011</v>
          </cell>
          <cell r="FY149">
            <v>228062.60492815156</v>
          </cell>
          <cell r="FZ149">
            <v>-4.1679999999469146</v>
          </cell>
          <cell r="GA149">
            <v>1051407.4539281516</v>
          </cell>
          <cell r="GB149">
            <v>1065506.3031299543</v>
          </cell>
          <cell r="GC149">
            <v>1256862.5275525008</v>
          </cell>
          <cell r="GD149">
            <v>1273716.4267493861</v>
          </cell>
          <cell r="GE149">
            <v>194602.69562434911</v>
          </cell>
          <cell r="GF149">
            <v>4.077277308000359</v>
          </cell>
          <cell r="GG149">
            <v>616379.9190516792</v>
          </cell>
          <cell r="GH149">
            <v>0.61838667537085712</v>
          </cell>
        </row>
        <row r="150">
          <cell r="BX150">
            <v>0</v>
          </cell>
          <cell r="CD150">
            <v>0</v>
          </cell>
          <cell r="FG150" t="str">
            <v>Madrichei Pnai</v>
          </cell>
          <cell r="FN150">
            <v>0</v>
          </cell>
          <cell r="FS150">
            <v>0</v>
          </cell>
          <cell r="FX150">
            <v>0</v>
          </cell>
          <cell r="FY150">
            <v>0</v>
          </cell>
          <cell r="GA150">
            <v>0</v>
          </cell>
          <cell r="GB150">
            <v>0</v>
          </cell>
          <cell r="GC150">
            <v>0</v>
          </cell>
          <cell r="GD150">
            <v>0</v>
          </cell>
          <cell r="GE150">
            <v>0</v>
          </cell>
          <cell r="GF150" t="e">
            <v>#DIV/0!</v>
          </cell>
          <cell r="GH150">
            <v>0</v>
          </cell>
        </row>
        <row r="151">
          <cell r="BX151">
            <v>0</v>
          </cell>
          <cell r="CD151">
            <v>0</v>
          </cell>
          <cell r="CT151">
            <v>-0.38500000000931323</v>
          </cell>
        </row>
        <row r="152">
          <cell r="BX152">
            <v>0</v>
          </cell>
          <cell r="CD152">
            <v>0</v>
          </cell>
          <cell r="FC152" t="str">
            <v>A.L.I.S</v>
          </cell>
          <cell r="FH152" t="str">
            <v>Netcom</v>
          </cell>
          <cell r="FI152" t="str">
            <v>G.C.&amp; CO.</v>
          </cell>
          <cell r="FJ152" t="str">
            <v>IDAN</v>
          </cell>
          <cell r="FL152" t="str">
            <v>EDOM</v>
          </cell>
          <cell r="FN152">
            <v>0</v>
          </cell>
          <cell r="FS152">
            <v>0</v>
          </cell>
          <cell r="FT152" t="str">
            <v>TOTAL</v>
          </cell>
          <cell r="FU152" t="str">
            <v>J.ENTRIES</v>
          </cell>
          <cell r="FV152" t="str">
            <v>TOTAL</v>
          </cell>
          <cell r="FX152">
            <v>0</v>
          </cell>
          <cell r="FY152">
            <v>0</v>
          </cell>
          <cell r="GA152">
            <v>0</v>
          </cell>
          <cell r="GB152">
            <v>0</v>
          </cell>
          <cell r="GC152" t="str">
            <v>TOTAL</v>
          </cell>
          <cell r="GD152">
            <v>0</v>
          </cell>
          <cell r="GE152">
            <v>0</v>
          </cell>
          <cell r="GF152" t="e">
            <v>#DIV/0!</v>
          </cell>
          <cell r="GG152" t="str">
            <v>TOTAL</v>
          </cell>
          <cell r="GH152">
            <v>0</v>
          </cell>
        </row>
        <row r="153">
          <cell r="BX153">
            <v>0</v>
          </cell>
          <cell r="CD153">
            <v>0</v>
          </cell>
          <cell r="FC153" t="str">
            <v>31/12/98</v>
          </cell>
          <cell r="FI153">
            <v>0</v>
          </cell>
          <cell r="FN153">
            <v>0</v>
          </cell>
          <cell r="FS153">
            <v>0</v>
          </cell>
          <cell r="FT153" t="str">
            <v xml:space="preserve"> =31/12/98</v>
          </cell>
          <cell r="FV153" t="str">
            <v xml:space="preserve"> 31/12/98</v>
          </cell>
          <cell r="FX153">
            <v>0</v>
          </cell>
          <cell r="FY153">
            <v>0</v>
          </cell>
          <cell r="GA153">
            <v>0</v>
          </cell>
          <cell r="GB153">
            <v>0</v>
          </cell>
          <cell r="GC153" t="str">
            <v xml:space="preserve"> 31/12/98</v>
          </cell>
          <cell r="GD153">
            <v>0</v>
          </cell>
          <cell r="GE153">
            <v>0</v>
          </cell>
          <cell r="GF153" t="e">
            <v>#DIV/0!</v>
          </cell>
          <cell r="GG153" t="str">
            <v>31/12/97</v>
          </cell>
          <cell r="GH153">
            <v>0</v>
          </cell>
        </row>
        <row r="154">
          <cell r="A154">
            <v>0</v>
          </cell>
          <cell r="G154" t="str">
            <v>CONSOLIDATED STATEMENTS</v>
          </cell>
          <cell r="S154" t="str">
            <v xml:space="preserve"> AS AT </v>
          </cell>
          <cell r="AZ154">
            <v>0</v>
          </cell>
          <cell r="BG154" t="str">
            <v>CONSOLIDATED STATEMENTS</v>
          </cell>
          <cell r="BQ154" t="str">
            <v xml:space="preserve"> AS AT </v>
          </cell>
          <cell r="BS154">
            <v>0</v>
          </cell>
          <cell r="BX154">
            <v>0</v>
          </cell>
          <cell r="CD154">
            <v>0</v>
          </cell>
          <cell r="CF154" t="str">
            <v xml:space="preserve"> AS AT </v>
          </cell>
          <cell r="CH154">
            <v>36160</v>
          </cell>
          <cell r="FC154" t="str">
            <v>A.C.T.V.</v>
          </cell>
          <cell r="FE154" t="str">
            <v>CONSOLIDATED STATEMENTS</v>
          </cell>
          <cell r="FI154" t="str">
            <v>מד"פ</v>
          </cell>
          <cell r="FL154" t="str">
            <v>G.C.&amp; CO. CONSOLIDATED</v>
          </cell>
          <cell r="FN154">
            <v>0</v>
          </cell>
          <cell r="FS154">
            <v>0</v>
          </cell>
          <cell r="FU154" t="str">
            <v xml:space="preserve">A.L.I.S-CONSOLIDATED </v>
          </cell>
          <cell r="FW154" t="str">
            <v>T.L.M</v>
          </cell>
          <cell r="FX154">
            <v>0</v>
          </cell>
          <cell r="FY154">
            <v>0</v>
          </cell>
          <cell r="GA154">
            <v>0</v>
          </cell>
          <cell r="GB154">
            <v>0</v>
          </cell>
          <cell r="GC154">
            <v>0</v>
          </cell>
          <cell r="GD154">
            <v>0</v>
          </cell>
          <cell r="GE154">
            <v>0</v>
          </cell>
          <cell r="GF154" t="e">
            <v>#DIV/0!</v>
          </cell>
          <cell r="GH154">
            <v>0</v>
          </cell>
          <cell r="HJ154" t="str">
            <v>/wcs1~{r 1}</v>
          </cell>
        </row>
        <row r="155">
          <cell r="A155" t="str">
            <v>SHAREHOL.EQUITY</v>
          </cell>
          <cell r="C155">
            <v>-3.19</v>
          </cell>
          <cell r="I155">
            <v>-3.19</v>
          </cell>
          <cell r="M155">
            <v>0</v>
          </cell>
          <cell r="O155">
            <v>-2500</v>
          </cell>
          <cell r="W155">
            <v>3</v>
          </cell>
          <cell r="X155">
            <v>-3</v>
          </cell>
          <cell r="Z155">
            <v>-0.32600000000000001</v>
          </cell>
          <cell r="AB155">
            <v>0.32600000000000001</v>
          </cell>
          <cell r="AD155">
            <v>0</v>
          </cell>
          <cell r="AF155">
            <v>-4.9000000000000002E-2</v>
          </cell>
          <cell r="AH155">
            <v>0</v>
          </cell>
          <cell r="AJ155">
            <v>-4.9000000000000002E-2</v>
          </cell>
          <cell r="AP155">
            <v>-4.9000000000000002E-2</v>
          </cell>
          <cell r="AR155">
            <v>-1.0349999999999999</v>
          </cell>
          <cell r="AT155">
            <v>-2504.2739999999999</v>
          </cell>
          <cell r="AV155">
            <v>2501.0839999999998</v>
          </cell>
          <cell r="AX155">
            <v>-3.1900000000000546</v>
          </cell>
          <cell r="AZ155" t="str">
            <v>SHAREHOL.EQUITY</v>
          </cell>
          <cell r="BC155">
            <v>-5</v>
          </cell>
          <cell r="BI155">
            <v>-5</v>
          </cell>
          <cell r="BO155">
            <v>-8181.5</v>
          </cell>
          <cell r="BQ155" t="str">
            <v xml:space="preserve"> </v>
          </cell>
          <cell r="BS155" t="str">
            <v xml:space="preserve"> </v>
          </cell>
          <cell r="BU155">
            <v>0</v>
          </cell>
          <cell r="BW155">
            <v>5</v>
          </cell>
          <cell r="BX155">
            <v>-5</v>
          </cell>
          <cell r="BZ155">
            <v>-1</v>
          </cell>
          <cell r="CD155">
            <v>-1</v>
          </cell>
          <cell r="CF155">
            <v>-0.1</v>
          </cell>
          <cell r="CH155">
            <v>0</v>
          </cell>
          <cell r="CJ155">
            <v>-0.1</v>
          </cell>
          <cell r="CL155">
            <v>-0.1</v>
          </cell>
          <cell r="CP155">
            <v>-0.2</v>
          </cell>
          <cell r="CR155">
            <v>-2</v>
          </cell>
          <cell r="CT155">
            <v>-8189.7</v>
          </cell>
          <cell r="CU155">
            <v>0</v>
          </cell>
          <cell r="CV155">
            <v>8184.7</v>
          </cell>
          <cell r="CX155">
            <v>-5</v>
          </cell>
          <cell r="FC155">
            <v>-17.643000000000001</v>
          </cell>
          <cell r="FF155">
            <v>-17.643000000000001</v>
          </cell>
          <cell r="FH155">
            <v>-9447.5</v>
          </cell>
          <cell r="FJ155">
            <v>18.5</v>
          </cell>
          <cell r="FK155">
            <v>-18.5</v>
          </cell>
          <cell r="FL155">
            <v>-1</v>
          </cell>
          <cell r="FM155">
            <v>1</v>
          </cell>
          <cell r="FN155">
            <v>0</v>
          </cell>
          <cell r="FO155">
            <v>-0.22900000000000001</v>
          </cell>
          <cell r="FR155">
            <v>-0.22900000000000001</v>
          </cell>
          <cell r="FS155">
            <v>-5.79</v>
          </cell>
          <cell r="FT155">
            <v>-9471.1620000000003</v>
          </cell>
          <cell r="FU155">
            <v>9453.5190000000002</v>
          </cell>
          <cell r="FV155">
            <v>-17.643000000000029</v>
          </cell>
          <cell r="FW155" t="str">
            <v>SHAREHOL.EQUITY</v>
          </cell>
          <cell r="FX155">
            <v>0</v>
          </cell>
          <cell r="FY155">
            <v>-0.22900000000000001</v>
          </cell>
          <cell r="GA155">
            <v>-0.22900000000000001</v>
          </cell>
          <cell r="GB155">
            <v>-0.23207077570655441</v>
          </cell>
          <cell r="GC155">
            <v>-17.643000000000029</v>
          </cell>
          <cell r="GD155">
            <v>-17.879583824413739</v>
          </cell>
          <cell r="GE155">
            <v>-17.41400000000003</v>
          </cell>
          <cell r="GF155">
            <v>5.5307210031347109</v>
          </cell>
          <cell r="GG155">
            <v>-17.379490529065972</v>
          </cell>
          <cell r="GH155">
            <v>0</v>
          </cell>
          <cell r="HJ155" t="str">
            <v>{edit}{home}+ez22/~{d}</v>
          </cell>
        </row>
        <row r="156">
          <cell r="A156" t="str">
            <v>PASSIV</v>
          </cell>
          <cell r="G156" t="str">
            <v>A.C.T.V.</v>
          </cell>
          <cell r="S156" t="str">
            <v>G.C.&amp; CO.</v>
          </cell>
          <cell r="Z156" t="str">
            <v>G.C.&amp; CO. CONSOLIDATED</v>
          </cell>
          <cell r="AF156" t="str">
            <v>SOUTH SHARON COMM.</v>
          </cell>
          <cell r="AL156" t="str">
            <v>T.L.M</v>
          </cell>
          <cell r="AN156" t="str">
            <v>S.S.C.-CONSOLIDATED</v>
          </cell>
          <cell r="AR156" t="str">
            <v>MERCAZ</v>
          </cell>
          <cell r="AV156" t="str">
            <v xml:space="preserve">A.L.I.S-CONSOLIDATED </v>
          </cell>
          <cell r="AZ156" t="str">
            <v>PASSIV</v>
          </cell>
          <cell r="BG156" t="str">
            <v>A.C.T.V.</v>
          </cell>
          <cell r="BS156" t="str">
            <v>G.C.&amp; CO.</v>
          </cell>
          <cell r="BX156">
            <v>0</v>
          </cell>
          <cell r="BZ156" t="str">
            <v>G.C.&amp; CO. CONSOLIDATED</v>
          </cell>
          <cell r="CD156">
            <v>0</v>
          </cell>
          <cell r="CF156" t="str">
            <v>SOUTH SHARON COMM.</v>
          </cell>
          <cell r="CL156" t="str">
            <v>T.L.M</v>
          </cell>
          <cell r="CN156" t="str">
            <v>S.S.C.-CONSOLIDATED</v>
          </cell>
          <cell r="CR156" t="str">
            <v>MERCAZ</v>
          </cell>
          <cell r="CV156" t="str">
            <v xml:space="preserve">CONSOLIDATED </v>
          </cell>
          <cell r="FE156" t="str">
            <v>A.C.T.V.</v>
          </cell>
          <cell r="FG156" t="str">
            <v>מדד000</v>
          </cell>
          <cell r="FN156">
            <v>0</v>
          </cell>
          <cell r="FP156" t="str">
            <v>T.L.M</v>
          </cell>
          <cell r="FQ156" t="str">
            <v>S.S.C.-CONSOLIDATED</v>
          </cell>
          <cell r="FS156">
            <v>0</v>
          </cell>
          <cell r="FW156" t="str">
            <v>PASSIVE</v>
          </cell>
          <cell r="FX156">
            <v>0</v>
          </cell>
          <cell r="FY156">
            <v>0</v>
          </cell>
          <cell r="GA156">
            <v>0</v>
          </cell>
          <cell r="GB156">
            <v>0</v>
          </cell>
          <cell r="GC156">
            <v>0</v>
          </cell>
          <cell r="GD156">
            <v>0</v>
          </cell>
          <cell r="GE156">
            <v>0</v>
          </cell>
          <cell r="GF156" t="e">
            <v>#DIV/0!</v>
          </cell>
          <cell r="GH156">
            <v>0</v>
          </cell>
        </row>
        <row r="157">
          <cell r="A157" t="str">
            <v>OWNERS'INVESTMENT</v>
          </cell>
          <cell r="I157">
            <v>0</v>
          </cell>
          <cell r="M157">
            <v>145.83004807692308</v>
          </cell>
          <cell r="Q157">
            <v>5221.085</v>
          </cell>
          <cell r="U157">
            <v>5221.085</v>
          </cell>
          <cell r="W157">
            <v>3099.5</v>
          </cell>
          <cell r="X157">
            <v>-3099.5</v>
          </cell>
          <cell r="AD157">
            <v>5221.0849999999991</v>
          </cell>
          <cell r="AH157">
            <v>0</v>
          </cell>
          <cell r="AJ157">
            <v>0</v>
          </cell>
          <cell r="AP157">
            <v>0</v>
          </cell>
          <cell r="AT157">
            <v>5366.9150480769222</v>
          </cell>
          <cell r="AV157">
            <v>-5366.9150480769222</v>
          </cell>
          <cell r="AX157">
            <v>0</v>
          </cell>
          <cell r="AZ157" t="str">
            <v>OWNERS'INVESTMENT</v>
          </cell>
          <cell r="BI157">
            <v>0</v>
          </cell>
          <cell r="BM157">
            <v>623.2885</v>
          </cell>
          <cell r="BQ157">
            <v>-12388.386999999999</v>
          </cell>
          <cell r="BU157">
            <v>-12388.386999999999</v>
          </cell>
          <cell r="BW157">
            <v>6422.5</v>
          </cell>
          <cell r="BX157">
            <v>-6422.5</v>
          </cell>
          <cell r="CD157">
            <v>-12388.386999999999</v>
          </cell>
          <cell r="CH157">
            <v>0</v>
          </cell>
          <cell r="CJ157">
            <v>0</v>
          </cell>
          <cell r="CL157">
            <v>0</v>
          </cell>
          <cell r="CP157">
            <v>0</v>
          </cell>
          <cell r="CT157">
            <v>-11765.098499999998</v>
          </cell>
          <cell r="CU157">
            <v>0</v>
          </cell>
          <cell r="CV157">
            <v>11765.098499999998</v>
          </cell>
          <cell r="CX157">
            <v>0</v>
          </cell>
          <cell r="FG157">
            <v>606.65300000000002</v>
          </cell>
          <cell r="FI157">
            <v>-10331.803000000002</v>
          </cell>
          <cell r="FJ157">
            <v>15602</v>
          </cell>
          <cell r="FK157">
            <v>-15602</v>
          </cell>
          <cell r="FN157">
            <v>-10331.803000000002</v>
          </cell>
          <cell r="FO157">
            <v>0</v>
          </cell>
          <cell r="FR157">
            <v>0</v>
          </cell>
          <cell r="FS157">
            <v>0</v>
          </cell>
          <cell r="FT157">
            <v>-9725.15</v>
          </cell>
          <cell r="FU157">
            <v>9725.15</v>
          </cell>
          <cell r="FV157">
            <v>0</v>
          </cell>
          <cell r="FW157" t="str">
            <v>OWNERS'INVESTMENT</v>
          </cell>
          <cell r="FX157">
            <v>-10331.803000000002</v>
          </cell>
          <cell r="FY157">
            <v>0</v>
          </cell>
          <cell r="GA157">
            <v>-10331.803000000002</v>
          </cell>
          <cell r="GB157">
            <v>-10470.347321647627</v>
          </cell>
          <cell r="GC157">
            <v>0</v>
          </cell>
          <cell r="GD157">
            <v>0</v>
          </cell>
          <cell r="GE157">
            <v>10331.803000000002</v>
          </cell>
          <cell r="GF157" t="e">
            <v>#DIV/0!</v>
          </cell>
          <cell r="GG157">
            <v>0</v>
          </cell>
          <cell r="GH157">
            <v>0</v>
          </cell>
        </row>
        <row r="158">
          <cell r="A158">
            <v>36661.599853703701</v>
          </cell>
          <cell r="C158" t="str">
            <v>A.C.T.V.</v>
          </cell>
          <cell r="E158" t="str">
            <v>A.L.I.S</v>
          </cell>
          <cell r="G158" t="str">
            <v>J.ENTRIES</v>
          </cell>
          <cell r="I158" t="str">
            <v>TOTAL</v>
          </cell>
          <cell r="Q158" t="str">
            <v>G.C.&amp; CO.</v>
          </cell>
          <cell r="S158" t="str">
            <v>J.ENTRIES</v>
          </cell>
          <cell r="U158" t="str">
            <v>TOTAL</v>
          </cell>
          <cell r="W158" t="str">
            <v>עידן -כניסה לאיחוד</v>
          </cell>
          <cell r="X158" t="str">
            <v>עידן 50%</v>
          </cell>
          <cell r="Z158" t="str">
            <v>A. EDOM</v>
          </cell>
          <cell r="AB158" t="str">
            <v>J.ENTRIES</v>
          </cell>
          <cell r="AD158" t="str">
            <v>TOTAL</v>
          </cell>
          <cell r="AF158" t="str">
            <v>S.S.C.</v>
          </cell>
          <cell r="AH158" t="str">
            <v>J.ENTRIES</v>
          </cell>
          <cell r="AJ158" t="str">
            <v>TOTAL</v>
          </cell>
          <cell r="AL158" t="str">
            <v>T.L.M</v>
          </cell>
          <cell r="AN158" t="str">
            <v>J.ENTRIES</v>
          </cell>
          <cell r="AP158" t="str">
            <v>TOTAL</v>
          </cell>
          <cell r="AR158" t="str">
            <v>MERCAZ</v>
          </cell>
          <cell r="AT158" t="str">
            <v>TOTAL</v>
          </cell>
          <cell r="AV158" t="str">
            <v>J.ENTRIES</v>
          </cell>
          <cell r="AX158" t="str">
            <v>TOTAL</v>
          </cell>
          <cell r="AZ158">
            <v>36661.599855671295</v>
          </cell>
          <cell r="BC158" t="str">
            <v>A.C.T.V.</v>
          </cell>
          <cell r="BE158" t="str">
            <v>A.L.I.S</v>
          </cell>
          <cell r="BG158" t="str">
            <v>J.ENTRIES</v>
          </cell>
          <cell r="BI158" t="str">
            <v>TOTAL</v>
          </cell>
          <cell r="BX158">
            <v>0</v>
          </cell>
          <cell r="BZ158" t="str">
            <v>A. EDOM</v>
          </cell>
          <cell r="CB158" t="str">
            <v>J.ENTRIES</v>
          </cell>
          <cell r="CD158">
            <v>0</v>
          </cell>
          <cell r="CF158" t="str">
            <v>S.S.C.</v>
          </cell>
          <cell r="CH158" t="str">
            <v>J.ENTRIES</v>
          </cell>
          <cell r="CJ158" t="str">
            <v>TOTAL</v>
          </cell>
          <cell r="CL158" t="str">
            <v>T.L.M</v>
          </cell>
          <cell r="CN158" t="str">
            <v>J.ENTRIES</v>
          </cell>
          <cell r="CP158" t="str">
            <v>TOTAL</v>
          </cell>
          <cell r="CR158" t="str">
            <v>MERCAZ</v>
          </cell>
          <cell r="CT158" t="str">
            <v>TOTAL</v>
          </cell>
          <cell r="CV158" t="str">
            <v>J.ENTRIES</v>
          </cell>
          <cell r="CX158" t="str">
            <v>TOTAL</v>
          </cell>
          <cell r="FE158" t="str">
            <v>J.ENTRIES</v>
          </cell>
          <cell r="FM158" t="str">
            <v>J.ENTRIES</v>
          </cell>
          <cell r="FN158">
            <v>0</v>
          </cell>
          <cell r="FO158" t="str">
            <v>TOTAL</v>
          </cell>
          <cell r="FP158" t="str">
            <v>T.L.M</v>
          </cell>
          <cell r="FQ158" t="str">
            <v>J.ENTRIES</v>
          </cell>
          <cell r="FR158" t="str">
            <v>TOTAL</v>
          </cell>
          <cell r="FS158">
            <v>0</v>
          </cell>
          <cell r="FW158">
            <v>36661.599853703701</v>
          </cell>
          <cell r="FX158">
            <v>0</v>
          </cell>
          <cell r="GA158">
            <v>0</v>
          </cell>
          <cell r="GB158">
            <v>0</v>
          </cell>
          <cell r="GC158">
            <v>0</v>
          </cell>
          <cell r="GD158">
            <v>0</v>
          </cell>
          <cell r="GE158">
            <v>0</v>
          </cell>
          <cell r="GF158" t="e">
            <v>#DIV/0!</v>
          </cell>
          <cell r="GH158">
            <v>0</v>
          </cell>
        </row>
        <row r="159">
          <cell r="C159" t="str">
            <v>000$</v>
          </cell>
          <cell r="E159" t="str">
            <v>000$</v>
          </cell>
          <cell r="G159" t="str">
            <v>000$</v>
          </cell>
          <cell r="I159" t="str">
            <v>000$</v>
          </cell>
          <cell r="Q159" t="str">
            <v>000$</v>
          </cell>
          <cell r="S159" t="str">
            <v>000$</v>
          </cell>
          <cell r="U159" t="str">
            <v>000$</v>
          </cell>
          <cell r="W159" t="str">
            <v>000$</v>
          </cell>
          <cell r="X159" t="str">
            <v>000$</v>
          </cell>
          <cell r="Z159" t="str">
            <v>000$</v>
          </cell>
          <cell r="AD159" t="str">
            <v>000$</v>
          </cell>
          <cell r="AF159" t="str">
            <v>000$</v>
          </cell>
          <cell r="AH159" t="str">
            <v>000$</v>
          </cell>
          <cell r="AJ159" t="str">
            <v>000$</v>
          </cell>
          <cell r="AP159" t="str">
            <v>000$</v>
          </cell>
          <cell r="AR159" t="str">
            <v>000$</v>
          </cell>
          <cell r="AT159" t="str">
            <v>000$</v>
          </cell>
          <cell r="AV159" t="str">
            <v>000$</v>
          </cell>
          <cell r="AX159" t="str">
            <v>000$</v>
          </cell>
          <cell r="BC159" t="str">
            <v>000NIS</v>
          </cell>
          <cell r="BE159" t="str">
            <v>000NIS</v>
          </cell>
          <cell r="BG159" t="str">
            <v>000NIS</v>
          </cell>
          <cell r="BI159" t="str">
            <v>000NIS</v>
          </cell>
          <cell r="BX159">
            <v>0</v>
          </cell>
          <cell r="BZ159" t="str">
            <v>000NIS</v>
          </cell>
          <cell r="CB159" t="str">
            <v>000NIS</v>
          </cell>
          <cell r="CD159">
            <v>0</v>
          </cell>
          <cell r="CF159" t="str">
            <v>000NIS</v>
          </cell>
          <cell r="CH159" t="str">
            <v>000NIS</v>
          </cell>
          <cell r="CJ159" t="str">
            <v>000NIS</v>
          </cell>
          <cell r="CL159" t="str">
            <v>000NIS</v>
          </cell>
          <cell r="CN159" t="str">
            <v>000NIS</v>
          </cell>
          <cell r="CP159" t="str">
            <v>000NIS</v>
          </cell>
          <cell r="CR159" t="str">
            <v>000NIS</v>
          </cell>
          <cell r="CT159" t="str">
            <v>000$</v>
          </cell>
          <cell r="CV159" t="str">
            <v>000NIS</v>
          </cell>
          <cell r="CX159" t="str">
            <v>000NIS</v>
          </cell>
          <cell r="FN159">
            <v>0</v>
          </cell>
          <cell r="FS159">
            <v>-928.274</v>
          </cell>
          <cell r="FT159">
            <v>-928.274</v>
          </cell>
          <cell r="FU159">
            <v>928.274</v>
          </cell>
          <cell r="FV159">
            <v>0</v>
          </cell>
          <cell r="FW159" t="str">
            <v>CAPITAL FUND</v>
          </cell>
          <cell r="FX159">
            <v>0</v>
          </cell>
          <cell r="FY159">
            <v>0</v>
          </cell>
          <cell r="GA159">
            <v>0</v>
          </cell>
          <cell r="GB159">
            <v>0</v>
          </cell>
          <cell r="GC159">
            <v>0</v>
          </cell>
          <cell r="GD159">
            <v>0</v>
          </cell>
          <cell r="GE159">
            <v>0</v>
          </cell>
          <cell r="GF159" t="e">
            <v>#DIV/0!</v>
          </cell>
          <cell r="GG159" t="str">
            <v>מדד000</v>
          </cell>
          <cell r="GH159">
            <v>0</v>
          </cell>
        </row>
        <row r="160">
          <cell r="GB160">
            <v>0</v>
          </cell>
          <cell r="GC160">
            <v>0</v>
          </cell>
          <cell r="GD160">
            <v>0</v>
          </cell>
        </row>
        <row r="161">
          <cell r="GB161">
            <v>0</v>
          </cell>
          <cell r="GC161">
            <v>0</v>
          </cell>
          <cell r="GD161">
            <v>0</v>
          </cell>
        </row>
        <row r="162">
          <cell r="GB162">
            <v>0</v>
          </cell>
          <cell r="GC162">
            <v>0</v>
          </cell>
          <cell r="GD162">
            <v>0</v>
          </cell>
        </row>
        <row r="163">
          <cell r="GB163">
            <v>0</v>
          </cell>
          <cell r="GC163">
            <v>0</v>
          </cell>
          <cell r="GD163">
            <v>0</v>
          </cell>
        </row>
        <row r="164">
          <cell r="A164" t="str">
            <v>ACCUMULATED profit</v>
          </cell>
          <cell r="C164">
            <v>-24318.967000000001</v>
          </cell>
          <cell r="E164">
            <v>-18208.287</v>
          </cell>
          <cell r="G164">
            <v>3596.6195138175572</v>
          </cell>
          <cell r="I164">
            <v>-38930.63448618244</v>
          </cell>
          <cell r="M164">
            <v>-243.03250961538447</v>
          </cell>
          <cell r="O164">
            <v>-979.5</v>
          </cell>
          <cell r="Q164">
            <v>-74356.178815384614</v>
          </cell>
          <cell r="S164">
            <v>202.167</v>
          </cell>
          <cell r="U164">
            <v>-74154.011815384612</v>
          </cell>
          <cell r="W164">
            <v>433</v>
          </cell>
          <cell r="X164">
            <v>-432.5</v>
          </cell>
          <cell r="Z164">
            <v>-407.24830769230772</v>
          </cell>
          <cell r="AB164">
            <v>407</v>
          </cell>
          <cell r="AD164">
            <v>-74154.760123076936</v>
          </cell>
          <cell r="AF164">
            <v>-8362.9340000000011</v>
          </cell>
          <cell r="AH164">
            <v>-2329.5149999999999</v>
          </cell>
          <cell r="AJ164">
            <v>-10692.449000000001</v>
          </cell>
          <cell r="AL164">
            <v>-16160.913999999997</v>
          </cell>
          <cell r="AN164">
            <v>16160.611000000001</v>
          </cell>
          <cell r="AP164">
            <v>-10692.751999999997</v>
          </cell>
          <cell r="AR164">
            <v>-1091.8273484162894</v>
          </cell>
          <cell r="AT164">
            <v>-126092.50646729108</v>
          </cell>
          <cell r="AV164">
            <v>87161.863858031677</v>
          </cell>
          <cell r="AX164">
            <v>-38930.642609259361</v>
          </cell>
          <cell r="AZ164" t="str">
            <v>ACCUMULATED profit</v>
          </cell>
          <cell r="BC164">
            <v>2136.7808700000096</v>
          </cell>
          <cell r="BE164">
            <v>-67407.641000000003</v>
          </cell>
          <cell r="BG164">
            <v>15719.503536415281</v>
          </cell>
          <cell r="BI164">
            <v>-49551.356593584715</v>
          </cell>
          <cell r="BM164">
            <v>-1033.9669999999996</v>
          </cell>
          <cell r="BO164">
            <v>-5536.7749999999996</v>
          </cell>
          <cell r="BQ164">
            <v>-186130.535</v>
          </cell>
          <cell r="BS164">
            <v>0</v>
          </cell>
          <cell r="BU164">
            <v>-186130.535</v>
          </cell>
          <cell r="BW164">
            <v>-16458.5</v>
          </cell>
          <cell r="BX164">
            <v>16458.5</v>
          </cell>
          <cell r="BZ164">
            <v>-762.11900000000117</v>
          </cell>
          <cell r="CB164">
            <v>768</v>
          </cell>
          <cell r="CD164">
            <v>-186124.65400000001</v>
          </cell>
          <cell r="CF164">
            <v>-3803.982</v>
          </cell>
          <cell r="CH164">
            <v>-1948.2059999999983</v>
          </cell>
          <cell r="CJ164">
            <v>-5752.1879999999983</v>
          </cell>
          <cell r="CL164">
            <v>-10176</v>
          </cell>
          <cell r="CN164">
            <v>10176.205999999998</v>
          </cell>
          <cell r="CP164">
            <v>-5751.9819999999963</v>
          </cell>
          <cell r="CR164">
            <v>9328.08</v>
          </cell>
          <cell r="CT164">
            <v>-238670.83659358468</v>
          </cell>
          <cell r="CU164">
            <v>0.18199999997159466</v>
          </cell>
          <cell r="CV164">
            <v>189123.75900000002</v>
          </cell>
          <cell r="CX164">
            <v>-49547.077593584647</v>
          </cell>
          <cell r="FC164">
            <v>-94752.620999999999</v>
          </cell>
          <cell r="FD164">
            <v>-67407.860472</v>
          </cell>
          <cell r="FE164">
            <v>22435.880226255285</v>
          </cell>
          <cell r="FF164">
            <v>-139724.60124574471</v>
          </cell>
          <cell r="FG164">
            <v>-1009.8980000000006</v>
          </cell>
          <cell r="FH164">
            <v>-4787</v>
          </cell>
          <cell r="FI164">
            <v>-261042.58099999992</v>
          </cell>
          <cell r="FJ164">
            <v>170</v>
          </cell>
          <cell r="FK164">
            <v>-170</v>
          </cell>
          <cell r="FL164">
            <v>-1403.8139999999994</v>
          </cell>
          <cell r="FM164">
            <v>1404</v>
          </cell>
          <cell r="FN164">
            <v>-261042.39500000002</v>
          </cell>
          <cell r="FO164">
            <v>-45166.071219000005</v>
          </cell>
          <cell r="FP164">
            <v>-68192.262000000002</v>
          </cell>
          <cell r="FQ164">
            <v>68191.595218999995</v>
          </cell>
          <cell r="FR164">
            <v>-45166.738000000012</v>
          </cell>
          <cell r="FS164">
            <v>3145.0630000000001</v>
          </cell>
          <cell r="FT164">
            <v>-448585.56924574461</v>
          </cell>
          <cell r="FU164">
            <v>308861.65149999998</v>
          </cell>
          <cell r="FV164">
            <v>-139723.91774574461</v>
          </cell>
          <cell r="FW164" t="str">
            <v>ACCUMULATED profit</v>
          </cell>
          <cell r="FX164">
            <v>-261042.39500000002</v>
          </cell>
          <cell r="FY164">
            <v>-45166.738000000012</v>
          </cell>
          <cell r="FZ164">
            <v>-0.43684500000381377</v>
          </cell>
          <cell r="GA164">
            <v>-306209.56984499993</v>
          </cell>
          <cell r="GB164">
            <v>-310315.6873480326</v>
          </cell>
          <cell r="GC164">
            <v>-139723.91774574463</v>
          </cell>
          <cell r="GD164">
            <v>-141597.54574678498</v>
          </cell>
          <cell r="GE164">
            <v>120607.73899925532</v>
          </cell>
          <cell r="GF164">
            <v>3.589047300044113</v>
          </cell>
          <cell r="GG164">
            <v>-99017.617549098839</v>
          </cell>
          <cell r="GH164">
            <v>0</v>
          </cell>
        </row>
        <row r="165">
          <cell r="C165">
            <v>-24322.156999999999</v>
          </cell>
          <cell r="E165">
            <v>-18208.287</v>
          </cell>
          <cell r="G165">
            <v>3596.6195138175572</v>
          </cell>
          <cell r="I165">
            <v>-38933.824486182442</v>
          </cell>
          <cell r="M165">
            <v>-97.202461538461392</v>
          </cell>
          <cell r="O165">
            <v>-3479.5</v>
          </cell>
          <cell r="Q165">
            <v>-69135.093815384607</v>
          </cell>
          <cell r="S165">
            <v>202.167</v>
          </cell>
          <cell r="U165">
            <v>-68932.926815384606</v>
          </cell>
          <cell r="W165">
            <v>3535.5</v>
          </cell>
          <cell r="X165">
            <v>-3535</v>
          </cell>
          <cell r="Z165">
            <v>-407.57430769230774</v>
          </cell>
          <cell r="AB165">
            <v>407</v>
          </cell>
          <cell r="AD165">
            <v>-68933.675123076944</v>
          </cell>
          <cell r="AF165">
            <v>-8362.983000000002</v>
          </cell>
          <cell r="AH165">
            <v>-2329.5149999999999</v>
          </cell>
          <cell r="AJ165">
            <v>-10692.498000000001</v>
          </cell>
          <cell r="AL165">
            <v>-16160.913999999997</v>
          </cell>
          <cell r="AN165">
            <v>16160.611000000001</v>
          </cell>
          <cell r="AP165">
            <v>-10692.800999999998</v>
          </cell>
          <cell r="AR165">
            <v>-1092.8623484162895</v>
          </cell>
          <cell r="AT165">
            <v>-123229.86541921415</v>
          </cell>
          <cell r="AV165">
            <v>84296.032809954748</v>
          </cell>
          <cell r="AX165">
            <v>-38933.832609259363</v>
          </cell>
          <cell r="BC165">
            <v>2131.7808700000096</v>
          </cell>
          <cell r="BE165">
            <v>-67407.641000000003</v>
          </cell>
          <cell r="BG165">
            <v>15719.503536415281</v>
          </cell>
          <cell r="BI165">
            <v>-49556.356593584715</v>
          </cell>
          <cell r="BM165">
            <v>-410.67849999999964</v>
          </cell>
          <cell r="BO165">
            <v>-13718.275</v>
          </cell>
          <cell r="BQ165">
            <v>-198518.92199999999</v>
          </cell>
          <cell r="BS165">
            <v>0</v>
          </cell>
          <cell r="BU165">
            <v>-198518.92199999999</v>
          </cell>
          <cell r="BW165">
            <v>-10031</v>
          </cell>
          <cell r="BX165">
            <v>10031</v>
          </cell>
          <cell r="BZ165">
            <v>-763.11900000000117</v>
          </cell>
          <cell r="CB165">
            <v>768</v>
          </cell>
          <cell r="CD165">
            <v>-198514.041</v>
          </cell>
          <cell r="CF165">
            <v>-3804.0819999999999</v>
          </cell>
          <cell r="CH165">
            <v>-1948.2059999999983</v>
          </cell>
          <cell r="CJ165">
            <v>-5752.2879999999986</v>
          </cell>
          <cell r="CL165">
            <v>-10176.1</v>
          </cell>
          <cell r="CN165">
            <v>10176.205999999998</v>
          </cell>
          <cell r="CP165">
            <v>-5752.1819999999962</v>
          </cell>
          <cell r="CR165">
            <v>9326.08</v>
          </cell>
          <cell r="CT165">
            <v>-258625.63509358469</v>
          </cell>
          <cell r="CU165">
            <v>0.18199999997159466</v>
          </cell>
          <cell r="CV165">
            <v>209073.55750000002</v>
          </cell>
          <cell r="CX165">
            <v>-49552.077593584647</v>
          </cell>
          <cell r="FC165">
            <v>-94770.263999999996</v>
          </cell>
          <cell r="FD165">
            <v>-67407.860472</v>
          </cell>
          <cell r="FE165">
            <v>22435.880226255285</v>
          </cell>
          <cell r="FF165">
            <v>-139742.24424574472</v>
          </cell>
          <cell r="FG165">
            <v>-403.24500000000057</v>
          </cell>
          <cell r="FH165">
            <v>-14234.5</v>
          </cell>
          <cell r="FI165">
            <v>-271374.3839999999</v>
          </cell>
          <cell r="FJ165">
            <v>15790.5</v>
          </cell>
          <cell r="FK165">
            <v>-15790.5</v>
          </cell>
          <cell r="FL165">
            <v>-1404.8139999999994</v>
          </cell>
          <cell r="FM165">
            <v>1405</v>
          </cell>
          <cell r="FN165">
            <v>-271374.19800000003</v>
          </cell>
          <cell r="FO165">
            <v>-45166.300219000004</v>
          </cell>
          <cell r="FP165">
            <v>-68192.262000000002</v>
          </cell>
          <cell r="FQ165">
            <v>68191.595218999995</v>
          </cell>
          <cell r="FR165">
            <v>-45166.967000000011</v>
          </cell>
          <cell r="FS165">
            <v>2210.9990000000003</v>
          </cell>
          <cell r="FT165">
            <v>-468710.15524574462</v>
          </cell>
          <cell r="FU165">
            <v>328968.59450000001</v>
          </cell>
          <cell r="FV165">
            <v>-139741.56074574462</v>
          </cell>
          <cell r="FX165">
            <v>-271374.19800000003</v>
          </cell>
          <cell r="FY165">
            <v>-45166.967000000011</v>
          </cell>
          <cell r="FZ165">
            <v>-0.43684500000381377</v>
          </cell>
          <cell r="GA165">
            <v>-316541.60184499994</v>
          </cell>
          <cell r="GB165">
            <v>-320786.26674045593</v>
          </cell>
          <cell r="GC165">
            <v>-139741.56074574465</v>
          </cell>
          <cell r="GD165">
            <v>-141615.4253306094</v>
          </cell>
          <cell r="GE165">
            <v>130922.12799925532</v>
          </cell>
          <cell r="GF165">
            <v>3.5892063889058496</v>
          </cell>
          <cell r="GG165">
            <v>-99034.99703962791</v>
          </cell>
          <cell r="GH165">
            <v>0</v>
          </cell>
        </row>
        <row r="166">
          <cell r="A166" t="str">
            <v>MINORITY INTERESTS</v>
          </cell>
          <cell r="AT166">
            <v>0</v>
          </cell>
          <cell r="AZ166" t="str">
            <v>MINORITY INTERESTS</v>
          </cell>
          <cell r="BX166">
            <v>0</v>
          </cell>
          <cell r="CD166">
            <v>0</v>
          </cell>
          <cell r="CT166">
            <v>0</v>
          </cell>
          <cell r="CU166">
            <v>0</v>
          </cell>
          <cell r="FN166">
            <v>0</v>
          </cell>
          <cell r="FS166">
            <v>0</v>
          </cell>
          <cell r="FW166" t="str">
            <v>MINORITY INTERESTS</v>
          </cell>
          <cell r="FX166">
            <v>0</v>
          </cell>
          <cell r="FY166">
            <v>0</v>
          </cell>
          <cell r="GA166">
            <v>0</v>
          </cell>
          <cell r="GB166">
            <v>0</v>
          </cell>
          <cell r="GC166">
            <v>0</v>
          </cell>
          <cell r="GD166">
            <v>0</v>
          </cell>
          <cell r="GE166">
            <v>0</v>
          </cell>
          <cell r="GF166" t="e">
            <v>#DIV/0!</v>
          </cell>
          <cell r="GH166">
            <v>0</v>
          </cell>
          <cell r="GT166" t="str">
            <v xml:space="preserve">דוח דולר  </v>
          </cell>
          <cell r="HJ166" t="str">
            <v>{edit}{home}({end})*1000{D}</v>
          </cell>
        </row>
        <row r="167">
          <cell r="A167" t="str">
            <v>G.C.&amp; CO.</v>
          </cell>
          <cell r="B167">
            <v>0.3</v>
          </cell>
          <cell r="I167">
            <v>0</v>
          </cell>
          <cell r="U167">
            <v>0</v>
          </cell>
          <cell r="AD167">
            <v>0</v>
          </cell>
          <cell r="AJ167">
            <v>0</v>
          </cell>
          <cell r="AP167">
            <v>0</v>
          </cell>
          <cell r="AT167">
            <v>0</v>
          </cell>
          <cell r="AV167">
            <v>2614.2529999999997</v>
          </cell>
          <cell r="AX167">
            <v>2614.2529999999997</v>
          </cell>
          <cell r="AZ167" t="str">
            <v>G.C.&amp; CO.</v>
          </cell>
          <cell r="BA167">
            <v>0.3</v>
          </cell>
          <cell r="BI167">
            <v>0</v>
          </cell>
          <cell r="BU167">
            <v>0</v>
          </cell>
          <cell r="BX167">
            <v>0</v>
          </cell>
          <cell r="CD167">
            <v>0</v>
          </cell>
          <cell r="CJ167">
            <v>0</v>
          </cell>
          <cell r="CP167">
            <v>0</v>
          </cell>
          <cell r="CT167">
            <v>0</v>
          </cell>
          <cell r="CU167">
            <v>0</v>
          </cell>
          <cell r="CV167">
            <v>-299.11399999999776</v>
          </cell>
          <cell r="CX167">
            <v>-299.11399999999776</v>
          </cell>
          <cell r="FN167">
            <v>0</v>
          </cell>
          <cell r="FO167">
            <v>0</v>
          </cell>
          <cell r="FR167">
            <v>0</v>
          </cell>
          <cell r="FS167">
            <v>0</v>
          </cell>
          <cell r="FT167">
            <v>0</v>
          </cell>
          <cell r="FU167">
            <v>848.51299999999901</v>
          </cell>
          <cell r="FV167">
            <v>848.51299999999901</v>
          </cell>
          <cell r="FW167" t="str">
            <v>G.C.&amp; CO.</v>
          </cell>
          <cell r="FX167">
            <v>0</v>
          </cell>
          <cell r="FY167">
            <v>0</v>
          </cell>
          <cell r="GA167">
            <v>0</v>
          </cell>
          <cell r="GB167">
            <v>0</v>
          </cell>
          <cell r="GC167">
            <v>848.51299999999901</v>
          </cell>
          <cell r="GD167">
            <v>859.89113583884443</v>
          </cell>
          <cell r="GE167">
            <v>848.51299999999901</v>
          </cell>
          <cell r="GF167">
            <v>0.32457187579013935</v>
          </cell>
          <cell r="GG167">
            <v>7518.2845652531132</v>
          </cell>
          <cell r="GH167">
            <v>0</v>
          </cell>
        </row>
        <row r="168">
          <cell r="A168" t="str">
            <v>accum.profit</v>
          </cell>
          <cell r="I168">
            <v>0</v>
          </cell>
          <cell r="U168">
            <v>0</v>
          </cell>
          <cell r="AD168">
            <v>0</v>
          </cell>
          <cell r="AJ168">
            <v>0</v>
          </cell>
          <cell r="AP168">
            <v>0</v>
          </cell>
          <cell r="AT168">
            <v>0</v>
          </cell>
          <cell r="AV168">
            <v>-14500.133999999998</v>
          </cell>
          <cell r="AX168">
            <v>-14500.133999999998</v>
          </cell>
          <cell r="AZ168" t="str">
            <v>accum.profit</v>
          </cell>
          <cell r="BI168">
            <v>0</v>
          </cell>
          <cell r="BU168">
            <v>0</v>
          </cell>
          <cell r="BX168">
            <v>0</v>
          </cell>
          <cell r="CD168">
            <v>0</v>
          </cell>
          <cell r="CJ168">
            <v>0</v>
          </cell>
          <cell r="CP168">
            <v>0</v>
          </cell>
          <cell r="CT168">
            <v>0</v>
          </cell>
          <cell r="CU168">
            <v>0</v>
          </cell>
          <cell r="CV168">
            <v>-42798.372000000003</v>
          </cell>
          <cell r="CX168">
            <v>-42798.372000000003</v>
          </cell>
          <cell r="FN168">
            <v>0</v>
          </cell>
          <cell r="FO168">
            <v>0</v>
          </cell>
          <cell r="FR168">
            <v>0</v>
          </cell>
          <cell r="FS168">
            <v>0</v>
          </cell>
          <cell r="FT168">
            <v>0</v>
          </cell>
          <cell r="FU168">
            <v>-58934.150097975158</v>
          </cell>
          <cell r="FV168">
            <v>-58934.150097975158</v>
          </cell>
          <cell r="FW168" t="str">
            <v>accum.profit</v>
          </cell>
          <cell r="FX168">
            <v>0</v>
          </cell>
          <cell r="FY168">
            <v>0</v>
          </cell>
          <cell r="GA168">
            <v>0</v>
          </cell>
          <cell r="GB168">
            <v>0</v>
          </cell>
          <cell r="GC168">
            <v>-58934.150097975158</v>
          </cell>
          <cell r="GD168">
            <v>-59724.427636871631</v>
          </cell>
          <cell r="GE168">
            <v>-58934.150097975158</v>
          </cell>
          <cell r="GF168">
            <v>4.0643865841498545</v>
          </cell>
          <cell r="GG168">
            <v>-36481.900686982939</v>
          </cell>
          <cell r="GH168">
            <v>0</v>
          </cell>
        </row>
        <row r="169">
          <cell r="A169" t="str">
            <v>per.results'</v>
          </cell>
          <cell r="I169">
            <v>0</v>
          </cell>
          <cell r="U169">
            <v>0</v>
          </cell>
          <cell r="AD169">
            <v>0</v>
          </cell>
          <cell r="AJ169">
            <v>0</v>
          </cell>
          <cell r="AP169">
            <v>0</v>
          </cell>
          <cell r="AT169">
            <v>0</v>
          </cell>
          <cell r="AV169">
            <v>-7746</v>
          </cell>
          <cell r="AX169">
            <v>-7746</v>
          </cell>
          <cell r="AZ169" t="str">
            <v>per.results'</v>
          </cell>
          <cell r="BI169">
            <v>0</v>
          </cell>
          <cell r="BU169">
            <v>0</v>
          </cell>
          <cell r="BX169">
            <v>0</v>
          </cell>
          <cell r="CD169">
            <v>0</v>
          </cell>
          <cell r="CJ169">
            <v>0</v>
          </cell>
          <cell r="CP169">
            <v>0</v>
          </cell>
          <cell r="CT169">
            <v>0</v>
          </cell>
          <cell r="CU169">
            <v>0</v>
          </cell>
          <cell r="CV169">
            <v>-13039</v>
          </cell>
          <cell r="CX169">
            <v>-13039</v>
          </cell>
          <cell r="FN169">
            <v>0</v>
          </cell>
          <cell r="FO169">
            <v>0</v>
          </cell>
          <cell r="FR169">
            <v>0</v>
          </cell>
          <cell r="FS169">
            <v>0</v>
          </cell>
          <cell r="FT169">
            <v>0</v>
          </cell>
          <cell r="FU169">
            <v>-19376.33429999998</v>
          </cell>
          <cell r="FV169">
            <v>-19376.33429999998</v>
          </cell>
          <cell r="FW169" t="str">
            <v>per.results'</v>
          </cell>
          <cell r="FX169">
            <v>0</v>
          </cell>
          <cell r="FY169">
            <v>0</v>
          </cell>
          <cell r="GA169">
            <v>0</v>
          </cell>
          <cell r="GB169">
            <v>0</v>
          </cell>
          <cell r="GC169">
            <v>-19376.33429999998</v>
          </cell>
          <cell r="GD169">
            <v>-19636.161272272981</v>
          </cell>
          <cell r="GE169">
            <v>-19376.33429999998</v>
          </cell>
          <cell r="GF169">
            <v>2.5014632455460859</v>
          </cell>
          <cell r="GG169">
            <v>-22461.670949802468</v>
          </cell>
          <cell r="GH169">
            <v>0</v>
          </cell>
        </row>
        <row r="170">
          <cell r="A170" t="str">
            <v>s. IEDIOT accum.profit</v>
          </cell>
          <cell r="AT170">
            <v>0</v>
          </cell>
          <cell r="AV170">
            <v>-735</v>
          </cell>
          <cell r="AX170">
            <v>-735</v>
          </cell>
          <cell r="AZ170" t="str">
            <v>s. IEDIOT accum.profit</v>
          </cell>
          <cell r="BI170">
            <v>0</v>
          </cell>
          <cell r="BU170">
            <v>0</v>
          </cell>
          <cell r="BX170">
            <v>0</v>
          </cell>
          <cell r="CD170">
            <v>0</v>
          </cell>
          <cell r="CJ170">
            <v>0</v>
          </cell>
          <cell r="CP170">
            <v>0</v>
          </cell>
          <cell r="CT170">
            <v>0</v>
          </cell>
          <cell r="CU170">
            <v>0</v>
          </cell>
          <cell r="CV170">
            <v>-2458.9899999999998</v>
          </cell>
          <cell r="CX170">
            <v>-2458.9899999999998</v>
          </cell>
          <cell r="FN170">
            <v>0</v>
          </cell>
          <cell r="FO170">
            <v>0</v>
          </cell>
          <cell r="FR170">
            <v>0</v>
          </cell>
          <cell r="FS170">
            <v>0</v>
          </cell>
          <cell r="FT170">
            <v>0</v>
          </cell>
          <cell r="FU170">
            <v>-2791.5806662312216</v>
          </cell>
          <cell r="FV170">
            <v>-2791.5806662312216</v>
          </cell>
          <cell r="FW170" t="str">
            <v>s. IEDIOT accum.profit</v>
          </cell>
          <cell r="FX170">
            <v>0</v>
          </cell>
          <cell r="FY170">
            <v>0</v>
          </cell>
          <cell r="GA170">
            <v>0</v>
          </cell>
          <cell r="GB170">
            <v>0</v>
          </cell>
          <cell r="GC170">
            <v>-2791.5806662312216</v>
          </cell>
          <cell r="GD170">
            <v>-2829.0143696930108</v>
          </cell>
          <cell r="GE170">
            <v>-2791.5806662312216</v>
          </cell>
          <cell r="GF170">
            <v>3.7980689336479205</v>
          </cell>
          <cell r="GG170">
            <v>-1851.2641509433965</v>
          </cell>
          <cell r="GH170">
            <v>0</v>
          </cell>
        </row>
        <row r="171">
          <cell r="A171" t="str">
            <v>s. IEDIOT per.results'</v>
          </cell>
          <cell r="AT171">
            <v>0</v>
          </cell>
          <cell r="AV171">
            <v>-245</v>
          </cell>
          <cell r="AX171">
            <v>-245</v>
          </cell>
          <cell r="AZ171" t="str">
            <v>s. IEDIOT per.results'</v>
          </cell>
          <cell r="BI171">
            <v>0</v>
          </cell>
          <cell r="BU171">
            <v>0</v>
          </cell>
          <cell r="BX171">
            <v>0</v>
          </cell>
          <cell r="CD171">
            <v>0</v>
          </cell>
          <cell r="CJ171">
            <v>0</v>
          </cell>
          <cell r="CP171">
            <v>0</v>
          </cell>
          <cell r="CT171">
            <v>0</v>
          </cell>
          <cell r="CU171">
            <v>0</v>
          </cell>
          <cell r="CV171">
            <v>-1019.2</v>
          </cell>
          <cell r="CX171">
            <v>-1019.2</v>
          </cell>
          <cell r="FN171">
            <v>0</v>
          </cell>
          <cell r="FO171">
            <v>0</v>
          </cell>
          <cell r="FR171">
            <v>0</v>
          </cell>
          <cell r="FS171">
            <v>0</v>
          </cell>
          <cell r="FT171">
            <v>0</v>
          </cell>
          <cell r="FU171">
            <v>-1019.2</v>
          </cell>
          <cell r="FV171">
            <v>-1019.2</v>
          </cell>
          <cell r="FW171" t="str">
            <v>s. IEDIOT per.results'</v>
          </cell>
          <cell r="FX171">
            <v>0</v>
          </cell>
          <cell r="FY171">
            <v>0</v>
          </cell>
          <cell r="GA171">
            <v>0</v>
          </cell>
          <cell r="GB171">
            <v>0</v>
          </cell>
          <cell r="GC171">
            <v>-1019.2</v>
          </cell>
          <cell r="GD171">
            <v>-1032.8669633193024</v>
          </cell>
          <cell r="GE171">
            <v>-1019.2</v>
          </cell>
          <cell r="GF171">
            <v>4.16</v>
          </cell>
          <cell r="GG171">
            <v>-940.66492488569577</v>
          </cell>
          <cell r="GH171">
            <v>0</v>
          </cell>
        </row>
        <row r="172">
          <cell r="B172" t="str">
            <v xml:space="preserve">total </v>
          </cell>
          <cell r="C172">
            <v>0</v>
          </cell>
          <cell r="E172">
            <v>0</v>
          </cell>
          <cell r="G172">
            <v>0</v>
          </cell>
          <cell r="I172">
            <v>0</v>
          </cell>
          <cell r="O172">
            <v>0</v>
          </cell>
          <cell r="Q172">
            <v>0</v>
          </cell>
          <cell r="S172">
            <v>0</v>
          </cell>
          <cell r="U172">
            <v>0</v>
          </cell>
          <cell r="Z172">
            <v>0</v>
          </cell>
          <cell r="AB172">
            <v>0</v>
          </cell>
          <cell r="AD172">
            <v>0</v>
          </cell>
          <cell r="AF172">
            <v>0</v>
          </cell>
          <cell r="AH172">
            <v>0</v>
          </cell>
          <cell r="AJ172">
            <v>0</v>
          </cell>
          <cell r="AL172">
            <v>0</v>
          </cell>
          <cell r="AN172">
            <v>0</v>
          </cell>
          <cell r="AP172">
            <v>0</v>
          </cell>
          <cell r="AR172">
            <v>0</v>
          </cell>
          <cell r="AT172">
            <v>0</v>
          </cell>
          <cell r="AV172">
            <v>-20611.880999999998</v>
          </cell>
          <cell r="AX172">
            <v>-20611.880999999998</v>
          </cell>
          <cell r="BA172" t="str">
            <v xml:space="preserve">total </v>
          </cell>
          <cell r="BC172">
            <v>0</v>
          </cell>
          <cell r="BE172">
            <v>0</v>
          </cell>
          <cell r="BG172">
            <v>0</v>
          </cell>
          <cell r="BI172">
            <v>0</v>
          </cell>
          <cell r="BO172">
            <v>0</v>
          </cell>
          <cell r="BQ172">
            <v>0</v>
          </cell>
          <cell r="BS172">
            <v>0</v>
          </cell>
          <cell r="BU172">
            <v>0</v>
          </cell>
          <cell r="BW172">
            <v>0</v>
          </cell>
          <cell r="BX172">
            <v>0</v>
          </cell>
          <cell r="BZ172">
            <v>0</v>
          </cell>
          <cell r="CB172">
            <v>0</v>
          </cell>
          <cell r="CD172">
            <v>0</v>
          </cell>
          <cell r="CF172">
            <v>0</v>
          </cell>
          <cell r="CH172">
            <v>0</v>
          </cell>
          <cell r="CJ172">
            <v>0</v>
          </cell>
          <cell r="CL172">
            <v>0</v>
          </cell>
          <cell r="CN172">
            <v>0</v>
          </cell>
          <cell r="CP172">
            <v>0</v>
          </cell>
          <cell r="CR172">
            <v>0</v>
          </cell>
          <cell r="CT172">
            <v>0</v>
          </cell>
          <cell r="CU172">
            <v>0</v>
          </cell>
          <cell r="CV172">
            <v>-59614.675999999999</v>
          </cell>
          <cell r="CX172">
            <v>-59614.675999999999</v>
          </cell>
          <cell r="FD172">
            <v>0</v>
          </cell>
          <cell r="FE172">
            <v>0</v>
          </cell>
          <cell r="FI172">
            <v>0</v>
          </cell>
          <cell r="FM172">
            <v>0</v>
          </cell>
          <cell r="FN172">
            <v>0</v>
          </cell>
          <cell r="FO172">
            <v>0</v>
          </cell>
          <cell r="FP172">
            <v>0</v>
          </cell>
          <cell r="FQ172">
            <v>0</v>
          </cell>
          <cell r="FR172">
            <v>0</v>
          </cell>
          <cell r="FS172">
            <v>0</v>
          </cell>
          <cell r="FT172">
            <v>0</v>
          </cell>
          <cell r="FU172">
            <v>-81272.752064206361</v>
          </cell>
          <cell r="FV172">
            <v>-81272.752064206361</v>
          </cell>
          <cell r="FX172">
            <v>0</v>
          </cell>
          <cell r="FY172">
            <v>0</v>
          </cell>
          <cell r="FZ172">
            <v>0</v>
          </cell>
          <cell r="GA172">
            <v>0</v>
          </cell>
          <cell r="GB172">
            <v>0</v>
          </cell>
          <cell r="GC172">
            <v>-81272.752064206361</v>
          </cell>
          <cell r="GD172">
            <v>-82362.579106318095</v>
          </cell>
          <cell r="GE172">
            <v>-81272.752064206361</v>
          </cell>
          <cell r="GF172">
            <v>3.9430051077922665</v>
          </cell>
          <cell r="GG172">
            <v>-54217.216147361389</v>
          </cell>
          <cell r="GH172">
            <v>0</v>
          </cell>
        </row>
        <row r="173">
          <cell r="A173" t="str">
            <v>MERCAZ</v>
          </cell>
          <cell r="B173">
            <v>0.3</v>
          </cell>
          <cell r="AD173">
            <v>0</v>
          </cell>
          <cell r="AJ173">
            <v>0</v>
          </cell>
          <cell r="AP173">
            <v>0</v>
          </cell>
          <cell r="AT173">
            <v>0</v>
          </cell>
          <cell r="AV173">
            <v>0</v>
          </cell>
          <cell r="AX173">
            <v>0</v>
          </cell>
          <cell r="AZ173" t="str">
            <v>MERCAZ</v>
          </cell>
          <cell r="BA173">
            <v>0.3</v>
          </cell>
          <cell r="BX173">
            <v>0</v>
          </cell>
          <cell r="CD173">
            <v>0</v>
          </cell>
          <cell r="CJ173">
            <v>0</v>
          </cell>
          <cell r="CP173">
            <v>0</v>
          </cell>
          <cell r="CT173">
            <v>0</v>
          </cell>
          <cell r="CU173">
            <v>0</v>
          </cell>
          <cell r="CV173">
            <v>-0.6</v>
          </cell>
          <cell r="CX173">
            <v>-0.6</v>
          </cell>
          <cell r="FO173">
            <v>0</v>
          </cell>
          <cell r="FR173">
            <v>0</v>
          </cell>
          <cell r="FS173">
            <v>0</v>
          </cell>
          <cell r="FT173">
            <v>0</v>
          </cell>
          <cell r="FU173">
            <v>-280.21920000000006</v>
          </cell>
          <cell r="FV173">
            <v>-280.21920000000006</v>
          </cell>
          <cell r="FW173" t="str">
            <v>MERCAZ</v>
          </cell>
          <cell r="FX173">
            <v>0</v>
          </cell>
          <cell r="FY173">
            <v>0</v>
          </cell>
          <cell r="GA173">
            <v>0</v>
          </cell>
          <cell r="GB173">
            <v>0</v>
          </cell>
          <cell r="GC173">
            <v>-280.21920000000006</v>
          </cell>
          <cell r="GD173">
            <v>-283.97679961515337</v>
          </cell>
          <cell r="GE173">
            <v>-280.21920000000006</v>
          </cell>
          <cell r="GF173" t="e">
            <v>#DIV/0!</v>
          </cell>
          <cell r="GG173">
            <v>-280.21888503528623</v>
          </cell>
          <cell r="GH173">
            <v>0</v>
          </cell>
        </row>
        <row r="174">
          <cell r="A174" t="str">
            <v>accum.loss</v>
          </cell>
          <cell r="AD174">
            <v>0</v>
          </cell>
          <cell r="AJ174">
            <v>0</v>
          </cell>
          <cell r="AP174">
            <v>0</v>
          </cell>
          <cell r="AT174">
            <v>0</v>
          </cell>
          <cell r="AV174">
            <v>106.13865158371038</v>
          </cell>
          <cell r="AX174">
            <v>106.13865158371038</v>
          </cell>
          <cell r="AZ174" t="str">
            <v>accum.loss</v>
          </cell>
          <cell r="BX174">
            <v>0</v>
          </cell>
          <cell r="CD174">
            <v>0</v>
          </cell>
          <cell r="CJ174">
            <v>0</v>
          </cell>
          <cell r="CP174">
            <v>0</v>
          </cell>
          <cell r="CT174">
            <v>0</v>
          </cell>
          <cell r="CU174">
            <v>0</v>
          </cell>
          <cell r="CV174">
            <v>854.09899999999971</v>
          </cell>
          <cell r="CX174">
            <v>854.09899999999971</v>
          </cell>
          <cell r="FN174">
            <v>0</v>
          </cell>
          <cell r="FO174">
            <v>0</v>
          </cell>
          <cell r="FR174">
            <v>0</v>
          </cell>
          <cell r="FS174">
            <v>0</v>
          </cell>
          <cell r="FT174">
            <v>0</v>
          </cell>
          <cell r="FU174">
            <v>901.14064598301775</v>
          </cell>
          <cell r="FV174">
            <v>901.14064598301775</v>
          </cell>
          <cell r="FW174" t="str">
            <v>accum.loss</v>
          </cell>
          <cell r="FX174">
            <v>0</v>
          </cell>
          <cell r="FY174">
            <v>0</v>
          </cell>
          <cell r="GA174">
            <v>0</v>
          </cell>
          <cell r="GB174">
            <v>0</v>
          </cell>
          <cell r="GC174">
            <v>901.14064598301775</v>
          </cell>
          <cell r="GD174">
            <v>913.22449228814173</v>
          </cell>
          <cell r="GE174">
            <v>901.14064598301775</v>
          </cell>
          <cell r="GF174">
            <v>8.4902213523251522</v>
          </cell>
          <cell r="GG174">
            <v>225.33900013769136</v>
          </cell>
          <cell r="GH174">
            <v>0</v>
          </cell>
        </row>
        <row r="175">
          <cell r="A175" t="str">
            <v>per.results'</v>
          </cell>
          <cell r="AD175">
            <v>0</v>
          </cell>
          <cell r="AJ175">
            <v>0</v>
          </cell>
          <cell r="AP175">
            <v>0</v>
          </cell>
          <cell r="AT175">
            <v>0</v>
          </cell>
          <cell r="AV175">
            <v>-434</v>
          </cell>
          <cell r="AX175">
            <v>-434</v>
          </cell>
          <cell r="AZ175" t="str">
            <v>per.results'</v>
          </cell>
          <cell r="BX175">
            <v>0</v>
          </cell>
          <cell r="CD175">
            <v>0</v>
          </cell>
          <cell r="CJ175">
            <v>0</v>
          </cell>
          <cell r="CP175">
            <v>0</v>
          </cell>
          <cell r="CT175">
            <v>0</v>
          </cell>
          <cell r="CU175">
            <v>0</v>
          </cell>
          <cell r="CV175">
            <v>1944.7980000000002</v>
          </cell>
          <cell r="CX175">
            <v>1944.7980000000002</v>
          </cell>
          <cell r="FN175">
            <v>0</v>
          </cell>
          <cell r="FO175">
            <v>0</v>
          </cell>
          <cell r="FR175">
            <v>0</v>
          </cell>
          <cell r="FS175">
            <v>0</v>
          </cell>
          <cell r="FT175">
            <v>0</v>
          </cell>
          <cell r="FU175">
            <v>42.30119999999998</v>
          </cell>
          <cell r="FV175">
            <v>42.30119999999998</v>
          </cell>
          <cell r="FW175" t="str">
            <v>per.results'</v>
          </cell>
          <cell r="FX175">
            <v>0</v>
          </cell>
          <cell r="FY175">
            <v>0</v>
          </cell>
          <cell r="GA175">
            <v>0</v>
          </cell>
          <cell r="GB175">
            <v>0</v>
          </cell>
          <cell r="GC175">
            <v>42.30119999999998</v>
          </cell>
          <cell r="GD175">
            <v>42.868437979554997</v>
          </cell>
          <cell r="GE175">
            <v>42.30119999999998</v>
          </cell>
          <cell r="GF175">
            <v>-9.7468202764976919E-2</v>
          </cell>
          <cell r="GG175">
            <v>676.67915349444809</v>
          </cell>
          <cell r="GH175">
            <v>0</v>
          </cell>
        </row>
        <row r="176">
          <cell r="B176" t="str">
            <v xml:space="preserve">total </v>
          </cell>
          <cell r="C176">
            <v>0</v>
          </cell>
          <cell r="E176">
            <v>0</v>
          </cell>
          <cell r="G176">
            <v>0</v>
          </cell>
          <cell r="I176">
            <v>0</v>
          </cell>
          <cell r="Q176">
            <v>0</v>
          </cell>
          <cell r="S176">
            <v>0</v>
          </cell>
          <cell r="U176">
            <v>0</v>
          </cell>
          <cell r="Z176">
            <v>0</v>
          </cell>
          <cell r="AB176">
            <v>0</v>
          </cell>
          <cell r="AD176">
            <v>0</v>
          </cell>
          <cell r="AF176">
            <v>0</v>
          </cell>
          <cell r="AH176">
            <v>0</v>
          </cell>
          <cell r="AJ176">
            <v>0</v>
          </cell>
          <cell r="AL176">
            <v>0</v>
          </cell>
          <cell r="AN176">
            <v>0</v>
          </cell>
          <cell r="AP176">
            <v>0</v>
          </cell>
          <cell r="AR176">
            <v>0</v>
          </cell>
          <cell r="AT176">
            <v>0</v>
          </cell>
          <cell r="AV176">
            <v>-327.86134841628962</v>
          </cell>
          <cell r="AX176">
            <v>-327.86134841628962</v>
          </cell>
          <cell r="BA176" t="str">
            <v xml:space="preserve">total </v>
          </cell>
          <cell r="BC176">
            <v>0</v>
          </cell>
          <cell r="BE176">
            <v>0</v>
          </cell>
          <cell r="BG176">
            <v>0</v>
          </cell>
          <cell r="BI176">
            <v>0</v>
          </cell>
          <cell r="BQ176">
            <v>0</v>
          </cell>
          <cell r="BS176">
            <v>0</v>
          </cell>
          <cell r="BU176">
            <v>0</v>
          </cell>
          <cell r="BX176">
            <v>0</v>
          </cell>
          <cell r="BZ176">
            <v>0</v>
          </cell>
          <cell r="CB176">
            <v>0</v>
          </cell>
          <cell r="CD176">
            <v>0</v>
          </cell>
          <cell r="CF176">
            <v>0</v>
          </cell>
          <cell r="CH176">
            <v>0</v>
          </cell>
          <cell r="CJ176">
            <v>0</v>
          </cell>
          <cell r="CL176">
            <v>0</v>
          </cell>
          <cell r="CN176">
            <v>0</v>
          </cell>
          <cell r="CP176">
            <v>0</v>
          </cell>
          <cell r="CR176">
            <v>0</v>
          </cell>
          <cell r="CT176">
            <v>0</v>
          </cell>
          <cell r="CU176">
            <v>0</v>
          </cell>
          <cell r="CV176">
            <v>2798.297</v>
          </cell>
          <cell r="CX176">
            <v>2798.297</v>
          </cell>
          <cell r="FD176">
            <v>0</v>
          </cell>
          <cell r="FE176">
            <v>0</v>
          </cell>
          <cell r="FI176">
            <v>0</v>
          </cell>
          <cell r="FM176">
            <v>0</v>
          </cell>
          <cell r="FN176">
            <v>0</v>
          </cell>
          <cell r="FO176">
            <v>0</v>
          </cell>
          <cell r="FP176">
            <v>0</v>
          </cell>
          <cell r="FQ176">
            <v>0</v>
          </cell>
          <cell r="FR176">
            <v>0</v>
          </cell>
          <cell r="FS176">
            <v>0</v>
          </cell>
          <cell r="FT176">
            <v>0</v>
          </cell>
          <cell r="FU176">
            <v>663.22264598301774</v>
          </cell>
          <cell r="FV176">
            <v>663.22264598301774</v>
          </cell>
          <cell r="FX176">
            <v>0</v>
          </cell>
          <cell r="FY176">
            <v>0</v>
          </cell>
          <cell r="FZ176">
            <v>0</v>
          </cell>
          <cell r="GA176">
            <v>0</v>
          </cell>
          <cell r="GB176">
            <v>0</v>
          </cell>
          <cell r="GC176">
            <v>663.22264598301774</v>
          </cell>
          <cell r="GD176">
            <v>672.11613065254335</v>
          </cell>
          <cell r="GE176">
            <v>663.22264598301774</v>
          </cell>
          <cell r="GF176">
            <v>-2.0228753684649514</v>
          </cell>
          <cell r="GG176">
            <v>621.79926859685338</v>
          </cell>
          <cell r="GH176">
            <v>0</v>
          </cell>
        </row>
        <row r="177">
          <cell r="A177" t="str">
            <v>S.S.C.</v>
          </cell>
          <cell r="B177">
            <v>0.3</v>
          </cell>
          <cell r="AD177">
            <v>0</v>
          </cell>
          <cell r="AJ177">
            <v>0</v>
          </cell>
          <cell r="AP177">
            <v>0</v>
          </cell>
          <cell r="AT177">
            <v>0</v>
          </cell>
          <cell r="AV177">
            <v>1478</v>
          </cell>
          <cell r="AX177">
            <v>1478</v>
          </cell>
          <cell r="AZ177" t="str">
            <v>S.S.C.</v>
          </cell>
          <cell r="BA177">
            <v>0.3</v>
          </cell>
          <cell r="BX177">
            <v>0</v>
          </cell>
          <cell r="CD177">
            <v>0</v>
          </cell>
          <cell r="CJ177">
            <v>0</v>
          </cell>
          <cell r="CP177">
            <v>0</v>
          </cell>
          <cell r="CT177">
            <v>0</v>
          </cell>
          <cell r="CU177">
            <v>0</v>
          </cell>
          <cell r="CV177">
            <v>6171.54</v>
          </cell>
          <cell r="CX177">
            <v>6171.54</v>
          </cell>
          <cell r="FO177">
            <v>0</v>
          </cell>
          <cell r="FR177">
            <v>0</v>
          </cell>
          <cell r="FS177">
            <v>0</v>
          </cell>
          <cell r="FT177">
            <v>0</v>
          </cell>
          <cell r="FU177">
            <v>6171.5313000000015</v>
          </cell>
          <cell r="FV177">
            <v>6171.5313000000015</v>
          </cell>
          <cell r="FW177" t="str">
            <v>S.S.C.</v>
          </cell>
          <cell r="FX177">
            <v>0</v>
          </cell>
          <cell r="FY177">
            <v>0</v>
          </cell>
          <cell r="GA177">
            <v>0</v>
          </cell>
          <cell r="GB177">
            <v>0</v>
          </cell>
          <cell r="GC177">
            <v>6171.5313000000015</v>
          </cell>
          <cell r="GD177">
            <v>6254.2884545339766</v>
          </cell>
          <cell r="GE177">
            <v>6171.5313000000015</v>
          </cell>
          <cell r="GF177">
            <v>4.1755962787550756</v>
          </cell>
          <cell r="GG177">
            <v>2417.9216198563036</v>
          </cell>
          <cell r="GH177">
            <v>0</v>
          </cell>
        </row>
        <row r="178">
          <cell r="A178" t="str">
            <v>accum.loss</v>
          </cell>
          <cell r="AD178">
            <v>0</v>
          </cell>
          <cell r="AJ178">
            <v>0</v>
          </cell>
          <cell r="AN178">
            <v>0</v>
          </cell>
          <cell r="AP178">
            <v>0</v>
          </cell>
          <cell r="AT178">
            <v>0</v>
          </cell>
          <cell r="AV178">
            <v>-2514.8230000000003</v>
          </cell>
          <cell r="AX178">
            <v>-2514.8230000000003</v>
          </cell>
          <cell r="AZ178" t="str">
            <v>accum.loss</v>
          </cell>
          <cell r="BX178">
            <v>0</v>
          </cell>
          <cell r="CD178">
            <v>0</v>
          </cell>
          <cell r="CJ178">
            <v>0</v>
          </cell>
          <cell r="CP178">
            <v>0</v>
          </cell>
          <cell r="CT178">
            <v>0</v>
          </cell>
          <cell r="CU178">
            <v>0</v>
          </cell>
          <cell r="CV178">
            <v>-1211.5911000000003</v>
          </cell>
          <cell r="CX178">
            <v>-1211.5911000000003</v>
          </cell>
          <cell r="FN178">
            <v>0</v>
          </cell>
          <cell r="FO178">
            <v>0</v>
          </cell>
          <cell r="FR178">
            <v>0</v>
          </cell>
          <cell r="FS178">
            <v>0</v>
          </cell>
          <cell r="FT178">
            <v>0</v>
          </cell>
          <cell r="FU178">
            <v>-12442.186800000001</v>
          </cell>
          <cell r="FV178">
            <v>-12442.186800000001</v>
          </cell>
          <cell r="FW178" t="str">
            <v>accum.loss</v>
          </cell>
          <cell r="FX178">
            <v>0</v>
          </cell>
          <cell r="FY178">
            <v>0</v>
          </cell>
          <cell r="GA178">
            <v>0</v>
          </cell>
          <cell r="GB178">
            <v>0</v>
          </cell>
          <cell r="GC178">
            <v>-12442.186800000001</v>
          </cell>
          <cell r="GD178">
            <v>-12609.030315117257</v>
          </cell>
          <cell r="GE178">
            <v>-12442.186800000001</v>
          </cell>
          <cell r="GF178">
            <v>4.9475397672122448</v>
          </cell>
          <cell r="GG178">
            <v>-8884.0182037544473</v>
          </cell>
          <cell r="GH178">
            <v>0</v>
          </cell>
        </row>
        <row r="179">
          <cell r="A179" t="str">
            <v>per.results'</v>
          </cell>
          <cell r="AD179">
            <v>0</v>
          </cell>
          <cell r="AJ179">
            <v>0</v>
          </cell>
          <cell r="AP179">
            <v>0</v>
          </cell>
          <cell r="AT179">
            <v>0</v>
          </cell>
          <cell r="AV179">
            <v>-2171</v>
          </cell>
          <cell r="AX179">
            <v>-2171</v>
          </cell>
          <cell r="AZ179" t="str">
            <v>per.results'</v>
          </cell>
          <cell r="BX179">
            <v>0</v>
          </cell>
          <cell r="CD179">
            <v>0</v>
          </cell>
          <cell r="CJ179">
            <v>0</v>
          </cell>
          <cell r="CP179">
            <v>0</v>
          </cell>
          <cell r="CT179">
            <v>0</v>
          </cell>
          <cell r="CU179">
            <v>0</v>
          </cell>
          <cell r="CV179">
            <v>-6685.6035000000002</v>
          </cell>
          <cell r="CX179">
            <v>-6685.6035000000002</v>
          </cell>
          <cell r="FN179">
            <v>0</v>
          </cell>
          <cell r="FO179">
            <v>0</v>
          </cell>
          <cell r="FR179">
            <v>0</v>
          </cell>
          <cell r="FS179">
            <v>0</v>
          </cell>
          <cell r="FT179">
            <v>0</v>
          </cell>
          <cell r="FU179">
            <v>-7279.2345657000005</v>
          </cell>
          <cell r="FV179">
            <v>-7279.2345657000005</v>
          </cell>
          <cell r="FW179" t="str">
            <v>per.results'</v>
          </cell>
          <cell r="FX179">
            <v>0</v>
          </cell>
          <cell r="FY179">
            <v>0</v>
          </cell>
          <cell r="GA179">
            <v>0</v>
          </cell>
          <cell r="GB179">
            <v>0</v>
          </cell>
          <cell r="GC179">
            <v>-7279.2345657000005</v>
          </cell>
          <cell r="GD179">
            <v>-7376.8454681745106</v>
          </cell>
          <cell r="GE179">
            <v>-7279.2345657000005</v>
          </cell>
          <cell r="GF179">
            <v>3.3529408409488717</v>
          </cell>
          <cell r="GG179">
            <v>-5974.7429784454607</v>
          </cell>
          <cell r="GH179">
            <v>0</v>
          </cell>
        </row>
        <row r="180">
          <cell r="B180" t="str">
            <v xml:space="preserve">total </v>
          </cell>
          <cell r="C180">
            <v>0</v>
          </cell>
          <cell r="E180">
            <v>0</v>
          </cell>
          <cell r="G180">
            <v>0</v>
          </cell>
          <cell r="I180">
            <v>0</v>
          </cell>
          <cell r="Q180">
            <v>0</v>
          </cell>
          <cell r="S180">
            <v>0</v>
          </cell>
          <cell r="U180">
            <v>0</v>
          </cell>
          <cell r="Z180">
            <v>0</v>
          </cell>
          <cell r="AB180">
            <v>0</v>
          </cell>
          <cell r="AD180">
            <v>0</v>
          </cell>
          <cell r="AF180">
            <v>0</v>
          </cell>
          <cell r="AH180">
            <v>0</v>
          </cell>
          <cell r="AJ180">
            <v>0</v>
          </cell>
          <cell r="AL180">
            <v>0</v>
          </cell>
          <cell r="AN180">
            <v>0</v>
          </cell>
          <cell r="AP180">
            <v>0</v>
          </cell>
          <cell r="AR180">
            <v>0</v>
          </cell>
          <cell r="AT180">
            <v>0</v>
          </cell>
          <cell r="AV180">
            <v>-3207.8230000000003</v>
          </cell>
          <cell r="AX180">
            <v>-3207.8230000000003</v>
          </cell>
          <cell r="BA180" t="str">
            <v xml:space="preserve">total </v>
          </cell>
          <cell r="BC180">
            <v>0</v>
          </cell>
          <cell r="BE180">
            <v>0</v>
          </cell>
          <cell r="BG180">
            <v>0</v>
          </cell>
          <cell r="BI180">
            <v>0</v>
          </cell>
          <cell r="BQ180">
            <v>0</v>
          </cell>
          <cell r="BS180">
            <v>0</v>
          </cell>
          <cell r="BU180">
            <v>0</v>
          </cell>
          <cell r="BX180">
            <v>0</v>
          </cell>
          <cell r="BZ180">
            <v>0</v>
          </cell>
          <cell r="CB180">
            <v>0</v>
          </cell>
          <cell r="CD180">
            <v>0</v>
          </cell>
          <cell r="CF180">
            <v>0</v>
          </cell>
          <cell r="CH180">
            <v>0</v>
          </cell>
          <cell r="CJ180">
            <v>0</v>
          </cell>
          <cell r="CL180">
            <v>0</v>
          </cell>
          <cell r="CN180">
            <v>0</v>
          </cell>
          <cell r="CP180">
            <v>0</v>
          </cell>
          <cell r="CR180">
            <v>0</v>
          </cell>
          <cell r="CT180">
            <v>0</v>
          </cell>
          <cell r="CU180">
            <v>0</v>
          </cell>
          <cell r="CV180">
            <v>-1725.6545999999998</v>
          </cell>
          <cell r="CX180">
            <v>-1725.6545999999998</v>
          </cell>
          <cell r="FD180">
            <v>0</v>
          </cell>
          <cell r="FE180">
            <v>0</v>
          </cell>
          <cell r="FI180">
            <v>0</v>
          </cell>
          <cell r="FM180">
            <v>0</v>
          </cell>
          <cell r="FN180">
            <v>0</v>
          </cell>
          <cell r="FO180">
            <v>0</v>
          </cell>
          <cell r="FP180">
            <v>0</v>
          </cell>
          <cell r="FQ180">
            <v>0</v>
          </cell>
          <cell r="FR180">
            <v>0</v>
          </cell>
          <cell r="FS180">
            <v>0</v>
          </cell>
          <cell r="FT180">
            <v>0</v>
          </cell>
          <cell r="FU180">
            <v>-13549.890065700001</v>
          </cell>
          <cell r="FV180">
            <v>-13549.890065700001</v>
          </cell>
          <cell r="FX180">
            <v>0</v>
          </cell>
          <cell r="FY180">
            <v>0</v>
          </cell>
          <cell r="FZ180">
            <v>0</v>
          </cell>
          <cell r="GA180">
            <v>0</v>
          </cell>
          <cell r="GB180">
            <v>0</v>
          </cell>
          <cell r="GC180">
            <v>-13549.890065700001</v>
          </cell>
          <cell r="GD180">
            <v>-13731.587328757792</v>
          </cell>
          <cell r="GE180">
            <v>-13549.890065700001</v>
          </cell>
          <cell r="GF180">
            <v>4.2240142506927594</v>
          </cell>
          <cell r="GG180">
            <v>-12440.839562343603</v>
          </cell>
          <cell r="GH180">
            <v>0</v>
          </cell>
        </row>
        <row r="181">
          <cell r="A181" t="str">
            <v>EDOM</v>
          </cell>
          <cell r="B181">
            <v>0.3</v>
          </cell>
          <cell r="AB181">
            <v>-9.8000000000000004E-2</v>
          </cell>
          <cell r="AD181">
            <v>-9.8000000000000004E-2</v>
          </cell>
          <cell r="AT181">
            <v>-9.8000000000000004E-2</v>
          </cell>
          <cell r="AX181">
            <v>-9.8000000000000004E-2</v>
          </cell>
          <cell r="AZ181" t="str">
            <v>EDOM</v>
          </cell>
          <cell r="BA181">
            <v>0.3</v>
          </cell>
          <cell r="BX181">
            <v>0</v>
          </cell>
          <cell r="CB181">
            <v>-0.3</v>
          </cell>
          <cell r="CD181">
            <v>-0.3</v>
          </cell>
          <cell r="CT181">
            <v>-0.3</v>
          </cell>
          <cell r="CU181">
            <v>0</v>
          </cell>
          <cell r="CX181">
            <v>-0.3</v>
          </cell>
          <cell r="FM181">
            <v>0.7</v>
          </cell>
          <cell r="FN181">
            <v>0.7</v>
          </cell>
          <cell r="FS181">
            <v>0</v>
          </cell>
          <cell r="FT181">
            <v>0.7</v>
          </cell>
          <cell r="FV181">
            <v>0.7</v>
          </cell>
          <cell r="FW181" t="str">
            <v>EDOM</v>
          </cell>
          <cell r="FX181">
            <v>0.7</v>
          </cell>
          <cell r="FY181">
            <v>0</v>
          </cell>
          <cell r="GA181">
            <v>0.7</v>
          </cell>
          <cell r="GB181">
            <v>0.70938665063138895</v>
          </cell>
          <cell r="GC181">
            <v>0.7</v>
          </cell>
          <cell r="GD181">
            <v>0.70938665063138895</v>
          </cell>
          <cell r="GE181">
            <v>0</v>
          </cell>
          <cell r="GF181">
            <v>-7.1428571428571423</v>
          </cell>
          <cell r="GG181">
            <v>-0.34476564337034621</v>
          </cell>
          <cell r="GH181">
            <v>0</v>
          </cell>
        </row>
        <row r="182">
          <cell r="A182" t="str">
            <v>accum.profit</v>
          </cell>
          <cell r="AB182">
            <v>-51.3</v>
          </cell>
          <cell r="AD182">
            <v>-51.3</v>
          </cell>
          <cell r="AT182">
            <v>-51.3</v>
          </cell>
          <cell r="AX182">
            <v>-51.3</v>
          </cell>
          <cell r="AZ182" t="str">
            <v>accum.profit</v>
          </cell>
          <cell r="BX182">
            <v>0</v>
          </cell>
          <cell r="CB182">
            <v>-44.1</v>
          </cell>
          <cell r="CD182">
            <v>-44.1</v>
          </cell>
          <cell r="CT182">
            <v>-44.1</v>
          </cell>
          <cell r="CU182">
            <v>0</v>
          </cell>
          <cell r="CX182">
            <v>-44.1</v>
          </cell>
          <cell r="FM182">
            <v>-186.9</v>
          </cell>
          <cell r="FN182">
            <v>-186.9</v>
          </cell>
          <cell r="FR182">
            <v>0</v>
          </cell>
          <cell r="FS182">
            <v>0</v>
          </cell>
          <cell r="FT182">
            <v>-186.9</v>
          </cell>
          <cell r="FV182">
            <v>-186.9</v>
          </cell>
          <cell r="FW182" t="str">
            <v>accum.profit</v>
          </cell>
          <cell r="FX182">
            <v>-186.9</v>
          </cell>
          <cell r="FY182">
            <v>0</v>
          </cell>
          <cell r="GA182">
            <v>-186.9</v>
          </cell>
          <cell r="GB182">
            <v>-189.40623571858086</v>
          </cell>
          <cell r="GC182">
            <v>-186.9</v>
          </cell>
          <cell r="GD182">
            <v>-189.40623571858086</v>
          </cell>
          <cell r="GE182">
            <v>0</v>
          </cell>
          <cell r="GF182">
            <v>3.6432748538011701</v>
          </cell>
          <cell r="GG182">
            <v>-61.573870053730893</v>
          </cell>
          <cell r="GH182">
            <v>0</v>
          </cell>
        </row>
        <row r="183">
          <cell r="A183" t="str">
            <v>per.results'</v>
          </cell>
          <cell r="AB183">
            <v>-70.873999999999995</v>
          </cell>
          <cell r="AD183">
            <v>-70.873999999999995</v>
          </cell>
          <cell r="AT183">
            <v>-70.873999999999995</v>
          </cell>
          <cell r="AX183">
            <v>-70.873999999999995</v>
          </cell>
          <cell r="AZ183" t="str">
            <v>per.results'</v>
          </cell>
          <cell r="BX183">
            <v>0</v>
          </cell>
          <cell r="CB183">
            <v>-184.536</v>
          </cell>
          <cell r="CD183">
            <v>-184.536</v>
          </cell>
          <cell r="CT183">
            <v>-184.536</v>
          </cell>
          <cell r="CU183">
            <v>0</v>
          </cell>
          <cell r="CX183">
            <v>-184.536</v>
          </cell>
          <cell r="FM183">
            <v>-234.244</v>
          </cell>
          <cell r="FN183">
            <v>-234.244</v>
          </cell>
          <cell r="FR183">
            <v>0</v>
          </cell>
          <cell r="FS183">
            <v>0</v>
          </cell>
          <cell r="FT183">
            <v>-234.244</v>
          </cell>
          <cell r="FV183">
            <v>-234.244</v>
          </cell>
          <cell r="FW183" t="str">
            <v>per.results'</v>
          </cell>
          <cell r="FX183">
            <v>-234.244</v>
          </cell>
          <cell r="FY183">
            <v>0</v>
          </cell>
          <cell r="GA183">
            <v>-234.244</v>
          </cell>
          <cell r="GB183">
            <v>-237.38509512928442</v>
          </cell>
          <cell r="GC183">
            <v>-234.244</v>
          </cell>
          <cell r="GD183">
            <v>-237.38509512928442</v>
          </cell>
          <cell r="GE183">
            <v>0</v>
          </cell>
          <cell r="GF183">
            <v>3.3050766148375992</v>
          </cell>
          <cell r="GG183">
            <v>-134.74064500099917</v>
          </cell>
          <cell r="GH183">
            <v>0</v>
          </cell>
        </row>
        <row r="184">
          <cell r="C184">
            <v>0</v>
          </cell>
          <cell r="E184">
            <v>0</v>
          </cell>
          <cell r="G184">
            <v>0</v>
          </cell>
          <cell r="I184">
            <v>0</v>
          </cell>
          <cell r="Q184">
            <v>0</v>
          </cell>
          <cell r="S184">
            <v>0</v>
          </cell>
          <cell r="U184">
            <v>0</v>
          </cell>
          <cell r="Z184">
            <v>0</v>
          </cell>
          <cell r="AB184">
            <v>-122.27199999999999</v>
          </cell>
          <cell r="AD184">
            <v>-122.27199999999999</v>
          </cell>
          <cell r="AF184">
            <v>0</v>
          </cell>
          <cell r="AH184">
            <v>0</v>
          </cell>
          <cell r="AJ184">
            <v>0</v>
          </cell>
          <cell r="AL184">
            <v>0</v>
          </cell>
          <cell r="AN184">
            <v>0</v>
          </cell>
          <cell r="AP184">
            <v>0</v>
          </cell>
          <cell r="AR184">
            <v>0</v>
          </cell>
          <cell r="AT184">
            <v>-122.27199999999999</v>
          </cell>
          <cell r="AV184">
            <v>0</v>
          </cell>
          <cell r="AX184">
            <v>-122.27199999999999</v>
          </cell>
          <cell r="BA184" t="str">
            <v xml:space="preserve">total </v>
          </cell>
          <cell r="BC184">
            <v>0</v>
          </cell>
          <cell r="BE184">
            <v>0</v>
          </cell>
          <cell r="BG184">
            <v>0</v>
          </cell>
          <cell r="BI184">
            <v>0</v>
          </cell>
          <cell r="BQ184">
            <v>0</v>
          </cell>
          <cell r="BS184">
            <v>0</v>
          </cell>
          <cell r="BU184">
            <v>0</v>
          </cell>
          <cell r="BX184">
            <v>0</v>
          </cell>
          <cell r="BZ184">
            <v>0</v>
          </cell>
          <cell r="CB184">
            <v>-228.93600000000001</v>
          </cell>
          <cell r="CD184">
            <v>-228.93600000000001</v>
          </cell>
          <cell r="CF184">
            <v>0</v>
          </cell>
          <cell r="CH184">
            <v>0</v>
          </cell>
          <cell r="CJ184">
            <v>0</v>
          </cell>
          <cell r="CL184">
            <v>0</v>
          </cell>
          <cell r="CN184">
            <v>0</v>
          </cell>
          <cell r="CP184">
            <v>0</v>
          </cell>
          <cell r="CR184">
            <v>0</v>
          </cell>
          <cell r="CT184">
            <v>-228.93600000000001</v>
          </cell>
          <cell r="CU184">
            <v>0</v>
          </cell>
          <cell r="CV184">
            <v>0</v>
          </cell>
          <cell r="CX184">
            <v>-228.93600000000001</v>
          </cell>
          <cell r="FD184">
            <v>0</v>
          </cell>
          <cell r="FE184">
            <v>0</v>
          </cell>
          <cell r="FI184">
            <v>0</v>
          </cell>
          <cell r="FM184">
            <v>-420.44400000000002</v>
          </cell>
          <cell r="FN184">
            <v>-420.44400000000002</v>
          </cell>
          <cell r="FO184">
            <v>0</v>
          </cell>
          <cell r="FP184">
            <v>0</v>
          </cell>
          <cell r="FQ184">
            <v>0</v>
          </cell>
          <cell r="FR184">
            <v>0</v>
          </cell>
          <cell r="FS184">
            <v>0</v>
          </cell>
          <cell r="FT184">
            <v>-420.44400000000002</v>
          </cell>
          <cell r="FU184">
            <v>0</v>
          </cell>
          <cell r="FV184">
            <v>-420.44400000000002</v>
          </cell>
          <cell r="FX184">
            <v>-420.44400000000002</v>
          </cell>
          <cell r="FY184">
            <v>0</v>
          </cell>
          <cell r="FZ184">
            <v>0</v>
          </cell>
          <cell r="GA184">
            <v>-420.44400000000002</v>
          </cell>
          <cell r="GB184">
            <v>-426.0819441972339</v>
          </cell>
          <cell r="GC184">
            <v>-420.44400000000002</v>
          </cell>
          <cell r="GD184">
            <v>-426.0819441972339</v>
          </cell>
          <cell r="GE184">
            <v>0</v>
          </cell>
          <cell r="GF184">
            <v>3.4385959172991369</v>
          </cell>
          <cell r="GG184">
            <v>-196.65928069810036</v>
          </cell>
          <cell r="GH184">
            <v>0</v>
          </cell>
        </row>
        <row r="185">
          <cell r="AD185">
            <v>0</v>
          </cell>
          <cell r="AT185">
            <v>0</v>
          </cell>
          <cell r="BX185">
            <v>0</v>
          </cell>
          <cell r="CD185">
            <v>0</v>
          </cell>
          <cell r="CT185">
            <v>0</v>
          </cell>
          <cell r="CU185">
            <v>0</v>
          </cell>
          <cell r="CX185">
            <v>0</v>
          </cell>
          <cell r="FS185">
            <v>0</v>
          </cell>
          <cell r="FT185">
            <v>0</v>
          </cell>
          <cell r="FV185">
            <v>0</v>
          </cell>
          <cell r="FX185">
            <v>0</v>
          </cell>
          <cell r="FY185">
            <v>0</v>
          </cell>
          <cell r="GA185">
            <v>0</v>
          </cell>
          <cell r="GB185">
            <v>0</v>
          </cell>
          <cell r="GC185">
            <v>0</v>
          </cell>
          <cell r="GD185">
            <v>0</v>
          </cell>
          <cell r="GE185">
            <v>0</v>
          </cell>
          <cell r="GF185" t="e">
            <v>#DIV/0!</v>
          </cell>
          <cell r="GH185">
            <v>0</v>
          </cell>
        </row>
        <row r="186">
          <cell r="A186" t="str">
            <v>IDAN</v>
          </cell>
          <cell r="B186">
            <v>0.25</v>
          </cell>
          <cell r="W186">
            <v>-2</v>
          </cell>
          <cell r="AD186">
            <v>-2</v>
          </cell>
          <cell r="AT186">
            <v>-2</v>
          </cell>
          <cell r="AX186">
            <v>-2</v>
          </cell>
          <cell r="AZ186" t="str">
            <v>IDAN</v>
          </cell>
          <cell r="BW186">
            <v>-2.5</v>
          </cell>
          <cell r="BX186">
            <v>0</v>
          </cell>
          <cell r="CD186">
            <v>-2.5</v>
          </cell>
          <cell r="CT186">
            <v>-2.5</v>
          </cell>
          <cell r="CU186">
            <v>0</v>
          </cell>
          <cell r="CX186">
            <v>-2.5</v>
          </cell>
          <cell r="FS186">
            <v>0</v>
          </cell>
          <cell r="FT186">
            <v>0</v>
          </cell>
          <cell r="FV186">
            <v>0</v>
          </cell>
          <cell r="FW186" t="str">
            <v>IDAN</v>
          </cell>
          <cell r="FX186">
            <v>0</v>
          </cell>
          <cell r="FY186">
            <v>0</v>
          </cell>
          <cell r="GA186">
            <v>0</v>
          </cell>
          <cell r="GB186">
            <v>0</v>
          </cell>
          <cell r="GC186">
            <v>0</v>
          </cell>
          <cell r="GD186">
            <v>0</v>
          </cell>
          <cell r="GE186">
            <v>0</v>
          </cell>
          <cell r="GF186">
            <v>0</v>
          </cell>
          <cell r="GH186">
            <v>0</v>
          </cell>
        </row>
        <row r="187">
          <cell r="A187" t="str">
            <v>accum.profit</v>
          </cell>
          <cell r="M187">
            <v>0</v>
          </cell>
          <cell r="W187">
            <v>-1766</v>
          </cell>
          <cell r="AD187">
            <v>-1766</v>
          </cell>
          <cell r="AT187">
            <v>-1766</v>
          </cell>
          <cell r="AX187">
            <v>-1766</v>
          </cell>
          <cell r="AZ187" t="str">
            <v>accum.profit</v>
          </cell>
          <cell r="BW187">
            <v>5018</v>
          </cell>
          <cell r="BX187">
            <v>0</v>
          </cell>
          <cell r="CD187">
            <v>5018</v>
          </cell>
          <cell r="CT187">
            <v>5018</v>
          </cell>
          <cell r="CU187">
            <v>0</v>
          </cell>
          <cell r="CX187">
            <v>5018</v>
          </cell>
          <cell r="FG187">
            <v>0</v>
          </cell>
          <cell r="FJ187">
            <v>-9.25</v>
          </cell>
          <cell r="FN187">
            <v>-9.25</v>
          </cell>
          <cell r="FS187">
            <v>0</v>
          </cell>
          <cell r="FT187">
            <v>-9.25</v>
          </cell>
          <cell r="FV187">
            <v>-9.25</v>
          </cell>
          <cell r="FW187" t="str">
            <v>accum.profit</v>
          </cell>
          <cell r="FX187">
            <v>-9.25</v>
          </cell>
          <cell r="FY187">
            <v>0</v>
          </cell>
          <cell r="GA187">
            <v>-9.25</v>
          </cell>
          <cell r="GB187">
            <v>-9.3740378833433535</v>
          </cell>
          <cell r="GC187">
            <v>-9.25</v>
          </cell>
          <cell r="GD187">
            <v>-9.3740378833433535</v>
          </cell>
          <cell r="GE187">
            <v>0</v>
          </cell>
          <cell r="GF187">
            <v>5.2378255945639864E-3</v>
          </cell>
          <cell r="GH187">
            <v>0</v>
          </cell>
        </row>
        <row r="188">
          <cell r="A188" t="str">
            <v>per.results'</v>
          </cell>
          <cell r="AD188">
            <v>0</v>
          </cell>
          <cell r="AT188">
            <v>0</v>
          </cell>
          <cell r="AX188">
            <v>0</v>
          </cell>
          <cell r="AZ188" t="str">
            <v>per.results'</v>
          </cell>
          <cell r="BX188">
            <v>0</v>
          </cell>
          <cell r="CD188">
            <v>0</v>
          </cell>
          <cell r="CT188">
            <v>0</v>
          </cell>
          <cell r="CU188">
            <v>0</v>
          </cell>
          <cell r="CX188">
            <v>0</v>
          </cell>
          <cell r="FJ188">
            <v>-7886.25</v>
          </cell>
          <cell r="FN188">
            <v>-7886.25</v>
          </cell>
          <cell r="FR188">
            <v>0</v>
          </cell>
          <cell r="FS188">
            <v>0</v>
          </cell>
          <cell r="FT188">
            <v>-7886.25</v>
          </cell>
          <cell r="FV188">
            <v>-7886.25</v>
          </cell>
          <cell r="FW188" t="str">
            <v>per.results'</v>
          </cell>
          <cell r="FX188">
            <v>-7886.25</v>
          </cell>
          <cell r="FY188">
            <v>0</v>
          </cell>
          <cell r="GA188">
            <v>-7886.25</v>
          </cell>
          <cell r="GB188">
            <v>-7992.0006764882728</v>
          </cell>
          <cell r="GC188">
            <v>-7886.25</v>
          </cell>
          <cell r="GD188">
            <v>-7992.0006764882728</v>
          </cell>
          <cell r="GE188">
            <v>0</v>
          </cell>
          <cell r="GF188" t="e">
            <v>#DIV/0!</v>
          </cell>
          <cell r="GH188">
            <v>0</v>
          </cell>
        </row>
        <row r="189">
          <cell r="C189">
            <v>0</v>
          </cell>
          <cell r="E189">
            <v>0</v>
          </cell>
          <cell r="G189">
            <v>0</v>
          </cell>
          <cell r="I189">
            <v>0</v>
          </cell>
          <cell r="K189">
            <v>0</v>
          </cell>
          <cell r="O189">
            <v>0</v>
          </cell>
          <cell r="Q189">
            <v>0</v>
          </cell>
          <cell r="S189">
            <v>0</v>
          </cell>
          <cell r="U189">
            <v>0</v>
          </cell>
          <cell r="W189">
            <v>-1768</v>
          </cell>
          <cell r="Z189">
            <v>0</v>
          </cell>
          <cell r="AB189">
            <v>0</v>
          </cell>
          <cell r="AD189">
            <v>-1768</v>
          </cell>
          <cell r="AF189">
            <v>0</v>
          </cell>
          <cell r="AH189">
            <v>0</v>
          </cell>
          <cell r="AJ189">
            <v>0</v>
          </cell>
          <cell r="AL189">
            <v>0</v>
          </cell>
          <cell r="AN189">
            <v>0</v>
          </cell>
          <cell r="AP189">
            <v>0</v>
          </cell>
          <cell r="AR189">
            <v>0</v>
          </cell>
          <cell r="AT189">
            <v>-1768</v>
          </cell>
          <cell r="AV189">
            <v>0</v>
          </cell>
          <cell r="AX189">
            <v>-1768</v>
          </cell>
          <cell r="BC189">
            <v>0</v>
          </cell>
          <cell r="BE189">
            <v>0</v>
          </cell>
          <cell r="BG189">
            <v>0</v>
          </cell>
          <cell r="BI189">
            <v>0</v>
          </cell>
          <cell r="BK189">
            <v>0</v>
          </cell>
          <cell r="BM189">
            <v>0</v>
          </cell>
          <cell r="BO189">
            <v>0</v>
          </cell>
          <cell r="BQ189">
            <v>0</v>
          </cell>
          <cell r="BS189">
            <v>0</v>
          </cell>
          <cell r="BU189">
            <v>0</v>
          </cell>
          <cell r="BW189">
            <v>5015.5</v>
          </cell>
          <cell r="BX189">
            <v>0</v>
          </cell>
          <cell r="BZ189">
            <v>0</v>
          </cell>
          <cell r="CB189">
            <v>0</v>
          </cell>
          <cell r="CD189">
            <v>5015.5</v>
          </cell>
          <cell r="CF189">
            <v>0</v>
          </cell>
          <cell r="CH189">
            <v>0</v>
          </cell>
          <cell r="CJ189">
            <v>0</v>
          </cell>
          <cell r="CL189">
            <v>0</v>
          </cell>
          <cell r="CN189">
            <v>0</v>
          </cell>
          <cell r="CP189">
            <v>0</v>
          </cell>
          <cell r="CR189">
            <v>0</v>
          </cell>
          <cell r="CT189">
            <v>5015.5</v>
          </cell>
          <cell r="CU189">
            <v>0</v>
          </cell>
          <cell r="CV189">
            <v>0</v>
          </cell>
          <cell r="CX189">
            <v>5015.5</v>
          </cell>
          <cell r="FD189">
            <v>0</v>
          </cell>
          <cell r="FE189">
            <v>0</v>
          </cell>
          <cell r="FH189">
            <v>0</v>
          </cell>
          <cell r="FI189">
            <v>0</v>
          </cell>
          <cell r="FJ189">
            <v>-7895.5</v>
          </cell>
          <cell r="FM189">
            <v>0</v>
          </cell>
          <cell r="FN189">
            <v>-7895.5</v>
          </cell>
          <cell r="FO189">
            <v>0</v>
          </cell>
          <cell r="FP189">
            <v>0</v>
          </cell>
          <cell r="FQ189">
            <v>0</v>
          </cell>
          <cell r="FR189">
            <v>0</v>
          </cell>
          <cell r="FS189">
            <v>0</v>
          </cell>
          <cell r="FT189">
            <v>-7895.5</v>
          </cell>
          <cell r="FU189">
            <v>0</v>
          </cell>
          <cell r="FV189">
            <v>-7895.5</v>
          </cell>
          <cell r="FX189">
            <v>-7895.5</v>
          </cell>
          <cell r="FY189">
            <v>0</v>
          </cell>
          <cell r="FZ189">
            <v>0</v>
          </cell>
          <cell r="GA189">
            <v>-7895.5</v>
          </cell>
          <cell r="GB189">
            <v>-8001.3747143716164</v>
          </cell>
          <cell r="GC189">
            <v>-7895.5</v>
          </cell>
          <cell r="GD189">
            <v>-8001.3747143716164</v>
          </cell>
          <cell r="GE189">
            <v>0</v>
          </cell>
          <cell r="GF189">
            <v>4.4657805429864252</v>
          </cell>
          <cell r="GH189">
            <v>0</v>
          </cell>
        </row>
        <row r="190">
          <cell r="AT190">
            <v>0</v>
          </cell>
          <cell r="BX190">
            <v>0</v>
          </cell>
          <cell r="CD190">
            <v>0</v>
          </cell>
          <cell r="CT190">
            <v>0</v>
          </cell>
          <cell r="CU190">
            <v>0</v>
          </cell>
          <cell r="FS190">
            <v>0</v>
          </cell>
          <cell r="FX190">
            <v>0</v>
          </cell>
          <cell r="FY190">
            <v>0</v>
          </cell>
          <cell r="GA190">
            <v>0</v>
          </cell>
          <cell r="GB190">
            <v>0</v>
          </cell>
          <cell r="GC190">
            <v>0</v>
          </cell>
          <cell r="GD190">
            <v>0</v>
          </cell>
          <cell r="GE190">
            <v>0</v>
          </cell>
          <cell r="GF190" t="e">
            <v>#DIV/0!</v>
          </cell>
          <cell r="GH190">
            <v>0</v>
          </cell>
        </row>
        <row r="191">
          <cell r="A191" t="str">
            <v>T.L.M.</v>
          </cell>
          <cell r="B191">
            <v>0.32550000000000001</v>
          </cell>
          <cell r="C191">
            <v>0</v>
          </cell>
          <cell r="AD191">
            <v>0</v>
          </cell>
          <cell r="AJ191">
            <v>0</v>
          </cell>
          <cell r="AN191">
            <v>2378</v>
          </cell>
          <cell r="AP191">
            <v>2378</v>
          </cell>
          <cell r="AT191">
            <v>2378</v>
          </cell>
          <cell r="AX191">
            <v>2378</v>
          </cell>
          <cell r="AZ191" t="str">
            <v>T.L.M.</v>
          </cell>
          <cell r="BA191">
            <v>0.3</v>
          </cell>
          <cell r="BX191">
            <v>0</v>
          </cell>
          <cell r="CD191">
            <v>0</v>
          </cell>
          <cell r="CH191">
            <v>0</v>
          </cell>
          <cell r="CJ191">
            <v>0</v>
          </cell>
          <cell r="CN191">
            <v>9928</v>
          </cell>
          <cell r="CP191">
            <v>9928</v>
          </cell>
          <cell r="CT191">
            <v>9928</v>
          </cell>
          <cell r="CU191">
            <v>0</v>
          </cell>
          <cell r="CX191">
            <v>9928</v>
          </cell>
          <cell r="FO191">
            <v>0</v>
          </cell>
          <cell r="FQ191">
            <v>9929</v>
          </cell>
          <cell r="FR191">
            <v>9929</v>
          </cell>
          <cell r="FS191">
            <v>0</v>
          </cell>
          <cell r="FT191">
            <v>9929</v>
          </cell>
          <cell r="FV191">
            <v>9929</v>
          </cell>
          <cell r="FW191" t="str">
            <v>T.L.M.</v>
          </cell>
          <cell r="FX191">
            <v>0</v>
          </cell>
          <cell r="FY191">
            <v>9929</v>
          </cell>
          <cell r="GA191">
            <v>9929</v>
          </cell>
          <cell r="GB191">
            <v>10062.142934455802</v>
          </cell>
          <cell r="GC191">
            <v>9929</v>
          </cell>
          <cell r="GD191">
            <v>10062.142934455802</v>
          </cell>
          <cell r="GE191">
            <v>0</v>
          </cell>
          <cell r="GF191">
            <v>4.175357443229605</v>
          </cell>
          <cell r="GG191">
            <v>3889.2041149575443</v>
          </cell>
          <cell r="GH191">
            <v>0</v>
          </cell>
          <cell r="GT191" t="str">
            <v xml:space="preserve">דוח דולר  </v>
          </cell>
        </row>
        <row r="192">
          <cell r="A192" t="str">
            <v>accum.profit</v>
          </cell>
          <cell r="AD192">
            <v>0</v>
          </cell>
          <cell r="AJ192">
            <v>0</v>
          </cell>
          <cell r="AN192">
            <v>-4136</v>
          </cell>
          <cell r="AP192">
            <v>-4136</v>
          </cell>
          <cell r="AT192">
            <v>-4136</v>
          </cell>
          <cell r="AX192">
            <v>-4136</v>
          </cell>
          <cell r="AZ192" t="str">
            <v>accum.profit</v>
          </cell>
          <cell r="BX192">
            <v>0</v>
          </cell>
          <cell r="CD192">
            <v>0</v>
          </cell>
          <cell r="CJ192">
            <v>0</v>
          </cell>
          <cell r="CN192">
            <v>-2373</v>
          </cell>
          <cell r="CP192">
            <v>-2373</v>
          </cell>
          <cell r="CT192">
            <v>-2373</v>
          </cell>
          <cell r="CU192">
            <v>0</v>
          </cell>
          <cell r="CX192">
            <v>-2373</v>
          </cell>
          <cell r="FN192">
            <v>0</v>
          </cell>
          <cell r="FO192">
            <v>0</v>
          </cell>
          <cell r="FQ192">
            <v>-20312</v>
          </cell>
          <cell r="FR192">
            <v>-20312</v>
          </cell>
          <cell r="FS192">
            <v>0</v>
          </cell>
          <cell r="FT192">
            <v>-20312</v>
          </cell>
          <cell r="FV192">
            <v>-20312</v>
          </cell>
          <cell r="FW192" t="str">
            <v>accum.profit</v>
          </cell>
          <cell r="FX192">
            <v>0</v>
          </cell>
          <cell r="FY192">
            <v>-20312</v>
          </cell>
          <cell r="GA192">
            <v>-20312</v>
          </cell>
          <cell r="GB192">
            <v>-20584.373782321105</v>
          </cell>
          <cell r="GC192">
            <v>-20312</v>
          </cell>
          <cell r="GD192">
            <v>-20584.373782321105</v>
          </cell>
          <cell r="GE192">
            <v>0</v>
          </cell>
          <cell r="GF192">
            <v>4.9110251450676978</v>
          </cell>
          <cell r="GG192">
            <v>-14495.417300457219</v>
          </cell>
          <cell r="GH192">
            <v>0</v>
          </cell>
        </row>
        <row r="193">
          <cell r="A193" t="str">
            <v>per.results'</v>
          </cell>
          <cell r="AD193">
            <v>0</v>
          </cell>
          <cell r="AJ193">
            <v>0</v>
          </cell>
          <cell r="AN193">
            <v>-3502</v>
          </cell>
          <cell r="AP193">
            <v>-3502</v>
          </cell>
          <cell r="AT193">
            <v>-3502</v>
          </cell>
          <cell r="AX193">
            <v>-3502</v>
          </cell>
          <cell r="AZ193" t="str">
            <v>per.results'</v>
          </cell>
          <cell r="BX193">
            <v>0</v>
          </cell>
          <cell r="CD193">
            <v>0</v>
          </cell>
          <cell r="CJ193">
            <v>0</v>
          </cell>
          <cell r="CN193">
            <v>-10867</v>
          </cell>
          <cell r="CP193">
            <v>-10867</v>
          </cell>
          <cell r="CT193">
            <v>-10867</v>
          </cell>
          <cell r="CU193">
            <v>0</v>
          </cell>
          <cell r="CX193">
            <v>-10867</v>
          </cell>
          <cell r="FN193">
            <v>0</v>
          </cell>
          <cell r="FO193">
            <v>0</v>
          </cell>
          <cell r="FQ193">
            <v>-11813</v>
          </cell>
          <cell r="FR193">
            <v>-11813</v>
          </cell>
          <cell r="FS193">
            <v>0</v>
          </cell>
          <cell r="FT193">
            <v>-11813</v>
          </cell>
          <cell r="FV193">
            <v>-11813</v>
          </cell>
          <cell r="FW193" t="str">
            <v>per.results'</v>
          </cell>
          <cell r="FX193">
            <v>0</v>
          </cell>
          <cell r="FY193">
            <v>-11813</v>
          </cell>
          <cell r="GA193">
            <v>-11813</v>
          </cell>
          <cell r="GB193">
            <v>-11971.40643415514</v>
          </cell>
          <cell r="GC193">
            <v>-11813</v>
          </cell>
          <cell r="GD193">
            <v>-11971.40643415514</v>
          </cell>
          <cell r="GE193">
            <v>0</v>
          </cell>
          <cell r="GF193">
            <v>3.3732153055396914</v>
          </cell>
          <cell r="GG193">
            <v>-9705.3320868713272</v>
          </cell>
          <cell r="GH193">
            <v>0</v>
          </cell>
        </row>
        <row r="194">
          <cell r="B194" t="str">
            <v xml:space="preserve">total </v>
          </cell>
          <cell r="C194">
            <v>0</v>
          </cell>
          <cell r="E194">
            <v>0</v>
          </cell>
          <cell r="G194">
            <v>0</v>
          </cell>
          <cell r="I194">
            <v>0</v>
          </cell>
          <cell r="Q194">
            <v>0</v>
          </cell>
          <cell r="S194">
            <v>0</v>
          </cell>
          <cell r="U194">
            <v>0</v>
          </cell>
          <cell r="Z194">
            <v>0</v>
          </cell>
          <cell r="AB194">
            <v>0</v>
          </cell>
          <cell r="AD194">
            <v>0</v>
          </cell>
          <cell r="AF194">
            <v>0</v>
          </cell>
          <cell r="AH194">
            <v>0</v>
          </cell>
          <cell r="AJ194">
            <v>0</v>
          </cell>
          <cell r="AL194">
            <v>0</v>
          </cell>
          <cell r="AN194">
            <v>-5260</v>
          </cell>
          <cell r="AP194">
            <v>-5260</v>
          </cell>
          <cell r="AR194">
            <v>0</v>
          </cell>
          <cell r="AT194">
            <v>-5260</v>
          </cell>
          <cell r="AV194">
            <v>0</v>
          </cell>
          <cell r="AX194">
            <v>-5260</v>
          </cell>
          <cell r="BA194" t="str">
            <v xml:space="preserve">total </v>
          </cell>
          <cell r="BC194">
            <v>0</v>
          </cell>
          <cell r="BE194">
            <v>0</v>
          </cell>
          <cell r="BG194">
            <v>0</v>
          </cell>
          <cell r="BI194">
            <v>0</v>
          </cell>
          <cell r="BQ194">
            <v>0</v>
          </cell>
          <cell r="BS194">
            <v>0</v>
          </cell>
          <cell r="BU194">
            <v>0</v>
          </cell>
          <cell r="BX194">
            <v>0</v>
          </cell>
          <cell r="BZ194">
            <v>0</v>
          </cell>
          <cell r="CB194">
            <v>0</v>
          </cell>
          <cell r="CD194">
            <v>0</v>
          </cell>
          <cell r="CF194">
            <v>0</v>
          </cell>
          <cell r="CH194">
            <v>0</v>
          </cell>
          <cell r="CJ194">
            <v>0</v>
          </cell>
          <cell r="CL194">
            <v>0</v>
          </cell>
          <cell r="CN194">
            <v>-3312</v>
          </cell>
          <cell r="CP194">
            <v>-3312</v>
          </cell>
          <cell r="CR194">
            <v>0</v>
          </cell>
          <cell r="CT194">
            <v>-3312</v>
          </cell>
          <cell r="CU194">
            <v>0</v>
          </cell>
          <cell r="CV194">
            <v>0</v>
          </cell>
          <cell r="CX194">
            <v>-3312</v>
          </cell>
          <cell r="FD194">
            <v>0</v>
          </cell>
          <cell r="FE194">
            <v>0</v>
          </cell>
          <cell r="FM194">
            <v>0</v>
          </cell>
          <cell r="FN194">
            <v>0</v>
          </cell>
          <cell r="FO194">
            <v>0</v>
          </cell>
          <cell r="FP194">
            <v>0</v>
          </cell>
          <cell r="FQ194">
            <v>-22196</v>
          </cell>
          <cell r="FR194">
            <v>-22196</v>
          </cell>
          <cell r="FT194">
            <v>-22196</v>
          </cell>
          <cell r="FU194">
            <v>0</v>
          </cell>
          <cell r="FV194">
            <v>-22196</v>
          </cell>
          <cell r="FX194">
            <v>0</v>
          </cell>
          <cell r="FY194">
            <v>-22196</v>
          </cell>
          <cell r="FZ194">
            <v>0</v>
          </cell>
          <cell r="GA194">
            <v>-22196</v>
          </cell>
          <cell r="GB194">
            <v>-22493.637282020441</v>
          </cell>
          <cell r="GC194">
            <v>-22196</v>
          </cell>
          <cell r="GD194">
            <v>-22493.637282020441</v>
          </cell>
          <cell r="GE194">
            <v>0</v>
          </cell>
          <cell r="GF194">
            <v>4.2197718631178711</v>
          </cell>
          <cell r="GG194">
            <v>-20311.545272371004</v>
          </cell>
          <cell r="GH194">
            <v>0</v>
          </cell>
        </row>
        <row r="195">
          <cell r="BX195">
            <v>0</v>
          </cell>
          <cell r="CU195">
            <v>0</v>
          </cell>
          <cell r="FX195">
            <v>0</v>
          </cell>
          <cell r="FY195">
            <v>0</v>
          </cell>
          <cell r="GA195">
            <v>0</v>
          </cell>
          <cell r="GB195">
            <v>0</v>
          </cell>
          <cell r="GC195">
            <v>0</v>
          </cell>
          <cell r="GD195">
            <v>0</v>
          </cell>
          <cell r="GE195">
            <v>0</v>
          </cell>
          <cell r="GF195" t="e">
            <v>#DIV/0!</v>
          </cell>
        </row>
        <row r="196">
          <cell r="A196" t="str">
            <v>NETCOM</v>
          </cell>
          <cell r="M196">
            <v>0</v>
          </cell>
          <cell r="O196">
            <v>20</v>
          </cell>
          <cell r="AT196">
            <v>20</v>
          </cell>
          <cell r="AX196">
            <v>20</v>
          </cell>
          <cell r="AZ196" t="str">
            <v>NETCOM</v>
          </cell>
          <cell r="BO196">
            <v>85.5</v>
          </cell>
          <cell r="BX196">
            <v>0</v>
          </cell>
          <cell r="CT196">
            <v>85.5</v>
          </cell>
          <cell r="CU196">
            <v>0</v>
          </cell>
          <cell r="CX196">
            <v>85.5</v>
          </cell>
          <cell r="FH196">
            <v>84</v>
          </cell>
          <cell r="FT196">
            <v>84</v>
          </cell>
          <cell r="FV196">
            <v>84</v>
          </cell>
          <cell r="FW196" t="str">
            <v>NETCOM</v>
          </cell>
          <cell r="FX196">
            <v>0</v>
          </cell>
          <cell r="FY196">
            <v>0</v>
          </cell>
          <cell r="GA196">
            <v>0</v>
          </cell>
          <cell r="GB196">
            <v>0</v>
          </cell>
          <cell r="GC196">
            <v>84</v>
          </cell>
          <cell r="GD196">
            <v>85.126398075766687</v>
          </cell>
          <cell r="GE196">
            <v>84</v>
          </cell>
          <cell r="GF196">
            <v>4.2</v>
          </cell>
        </row>
        <row r="197">
          <cell r="M197">
            <v>0</v>
          </cell>
          <cell r="AT197">
            <v>0</v>
          </cell>
          <cell r="BX197">
            <v>0</v>
          </cell>
          <cell r="CT197">
            <v>0</v>
          </cell>
          <cell r="CU197">
            <v>0</v>
          </cell>
          <cell r="FI197">
            <v>0</v>
          </cell>
          <cell r="FS197">
            <v>0</v>
          </cell>
          <cell r="FX197">
            <v>0</v>
          </cell>
          <cell r="FY197">
            <v>0</v>
          </cell>
          <cell r="GA197">
            <v>0</v>
          </cell>
          <cell r="GB197">
            <v>0</v>
          </cell>
          <cell r="GC197">
            <v>0</v>
          </cell>
          <cell r="GD197">
            <v>0</v>
          </cell>
          <cell r="GE197">
            <v>0</v>
          </cell>
          <cell r="GF197" t="e">
            <v>#DIV/0!</v>
          </cell>
        </row>
        <row r="198">
          <cell r="A198" t="str">
            <v>TOTAL MINORITY INTERESTS</v>
          </cell>
          <cell r="C198">
            <v>0</v>
          </cell>
          <cell r="E198">
            <v>0</v>
          </cell>
          <cell r="G198">
            <v>0</v>
          </cell>
          <cell r="I198">
            <v>0</v>
          </cell>
          <cell r="K198">
            <v>0</v>
          </cell>
          <cell r="L198">
            <v>0</v>
          </cell>
          <cell r="O198">
            <v>20</v>
          </cell>
          <cell r="Q198">
            <v>0</v>
          </cell>
          <cell r="S198">
            <v>0</v>
          </cell>
          <cell r="U198">
            <v>0</v>
          </cell>
          <cell r="W198">
            <v>-1768</v>
          </cell>
          <cell r="Z198">
            <v>0</v>
          </cell>
          <cell r="AB198">
            <v>-122.27199999999999</v>
          </cell>
          <cell r="AD198">
            <v>-1890.2719999999999</v>
          </cell>
          <cell r="AF198">
            <v>0</v>
          </cell>
          <cell r="AH198">
            <v>0</v>
          </cell>
          <cell r="AJ198">
            <v>0</v>
          </cell>
          <cell r="AL198">
            <v>0</v>
          </cell>
          <cell r="AN198">
            <v>-5260</v>
          </cell>
          <cell r="AP198">
            <v>-5260</v>
          </cell>
          <cell r="AR198">
            <v>0</v>
          </cell>
          <cell r="AT198">
            <v>-7130.2719999999999</v>
          </cell>
          <cell r="AV198">
            <v>-24147.565348416287</v>
          </cell>
          <cell r="AX198">
            <v>-31277.837348416288</v>
          </cell>
          <cell r="AZ198" t="str">
            <v>TOTAL MINORITY INTERESTS</v>
          </cell>
          <cell r="BC198">
            <v>0</v>
          </cell>
          <cell r="BE198">
            <v>0</v>
          </cell>
          <cell r="BG198">
            <v>0</v>
          </cell>
          <cell r="BI198">
            <v>0</v>
          </cell>
          <cell r="BK198">
            <v>0</v>
          </cell>
          <cell r="BM198">
            <v>0</v>
          </cell>
          <cell r="BO198">
            <v>85.5</v>
          </cell>
          <cell r="BQ198">
            <v>0</v>
          </cell>
          <cell r="BS198">
            <v>0</v>
          </cell>
          <cell r="BU198">
            <v>0</v>
          </cell>
          <cell r="BW198">
            <v>5015.5</v>
          </cell>
          <cell r="BX198">
            <v>0</v>
          </cell>
          <cell r="BZ198">
            <v>0</v>
          </cell>
          <cell r="CB198">
            <v>-228.93600000000001</v>
          </cell>
          <cell r="CD198">
            <v>4786.5640000000003</v>
          </cell>
          <cell r="CF198">
            <v>0</v>
          </cell>
          <cell r="CH198">
            <v>0</v>
          </cell>
          <cell r="CJ198">
            <v>0</v>
          </cell>
          <cell r="CL198">
            <v>0</v>
          </cell>
          <cell r="CN198">
            <v>-3312</v>
          </cell>
          <cell r="CP198">
            <v>-3312</v>
          </cell>
          <cell r="CR198">
            <v>0</v>
          </cell>
          <cell r="CT198">
            <v>1560.0639999999999</v>
          </cell>
          <cell r="CU198">
            <v>0</v>
          </cell>
          <cell r="CV198">
            <v>-58542.033600000002</v>
          </cell>
          <cell r="CX198">
            <v>-56981.969600000004</v>
          </cell>
          <cell r="FD198">
            <v>0</v>
          </cell>
          <cell r="FE198">
            <v>0</v>
          </cell>
          <cell r="FH198">
            <v>84</v>
          </cell>
          <cell r="FI198">
            <v>0</v>
          </cell>
          <cell r="FJ198">
            <v>-7895.5</v>
          </cell>
          <cell r="FM198">
            <v>-420.44400000000002</v>
          </cell>
          <cell r="FN198">
            <v>-8315.9439999999995</v>
          </cell>
          <cell r="FO198">
            <v>0</v>
          </cell>
          <cell r="FP198">
            <v>0</v>
          </cell>
          <cell r="FQ198">
            <v>-22196</v>
          </cell>
          <cell r="FR198">
            <v>-22196</v>
          </cell>
          <cell r="FS198">
            <v>0</v>
          </cell>
          <cell r="FT198">
            <v>-30427.944</v>
          </cell>
          <cell r="FU198">
            <v>-94159.419483923339</v>
          </cell>
          <cell r="FV198">
            <v>-124587.36348392334</v>
          </cell>
          <cell r="FW198" t="str">
            <v>TOTAL MINORITY INTERESTS</v>
          </cell>
          <cell r="FX198">
            <v>-8315.9439999999995</v>
          </cell>
          <cell r="FY198">
            <v>-22196</v>
          </cell>
          <cell r="FZ198">
            <v>0</v>
          </cell>
          <cell r="GA198">
            <v>-30511.944</v>
          </cell>
          <cell r="GB198">
            <v>-30921.093940589293</v>
          </cell>
          <cell r="GC198">
            <v>-124587.36348392334</v>
          </cell>
          <cell r="GD198">
            <v>-126258.01784693687</v>
          </cell>
          <cell r="GE198">
            <v>-94075.419483923339</v>
          </cell>
          <cell r="GF198">
            <v>3.9832473740462002</v>
          </cell>
          <cell r="GG198">
            <v>-86544.460994177251</v>
          </cell>
          <cell r="GH198">
            <v>0</v>
          </cell>
        </row>
        <row r="199">
          <cell r="A199" t="str">
            <v>PROV.FOR SEVERANCE PAY</v>
          </cell>
          <cell r="I199">
            <v>0</v>
          </cell>
          <cell r="M199">
            <v>-7.295072115384615</v>
          </cell>
          <cell r="O199">
            <v>-100</v>
          </cell>
          <cell r="Q199">
            <v>-681.90476923076926</v>
          </cell>
          <cell r="U199">
            <v>-681.90476923076926</v>
          </cell>
          <cell r="W199">
            <v>-224</v>
          </cell>
          <cell r="X199">
            <v>-224</v>
          </cell>
          <cell r="AD199">
            <v>-1129.9047692307693</v>
          </cell>
          <cell r="AL199">
            <v>-13.708</v>
          </cell>
          <cell r="AP199">
            <v>-13.708</v>
          </cell>
          <cell r="AR199">
            <v>-7.1879999999999997</v>
          </cell>
          <cell r="AT199">
            <v>-1258.095841346154</v>
          </cell>
          <cell r="AX199">
            <v>-1258.095841346154</v>
          </cell>
          <cell r="AZ199" t="str">
            <v>PROV.FOR SEVERANCE PAY</v>
          </cell>
          <cell r="BI199">
            <v>0</v>
          </cell>
          <cell r="BM199">
            <v>-30.3475</v>
          </cell>
          <cell r="BO199">
            <v>-414.5</v>
          </cell>
          <cell r="BQ199">
            <v>-2836.7269999999999</v>
          </cell>
          <cell r="BU199">
            <v>-2836.7269999999999</v>
          </cell>
          <cell r="BW199">
            <v>-933</v>
          </cell>
          <cell r="BX199">
            <v>-933</v>
          </cell>
          <cell r="CD199">
            <v>-4702.7269999999999</v>
          </cell>
          <cell r="CL199">
            <v>-57</v>
          </cell>
          <cell r="CP199">
            <v>-57</v>
          </cell>
          <cell r="CR199">
            <v>-29.9</v>
          </cell>
          <cell r="CT199">
            <v>-5234.4744999999994</v>
          </cell>
          <cell r="CU199">
            <v>0</v>
          </cell>
          <cell r="CX199">
            <v>-5234.4744999999994</v>
          </cell>
          <cell r="FG199">
            <v>-30.3475</v>
          </cell>
          <cell r="FH199">
            <v>-414.5</v>
          </cell>
          <cell r="FI199">
            <v>-2836.7269999999999</v>
          </cell>
          <cell r="FJ199">
            <v>-933</v>
          </cell>
          <cell r="FK199">
            <v>-933</v>
          </cell>
          <cell r="FN199">
            <v>-4702.7269999999999</v>
          </cell>
          <cell r="FP199">
            <v>-57</v>
          </cell>
          <cell r="FR199">
            <v>-57</v>
          </cell>
          <cell r="FS199">
            <v>-29.9</v>
          </cell>
          <cell r="FT199">
            <v>-5234.4744999999994</v>
          </cell>
          <cell r="FV199">
            <v>-5234.4744999999994</v>
          </cell>
          <cell r="FW199" t="str">
            <v>PROV.FOR SEVERANCE PAY</v>
          </cell>
          <cell r="FX199">
            <v>-4702.7269999999999</v>
          </cell>
          <cell r="FY199">
            <v>-57</v>
          </cell>
          <cell r="GA199">
            <v>-4759.7269999999999</v>
          </cell>
          <cell r="GB199">
            <v>-4823.5525634996993</v>
          </cell>
          <cell r="GC199">
            <v>-5234.4744999999994</v>
          </cell>
          <cell r="GD199">
            <v>-5304.666190529163</v>
          </cell>
          <cell r="GE199">
            <v>-474.74749999999949</v>
          </cell>
          <cell r="GF199">
            <v>4.1606325432243283</v>
          </cell>
          <cell r="GG199">
            <v>-3978.9215148877374</v>
          </cell>
          <cell r="GH199">
            <v>0</v>
          </cell>
        </row>
        <row r="200">
          <cell r="Q200">
            <v>656.71600000000001</v>
          </cell>
          <cell r="U200">
            <v>656.71600000000001</v>
          </cell>
          <cell r="W200">
            <v>199.5</v>
          </cell>
          <cell r="X200">
            <v>199.5</v>
          </cell>
          <cell r="Z200">
            <v>0</v>
          </cell>
          <cell r="AD200">
            <v>1055.7159999999999</v>
          </cell>
          <cell r="AH200">
            <v>0</v>
          </cell>
          <cell r="AJ200">
            <v>0</v>
          </cell>
          <cell r="AN200">
            <v>0</v>
          </cell>
          <cell r="AP200">
            <v>0</v>
          </cell>
          <cell r="AT200">
            <v>1055.7159999999999</v>
          </cell>
          <cell r="AV200">
            <v>0</v>
          </cell>
          <cell r="AX200">
            <v>1055.7159999999999</v>
          </cell>
          <cell r="BC200">
            <v>0</v>
          </cell>
          <cell r="BE200">
            <v>0</v>
          </cell>
          <cell r="BG200">
            <v>0</v>
          </cell>
          <cell r="BI200">
            <v>0</v>
          </cell>
          <cell r="BQ200">
            <v>2731.94</v>
          </cell>
          <cell r="BU200">
            <v>2731.94</v>
          </cell>
          <cell r="BW200">
            <v>830.5</v>
          </cell>
          <cell r="BX200">
            <v>830.5</v>
          </cell>
          <cell r="BZ200">
            <v>0</v>
          </cell>
          <cell r="CD200">
            <v>4392.9399999999996</v>
          </cell>
          <cell r="CH200">
            <v>0</v>
          </cell>
          <cell r="CJ200">
            <v>0</v>
          </cell>
          <cell r="CL200">
            <v>0</v>
          </cell>
          <cell r="CN200">
            <v>0</v>
          </cell>
          <cell r="CP200">
            <v>0</v>
          </cell>
          <cell r="CR200" t="str">
            <v>_______</v>
          </cell>
          <cell r="CT200">
            <v>4392.9399999999996</v>
          </cell>
          <cell r="CU200">
            <v>0</v>
          </cell>
          <cell r="CX200">
            <v>4392.9399999999996</v>
          </cell>
          <cell r="FI200">
            <v>2731.94</v>
          </cell>
          <cell r="FJ200">
            <v>830.5</v>
          </cell>
          <cell r="FK200">
            <v>830.5</v>
          </cell>
          <cell r="FN200">
            <v>4392.9399999999996</v>
          </cell>
          <cell r="FO200">
            <v>0</v>
          </cell>
          <cell r="FQ200">
            <v>0</v>
          </cell>
          <cell r="FR200">
            <v>0</v>
          </cell>
          <cell r="FS200">
            <v>0</v>
          </cell>
          <cell r="FT200">
            <v>4392.9399999999996</v>
          </cell>
          <cell r="FV200">
            <v>4392.9399999999996</v>
          </cell>
          <cell r="FX200">
            <v>4392.9399999999996</v>
          </cell>
          <cell r="FY200">
            <v>0</v>
          </cell>
          <cell r="GA200">
            <v>4392.9399999999996</v>
          </cell>
          <cell r="GB200">
            <v>4451.8471328923633</v>
          </cell>
          <cell r="GC200">
            <v>4392.9399999999996</v>
          </cell>
          <cell r="GD200">
            <v>4451.8471328923633</v>
          </cell>
          <cell r="GE200">
            <v>0</v>
          </cell>
          <cell r="GF200">
            <v>4.1611001443570057</v>
          </cell>
          <cell r="GG200">
            <v>2102.5216088906791</v>
          </cell>
          <cell r="GH200">
            <v>0</v>
          </cell>
        </row>
        <row r="201">
          <cell r="C201">
            <v>0</v>
          </cell>
          <cell r="E201">
            <v>0</v>
          </cell>
          <cell r="G201">
            <v>0</v>
          </cell>
          <cell r="I201">
            <v>0</v>
          </cell>
          <cell r="M201">
            <v>-7.295072115384615</v>
          </cell>
          <cell r="O201">
            <v>-100</v>
          </cell>
          <cell r="Q201">
            <v>-25.188769230769253</v>
          </cell>
          <cell r="S201">
            <v>0</v>
          </cell>
          <cell r="U201">
            <v>-25.188769230769253</v>
          </cell>
          <cell r="W201">
            <v>-24.5</v>
          </cell>
          <cell r="X201">
            <v>-24.5</v>
          </cell>
          <cell r="Z201">
            <v>0</v>
          </cell>
          <cell r="AB201">
            <v>0</v>
          </cell>
          <cell r="AD201">
            <v>-74.188769230769367</v>
          </cell>
          <cell r="AF201">
            <v>0</v>
          </cell>
          <cell r="AH201">
            <v>0</v>
          </cell>
          <cell r="AJ201">
            <v>0</v>
          </cell>
          <cell r="AL201">
            <v>-13.708</v>
          </cell>
          <cell r="AP201">
            <v>-13.708</v>
          </cell>
          <cell r="AR201">
            <v>-7.1879999999999997</v>
          </cell>
          <cell r="AT201">
            <v>-202.37984134615408</v>
          </cell>
          <cell r="AV201">
            <v>0</v>
          </cell>
          <cell r="AX201">
            <v>-202.37984134615408</v>
          </cell>
          <cell r="BC201">
            <v>0</v>
          </cell>
          <cell r="BE201">
            <v>0</v>
          </cell>
          <cell r="BG201">
            <v>0</v>
          </cell>
          <cell r="BI201">
            <v>0</v>
          </cell>
          <cell r="BM201">
            <v>-30.3475</v>
          </cell>
          <cell r="BO201">
            <v>-414.5</v>
          </cell>
          <cell r="BQ201">
            <v>-104.78699999999981</v>
          </cell>
          <cell r="BS201">
            <v>0</v>
          </cell>
          <cell r="BU201">
            <v>-104.78699999999981</v>
          </cell>
          <cell r="BW201">
            <v>-102.5</v>
          </cell>
          <cell r="BX201">
            <v>-102.5</v>
          </cell>
          <cell r="BZ201">
            <v>0</v>
          </cell>
          <cell r="CB201">
            <v>0</v>
          </cell>
          <cell r="CD201">
            <v>-309.78699999999981</v>
          </cell>
          <cell r="CF201">
            <v>0</v>
          </cell>
          <cell r="CH201">
            <v>0</v>
          </cell>
          <cell r="CJ201">
            <v>0</v>
          </cell>
          <cell r="CL201">
            <v>-57</v>
          </cell>
          <cell r="CP201">
            <v>-57</v>
          </cell>
          <cell r="CR201">
            <v>-29.9</v>
          </cell>
          <cell r="CT201">
            <v>-841.53449999999884</v>
          </cell>
          <cell r="CU201">
            <v>-9.0949470177292824E-13</v>
          </cell>
          <cell r="CV201">
            <v>0</v>
          </cell>
          <cell r="CX201">
            <v>-841.53449999999975</v>
          </cell>
          <cell r="FE201">
            <v>0</v>
          </cell>
          <cell r="FG201">
            <v>-30.3475</v>
          </cell>
          <cell r="FH201">
            <v>-414.5</v>
          </cell>
          <cell r="FI201">
            <v>-104.78699999999981</v>
          </cell>
          <cell r="FJ201">
            <v>-102.5</v>
          </cell>
          <cell r="FK201">
            <v>-102.5</v>
          </cell>
          <cell r="FM201">
            <v>0</v>
          </cell>
          <cell r="FN201">
            <v>-309.78699999999935</v>
          </cell>
          <cell r="FO201">
            <v>0</v>
          </cell>
          <cell r="FP201">
            <v>-57</v>
          </cell>
          <cell r="FR201">
            <v>-57</v>
          </cell>
          <cell r="FS201">
            <v>-29.9</v>
          </cell>
          <cell r="FT201">
            <v>-841.53449999999884</v>
          </cell>
          <cell r="FU201">
            <v>0</v>
          </cell>
          <cell r="FV201">
            <v>-841.53449999999884</v>
          </cell>
          <cell r="FX201">
            <v>-309.78699999999935</v>
          </cell>
          <cell r="FY201">
            <v>-57</v>
          </cell>
          <cell r="GA201">
            <v>-366.78699999999935</v>
          </cell>
          <cell r="GB201">
            <v>-371.70543060733547</v>
          </cell>
          <cell r="GC201">
            <v>-841.53449999999884</v>
          </cell>
          <cell r="GD201">
            <v>-852.8190576367997</v>
          </cell>
          <cell r="GE201">
            <v>-474.74749999999949</v>
          </cell>
          <cell r="GF201">
            <v>4.1581932983168182</v>
          </cell>
          <cell r="GG201">
            <v>-1876.3999059970588</v>
          </cell>
          <cell r="GH201">
            <v>0</v>
          </cell>
        </row>
        <row r="202">
          <cell r="A202" t="str">
            <v>DEFERRED TAXES</v>
          </cell>
          <cell r="C202">
            <v>1274.1980000000001</v>
          </cell>
          <cell r="E202">
            <v>0</v>
          </cell>
          <cell r="G202">
            <v>-1706</v>
          </cell>
          <cell r="I202">
            <v>-431.80199999999991</v>
          </cell>
          <cell r="O202">
            <v>116.5</v>
          </cell>
          <cell r="Q202">
            <v>0</v>
          </cell>
          <cell r="S202">
            <v>0</v>
          </cell>
          <cell r="U202">
            <v>0</v>
          </cell>
          <cell r="W202">
            <v>-181.5</v>
          </cell>
          <cell r="X202">
            <v>-181.5</v>
          </cell>
          <cell r="Z202">
            <v>-56.972000000000001</v>
          </cell>
          <cell r="AD202">
            <v>-419.97199999999998</v>
          </cell>
          <cell r="AH202">
            <v>0</v>
          </cell>
          <cell r="AJ202">
            <v>0</v>
          </cell>
          <cell r="AL202">
            <v>-711.50199999999995</v>
          </cell>
          <cell r="AP202">
            <v>-711.50199999999995</v>
          </cell>
          <cell r="AR202">
            <v>0</v>
          </cell>
          <cell r="AT202">
            <v>-1446.7759999999998</v>
          </cell>
          <cell r="AX202">
            <v>-1446.7759999999998</v>
          </cell>
          <cell r="AZ202" t="str">
            <v>DEFERRED TAXES</v>
          </cell>
          <cell r="BC202">
            <v>0</v>
          </cell>
          <cell r="BE202">
            <v>0</v>
          </cell>
          <cell r="BG202">
            <v>0</v>
          </cell>
          <cell r="BI202">
            <v>0</v>
          </cell>
          <cell r="BO202">
            <v>141.5</v>
          </cell>
          <cell r="BQ202">
            <v>0</v>
          </cell>
          <cell r="BS202">
            <v>0</v>
          </cell>
          <cell r="BU202" t="str">
            <v xml:space="preserve"> </v>
          </cell>
          <cell r="BW202">
            <v>-1071.5</v>
          </cell>
          <cell r="BX202">
            <v>-1071.5</v>
          </cell>
          <cell r="BZ202">
            <v>293.47699999999998</v>
          </cell>
          <cell r="CD202">
            <v>-1849.5230000000001</v>
          </cell>
          <cell r="CH202">
            <v>0</v>
          </cell>
          <cell r="CJ202">
            <v>0</v>
          </cell>
          <cell r="CL202">
            <v>-2871</v>
          </cell>
          <cell r="CP202">
            <v>-2871</v>
          </cell>
          <cell r="CR202">
            <v>0</v>
          </cell>
          <cell r="CT202">
            <v>-4579.0230000000001</v>
          </cell>
          <cell r="CU202">
            <v>0</v>
          </cell>
          <cell r="CV202">
            <v>0</v>
          </cell>
          <cell r="CX202">
            <v>-4579.0230000000001</v>
          </cell>
          <cell r="FC202">
            <v>-608.28200000000004</v>
          </cell>
          <cell r="FE202">
            <v>-1121.7408198399999</v>
          </cell>
          <cell r="FF202">
            <v>-1730.02281984</v>
          </cell>
          <cell r="FH202">
            <v>509</v>
          </cell>
          <cell r="FJ202">
            <v>-1283.5</v>
          </cell>
          <cell r="FK202">
            <v>-1283.5</v>
          </cell>
          <cell r="FL202">
            <v>-54</v>
          </cell>
          <cell r="FN202">
            <v>-2621</v>
          </cell>
          <cell r="FO202">
            <v>0</v>
          </cell>
          <cell r="FP202">
            <v>-4225</v>
          </cell>
          <cell r="FR202">
            <v>-4225</v>
          </cell>
          <cell r="FS202">
            <v>0</v>
          </cell>
          <cell r="FT202">
            <v>-8067.02281984</v>
          </cell>
          <cell r="FU202">
            <v>0</v>
          </cell>
          <cell r="FV202">
            <v>-8067.02281984</v>
          </cell>
          <cell r="FW202" t="str">
            <v>DEFERRED TAXES</v>
          </cell>
          <cell r="FX202">
            <v>-2621</v>
          </cell>
          <cell r="FY202">
            <v>-4225</v>
          </cell>
          <cell r="GA202">
            <v>-6846</v>
          </cell>
          <cell r="GB202">
            <v>-6937.8014431749853</v>
          </cell>
          <cell r="GC202">
            <v>-8067.02281984</v>
          </cell>
          <cell r="GD202">
            <v>-8175.197569618972</v>
          </cell>
          <cell r="GE202">
            <v>-1221.02281984</v>
          </cell>
          <cell r="GF202">
            <v>5.5758616536630417</v>
          </cell>
          <cell r="GG202">
            <v>-3680.1071195297195</v>
          </cell>
          <cell r="GH202">
            <v>0</v>
          </cell>
        </row>
        <row r="203">
          <cell r="A203" t="str">
            <v>BANK LONG TERM LOANS</v>
          </cell>
          <cell r="C203">
            <v>-9226.8590000000004</v>
          </cell>
          <cell r="I203">
            <v>-9226.8590000000004</v>
          </cell>
          <cell r="O203">
            <v>-33</v>
          </cell>
          <cell r="Q203">
            <v>-14005.446</v>
          </cell>
          <cell r="U203">
            <v>-14005.446</v>
          </cell>
          <cell r="W203">
            <v>-2099</v>
          </cell>
          <cell r="X203">
            <v>-2099</v>
          </cell>
          <cell r="AD203">
            <v>-18203.446</v>
          </cell>
          <cell r="AJ203">
            <v>0</v>
          </cell>
          <cell r="AL203">
            <v>-27178</v>
          </cell>
          <cell r="AP203">
            <v>-27178</v>
          </cell>
          <cell r="AT203">
            <v>-54641.305</v>
          </cell>
          <cell r="AX203">
            <v>-54641.305</v>
          </cell>
          <cell r="AZ203" t="str">
            <v>BANK LONG TERM LOANS</v>
          </cell>
          <cell r="BC203">
            <v>-38383.699999999997</v>
          </cell>
          <cell r="BI203">
            <v>-38383.699999999997</v>
          </cell>
          <cell r="BO203">
            <v>-136.5</v>
          </cell>
          <cell r="BQ203">
            <v>-58260.652000000002</v>
          </cell>
          <cell r="BU203">
            <v>-58260.652000000002</v>
          </cell>
          <cell r="BW203">
            <v>-8731.5</v>
          </cell>
          <cell r="BX203">
            <v>-8731.5</v>
          </cell>
          <cell r="CD203">
            <v>-75723.652000000002</v>
          </cell>
          <cell r="CJ203">
            <v>0</v>
          </cell>
          <cell r="CL203">
            <v>-113062</v>
          </cell>
          <cell r="CP203">
            <v>-113062</v>
          </cell>
          <cell r="CT203">
            <v>-227305.85200000001</v>
          </cell>
          <cell r="CU203">
            <v>0</v>
          </cell>
          <cell r="CX203">
            <v>-227305.85200000001</v>
          </cell>
          <cell r="FC203">
            <v>-38383.732000000004</v>
          </cell>
          <cell r="FF203">
            <v>-38383.732000000004</v>
          </cell>
          <cell r="FH203">
            <v>-136.5</v>
          </cell>
          <cell r="FI203">
            <v>-58260.652000000002</v>
          </cell>
          <cell r="FJ203">
            <v>-8731.5</v>
          </cell>
          <cell r="FK203">
            <v>-8731.5</v>
          </cell>
          <cell r="FN203">
            <v>-75723.652000000002</v>
          </cell>
          <cell r="FO203">
            <v>0</v>
          </cell>
          <cell r="FP203">
            <v>-113062</v>
          </cell>
          <cell r="FR203">
            <v>-113062</v>
          </cell>
          <cell r="FS203">
            <v>0</v>
          </cell>
          <cell r="FT203">
            <v>-227305.88400000002</v>
          </cell>
          <cell r="FV203">
            <v>-227305.88400000002</v>
          </cell>
          <cell r="FW203" t="str">
            <v>BANK LONG TERM LOANS</v>
          </cell>
          <cell r="FX203">
            <v>-75723.652000000002</v>
          </cell>
          <cell r="FY203">
            <v>-113062</v>
          </cell>
          <cell r="GA203">
            <v>-188785.652</v>
          </cell>
          <cell r="GB203">
            <v>-191317.17337077571</v>
          </cell>
          <cell r="GC203">
            <v>-227305.88400000002</v>
          </cell>
          <cell r="GD203">
            <v>-230353.94245652435</v>
          </cell>
          <cell r="GE203">
            <v>-38520.232000000018</v>
          </cell>
          <cell r="GF203">
            <v>4.1599644078778866</v>
          </cell>
          <cell r="GG203">
            <v>-179033.82779555846</v>
          </cell>
          <cell r="GH203">
            <v>0</v>
          </cell>
        </row>
        <row r="204">
          <cell r="A204" t="str">
            <v>Less current maturity</v>
          </cell>
          <cell r="C204">
            <v>704.9</v>
          </cell>
          <cell r="I204">
            <v>704.9</v>
          </cell>
          <cell r="O204">
            <v>22</v>
          </cell>
          <cell r="Q204">
            <v>1743.2809999999999</v>
          </cell>
          <cell r="U204">
            <v>1743.2809999999999</v>
          </cell>
          <cell r="W204">
            <v>1808.5</v>
          </cell>
          <cell r="X204">
            <v>1808.5</v>
          </cell>
          <cell r="AD204">
            <v>5360.2809999999999</v>
          </cell>
          <cell r="AJ204">
            <v>0</v>
          </cell>
          <cell r="AL204">
            <v>6067.473</v>
          </cell>
          <cell r="AP204">
            <v>6067.473</v>
          </cell>
          <cell r="AT204">
            <v>12154.653999999999</v>
          </cell>
          <cell r="AX204">
            <v>12154.653999999999</v>
          </cell>
          <cell r="AZ204" t="str">
            <v>Less current maturity</v>
          </cell>
          <cell r="BC204">
            <v>2575.0320000000002</v>
          </cell>
          <cell r="BG204">
            <v>0</v>
          </cell>
          <cell r="BI204">
            <v>2575.0320000000002</v>
          </cell>
          <cell r="BO204">
            <v>90.5</v>
          </cell>
          <cell r="BQ204">
            <v>7252.0470000000005</v>
          </cell>
          <cell r="BU204">
            <v>7252.0470000000005</v>
          </cell>
          <cell r="BW204">
            <v>7523</v>
          </cell>
          <cell r="BX204">
            <v>7523</v>
          </cell>
          <cell r="CD204">
            <v>22298.046999999999</v>
          </cell>
          <cell r="CJ204">
            <v>0</v>
          </cell>
          <cell r="CL204">
            <v>25241</v>
          </cell>
          <cell r="CP204">
            <v>25241</v>
          </cell>
          <cell r="CT204">
            <v>50204.578999999998</v>
          </cell>
          <cell r="CU204">
            <v>0</v>
          </cell>
          <cell r="CX204">
            <v>50204.578999999998</v>
          </cell>
          <cell r="FC204">
            <v>2932.384</v>
          </cell>
          <cell r="FF204">
            <v>2932.384</v>
          </cell>
          <cell r="FH204">
            <v>90.5</v>
          </cell>
          <cell r="FI204">
            <v>7252.0470000000005</v>
          </cell>
          <cell r="FJ204">
            <v>7523</v>
          </cell>
          <cell r="FK204">
            <v>7523</v>
          </cell>
          <cell r="FN204">
            <v>22298.046999999999</v>
          </cell>
          <cell r="FO204">
            <v>0</v>
          </cell>
          <cell r="FP204">
            <v>25241</v>
          </cell>
          <cell r="FR204">
            <v>25241</v>
          </cell>
          <cell r="FS204">
            <v>0</v>
          </cell>
          <cell r="FT204">
            <v>50561.930999999997</v>
          </cell>
          <cell r="FV204">
            <v>50561.930999999997</v>
          </cell>
          <cell r="FW204" t="str">
            <v>Less current maturity</v>
          </cell>
          <cell r="FX204">
            <v>22298.046999999999</v>
          </cell>
          <cell r="FY204">
            <v>25241</v>
          </cell>
          <cell r="GA204">
            <v>47539.046999999999</v>
          </cell>
          <cell r="GB204">
            <v>48176.52189362597</v>
          </cell>
          <cell r="GC204">
            <v>50561.930999999997</v>
          </cell>
          <cell r="GD204">
            <v>51239.941259350569</v>
          </cell>
          <cell r="GE204">
            <v>3022.8839999999982</v>
          </cell>
          <cell r="GF204">
            <v>4.1598823792104653</v>
          </cell>
          <cell r="GG204">
            <v>27337.758290006532</v>
          </cell>
          <cell r="GH204">
            <v>0</v>
          </cell>
        </row>
        <row r="205">
          <cell r="A205" t="str">
            <v>Total long term loans from banks</v>
          </cell>
          <cell r="C205">
            <v>-8521.9590000000007</v>
          </cell>
          <cell r="E205">
            <v>0</v>
          </cell>
          <cell r="G205">
            <v>0</v>
          </cell>
          <cell r="I205">
            <v>-8521.9590000000007</v>
          </cell>
          <cell r="O205">
            <v>-11</v>
          </cell>
          <cell r="Q205">
            <v>-12262.165000000001</v>
          </cell>
          <cell r="S205">
            <v>0</v>
          </cell>
          <cell r="U205">
            <v>-12262.165000000001</v>
          </cell>
          <cell r="W205">
            <v>-290.5</v>
          </cell>
          <cell r="X205">
            <v>-290.5</v>
          </cell>
          <cell r="Z205">
            <v>0</v>
          </cell>
          <cell r="AB205">
            <v>0</v>
          </cell>
          <cell r="AD205">
            <v>-12843.165000000001</v>
          </cell>
          <cell r="AF205">
            <v>0</v>
          </cell>
          <cell r="AH205">
            <v>0</v>
          </cell>
          <cell r="AJ205">
            <v>0</v>
          </cell>
          <cell r="AL205">
            <v>-21110.527000000002</v>
          </cell>
          <cell r="AN205">
            <v>0</v>
          </cell>
          <cell r="AP205">
            <v>-21110.527000000002</v>
          </cell>
          <cell r="AR205">
            <v>0</v>
          </cell>
          <cell r="AT205">
            <v>-42486.650999999998</v>
          </cell>
          <cell r="AV205">
            <v>0</v>
          </cell>
          <cell r="AX205">
            <v>-42486.650999999998</v>
          </cell>
          <cell r="AZ205" t="str">
            <v>Total long term loans from banks</v>
          </cell>
          <cell r="BC205">
            <v>-35808.667999999998</v>
          </cell>
          <cell r="BE205">
            <v>0</v>
          </cell>
          <cell r="BG205">
            <v>0</v>
          </cell>
          <cell r="BI205">
            <v>-35808.667999999998</v>
          </cell>
          <cell r="BO205">
            <v>-46</v>
          </cell>
          <cell r="BQ205">
            <v>-51008.605000000003</v>
          </cell>
          <cell r="BS205">
            <v>0</v>
          </cell>
          <cell r="BU205">
            <v>-51008.605000000003</v>
          </cell>
          <cell r="BW205">
            <v>-1208.5</v>
          </cell>
          <cell r="BX205">
            <v>-1208.5</v>
          </cell>
          <cell r="BZ205">
            <v>0</v>
          </cell>
          <cell r="CB205">
            <v>0</v>
          </cell>
          <cell r="CD205">
            <v>-53425.605000000003</v>
          </cell>
          <cell r="CF205">
            <v>0</v>
          </cell>
          <cell r="CH205">
            <v>0</v>
          </cell>
          <cell r="CJ205">
            <v>0</v>
          </cell>
          <cell r="CL205">
            <v>-87821</v>
          </cell>
          <cell r="CN205">
            <v>0</v>
          </cell>
          <cell r="CP205">
            <v>-87821</v>
          </cell>
          <cell r="CR205">
            <v>0</v>
          </cell>
          <cell r="CT205">
            <v>-177101.27300000002</v>
          </cell>
          <cell r="CU205">
            <v>0</v>
          </cell>
          <cell r="CV205">
            <v>0</v>
          </cell>
          <cell r="CX205">
            <v>-177101.27300000002</v>
          </cell>
          <cell r="FC205">
            <v>-35451.348000000005</v>
          </cell>
          <cell r="FD205">
            <v>0</v>
          </cell>
          <cell r="FE205">
            <v>0</v>
          </cell>
          <cell r="FF205">
            <v>-35451.348000000005</v>
          </cell>
          <cell r="FG205">
            <v>0</v>
          </cell>
          <cell r="FH205">
            <v>-46</v>
          </cell>
          <cell r="FI205">
            <v>-51008.605000000003</v>
          </cell>
          <cell r="FJ205">
            <v>-1208.5</v>
          </cell>
          <cell r="FK205">
            <v>-1208.5</v>
          </cell>
          <cell r="FL205">
            <v>0</v>
          </cell>
          <cell r="FM205">
            <v>0</v>
          </cell>
          <cell r="FN205">
            <v>-53425.605000000003</v>
          </cell>
          <cell r="FO205">
            <v>0</v>
          </cell>
          <cell r="FP205">
            <v>-87821</v>
          </cell>
          <cell r="FQ205">
            <v>0</v>
          </cell>
          <cell r="FR205">
            <v>-87821</v>
          </cell>
          <cell r="FS205">
            <v>0</v>
          </cell>
          <cell r="FT205">
            <v>-176743.95300000004</v>
          </cell>
          <cell r="FU205">
            <v>0</v>
          </cell>
          <cell r="FV205">
            <v>-176743.95300000004</v>
          </cell>
          <cell r="FW205" t="str">
            <v>Total long term loans from banks</v>
          </cell>
          <cell r="FX205">
            <v>-53425.605000000003</v>
          </cell>
          <cell r="FY205">
            <v>-87821</v>
          </cell>
          <cell r="FZ205">
            <v>0</v>
          </cell>
          <cell r="GA205">
            <v>-141246.60500000001</v>
          </cell>
          <cell r="GB205">
            <v>-143140.65147714975</v>
          </cell>
          <cell r="GC205">
            <v>-176743.95300000004</v>
          </cell>
          <cell r="GD205">
            <v>-179114.00119717378</v>
          </cell>
          <cell r="GE205">
            <v>-35497.34800000002</v>
          </cell>
          <cell r="GF205">
            <v>4.1599878747797758</v>
          </cell>
          <cell r="GG205">
            <v>-151696.06950555192</v>
          </cell>
          <cell r="GH205">
            <v>0</v>
          </cell>
        </row>
        <row r="206">
          <cell r="A206" t="str">
            <v>RELATED LONG TERM LOANS</v>
          </cell>
          <cell r="AT206">
            <v>0</v>
          </cell>
          <cell r="AZ206" t="str">
            <v>RELATED LONG TERM LOANS</v>
          </cell>
          <cell r="BX206">
            <v>0</v>
          </cell>
          <cell r="CD206">
            <v>0</v>
          </cell>
          <cell r="CT206">
            <v>0</v>
          </cell>
          <cell r="CU206">
            <v>0</v>
          </cell>
          <cell r="FS206">
            <v>0</v>
          </cell>
          <cell r="FW206" t="str">
            <v>RELATED LONG TERM LOANS</v>
          </cell>
          <cell r="FX206">
            <v>0</v>
          </cell>
          <cell r="FY206">
            <v>0</v>
          </cell>
          <cell r="GA206">
            <v>0</v>
          </cell>
          <cell r="GB206">
            <v>0</v>
          </cell>
          <cell r="GC206">
            <v>0</v>
          </cell>
          <cell r="GD206">
            <v>0</v>
          </cell>
          <cell r="GE206">
            <v>0</v>
          </cell>
          <cell r="GF206" t="e">
            <v>#DIV/0!</v>
          </cell>
          <cell r="GH206">
            <v>0</v>
          </cell>
        </row>
        <row r="207">
          <cell r="A207" t="str">
            <v>AUREC</v>
          </cell>
          <cell r="C207">
            <v>-217.54699999999957</v>
          </cell>
          <cell r="G207">
            <v>-315.56</v>
          </cell>
          <cell r="I207">
            <v>-533.10699999999952</v>
          </cell>
          <cell r="U207">
            <v>0</v>
          </cell>
          <cell r="AD207">
            <v>0</v>
          </cell>
          <cell r="AJ207">
            <v>0</v>
          </cell>
          <cell r="AP207">
            <v>0</v>
          </cell>
          <cell r="AT207">
            <v>-533.10699999999952</v>
          </cell>
          <cell r="AX207">
            <v>-533.10699999999952</v>
          </cell>
          <cell r="AZ207" t="str">
            <v>AUREC</v>
          </cell>
          <cell r="BC207">
            <v>843.38299999999981</v>
          </cell>
          <cell r="BE207">
            <v>0</v>
          </cell>
          <cell r="BG207">
            <v>-3061.3550000000005</v>
          </cell>
          <cell r="BI207">
            <v>-2217.9720000000007</v>
          </cell>
          <cell r="BU207">
            <v>0</v>
          </cell>
          <cell r="BX207">
            <v>0</v>
          </cell>
          <cell r="CD207">
            <v>0</v>
          </cell>
          <cell r="CJ207">
            <v>0</v>
          </cell>
          <cell r="CP207">
            <v>0</v>
          </cell>
          <cell r="CT207">
            <v>-2217.9720000000007</v>
          </cell>
          <cell r="CU207">
            <v>0</v>
          </cell>
          <cell r="CV207">
            <v>0</v>
          </cell>
          <cell r="CX207">
            <v>-2217.9720000000007</v>
          </cell>
          <cell r="FC207">
            <v>-2217.9720000000016</v>
          </cell>
          <cell r="FF207">
            <v>-2217.9720000000016</v>
          </cell>
          <cell r="FN207">
            <v>0</v>
          </cell>
          <cell r="FO207">
            <v>0</v>
          </cell>
          <cell r="FR207">
            <v>0</v>
          </cell>
          <cell r="FS207">
            <v>0</v>
          </cell>
          <cell r="FT207">
            <v>-2217.9720000000016</v>
          </cell>
          <cell r="FU207">
            <v>0</v>
          </cell>
          <cell r="FV207">
            <v>-2217.9720000000016</v>
          </cell>
          <cell r="FW207" t="str">
            <v>AUREC</v>
          </cell>
          <cell r="FX207">
            <v>0</v>
          </cell>
          <cell r="FY207">
            <v>0</v>
          </cell>
          <cell r="GA207">
            <v>0</v>
          </cell>
          <cell r="GB207">
            <v>0</v>
          </cell>
          <cell r="GC207">
            <v>-2217.9720000000016</v>
          </cell>
          <cell r="GD207">
            <v>-2247.7138975345774</v>
          </cell>
          <cell r="GE207">
            <v>-2217.9720000000016</v>
          </cell>
          <cell r="GF207">
            <v>4.1604630965265956</v>
          </cell>
          <cell r="GG207">
            <v>-14798.536253429133</v>
          </cell>
          <cell r="GH207">
            <v>0</v>
          </cell>
        </row>
        <row r="208">
          <cell r="A208" t="str">
            <v>ELNET-CAP.NOTE</v>
          </cell>
          <cell r="C208">
            <v>-40384.614999999998</v>
          </cell>
          <cell r="I208">
            <v>-40384.614999999998</v>
          </cell>
          <cell r="U208">
            <v>0</v>
          </cell>
          <cell r="AD208">
            <v>0</v>
          </cell>
          <cell r="AJ208">
            <v>0</v>
          </cell>
          <cell r="AP208">
            <v>0</v>
          </cell>
          <cell r="AT208">
            <v>-40384.614999999998</v>
          </cell>
          <cell r="AV208">
            <v>0</v>
          </cell>
          <cell r="AX208">
            <v>-40384.614999999998</v>
          </cell>
          <cell r="AZ208" t="str">
            <v>ELNET-CAP.NOTE</v>
          </cell>
          <cell r="BC208">
            <v>-168000</v>
          </cell>
          <cell r="BE208">
            <v>0</v>
          </cell>
          <cell r="BI208">
            <v>-168000</v>
          </cell>
          <cell r="BU208">
            <v>0</v>
          </cell>
          <cell r="BX208">
            <v>0</v>
          </cell>
          <cell r="CD208">
            <v>0</v>
          </cell>
          <cell r="CJ208">
            <v>0</v>
          </cell>
          <cell r="CP208">
            <v>0</v>
          </cell>
          <cell r="CT208">
            <v>-168000</v>
          </cell>
          <cell r="CU208">
            <v>0</v>
          </cell>
          <cell r="CV208">
            <v>0</v>
          </cell>
          <cell r="CX208">
            <v>-168000</v>
          </cell>
          <cell r="FC208">
            <v>-168000</v>
          </cell>
          <cell r="FF208">
            <v>-168000</v>
          </cell>
          <cell r="FN208">
            <v>0</v>
          </cell>
          <cell r="FO208">
            <v>0</v>
          </cell>
          <cell r="FR208">
            <v>0</v>
          </cell>
          <cell r="FS208">
            <v>0</v>
          </cell>
          <cell r="FT208">
            <v>-168000</v>
          </cell>
          <cell r="FU208">
            <v>0</v>
          </cell>
          <cell r="FV208">
            <v>-168000</v>
          </cell>
          <cell r="FW208" t="str">
            <v>ELNET-CAP.NOTE</v>
          </cell>
          <cell r="FX208">
            <v>0</v>
          </cell>
          <cell r="FY208">
            <v>0</v>
          </cell>
          <cell r="GA208">
            <v>0</v>
          </cell>
          <cell r="GB208">
            <v>0</v>
          </cell>
          <cell r="GC208">
            <v>-168000</v>
          </cell>
          <cell r="GD208">
            <v>-170252.79615153337</v>
          </cell>
          <cell r="GE208">
            <v>-168000</v>
          </cell>
          <cell r="GF208">
            <v>4.1600000396190486</v>
          </cell>
          <cell r="GG208">
            <v>0</v>
          </cell>
          <cell r="GH208">
            <v>0</v>
          </cell>
        </row>
        <row r="209">
          <cell r="A209" t="str">
            <v>ELNET-LOANS</v>
          </cell>
          <cell r="C209">
            <v>-13293.025</v>
          </cell>
          <cell r="G209">
            <v>-1400.6289999999999</v>
          </cell>
          <cell r="I209">
            <v>-14693.653999999999</v>
          </cell>
          <cell r="U209">
            <v>0</v>
          </cell>
          <cell r="AD209">
            <v>0</v>
          </cell>
          <cell r="AJ209">
            <v>0</v>
          </cell>
          <cell r="AP209">
            <v>0</v>
          </cell>
          <cell r="AT209">
            <v>-14693.653999999999</v>
          </cell>
          <cell r="AV209">
            <v>0</v>
          </cell>
          <cell r="AX209">
            <v>-14693.653999999999</v>
          </cell>
          <cell r="AZ209" t="str">
            <v>ELNET-LOANS</v>
          </cell>
          <cell r="BC209">
            <v>-43783.964999999997</v>
          </cell>
          <cell r="BG209">
            <v>-17341.833999999999</v>
          </cell>
          <cell r="BI209">
            <v>-61125.798999999999</v>
          </cell>
          <cell r="BU209">
            <v>0</v>
          </cell>
          <cell r="BX209">
            <v>0</v>
          </cell>
          <cell r="CD209">
            <v>0</v>
          </cell>
          <cell r="CJ209">
            <v>0</v>
          </cell>
          <cell r="CP209">
            <v>0</v>
          </cell>
          <cell r="CT209">
            <v>-61125.798999999999</v>
          </cell>
          <cell r="CU209">
            <v>0</v>
          </cell>
          <cell r="CV209">
            <v>0</v>
          </cell>
          <cell r="CX209">
            <v>-61125.798999999999</v>
          </cell>
          <cell r="FC209">
            <v>-58400.798999999999</v>
          </cell>
          <cell r="FE209">
            <v>-2725</v>
          </cell>
          <cell r="FF209">
            <v>-61125.798999999999</v>
          </cell>
          <cell r="FN209">
            <v>0</v>
          </cell>
          <cell r="FO209">
            <v>0</v>
          </cell>
          <cell r="FR209">
            <v>0</v>
          </cell>
          <cell r="FS209">
            <v>0</v>
          </cell>
          <cell r="FT209">
            <v>-61125.798999999999</v>
          </cell>
          <cell r="FU209">
            <v>0</v>
          </cell>
          <cell r="FV209">
            <v>-61125.798999999999</v>
          </cell>
          <cell r="FW209" t="str">
            <v>ELNET-LOANS</v>
          </cell>
          <cell r="FX209">
            <v>0</v>
          </cell>
          <cell r="FY209">
            <v>0</v>
          </cell>
          <cell r="GA209">
            <v>0</v>
          </cell>
          <cell r="GB209">
            <v>0</v>
          </cell>
          <cell r="GC209">
            <v>-61125.798999999999</v>
          </cell>
          <cell r="GD209">
            <v>-61945.465456825012</v>
          </cell>
          <cell r="GE209">
            <v>-61125.798999999999</v>
          </cell>
          <cell r="GF209">
            <v>4.160013499705383</v>
          </cell>
          <cell r="GG209">
            <v>-118697.75140822993</v>
          </cell>
          <cell r="GH209">
            <v>0</v>
          </cell>
        </row>
        <row r="210">
          <cell r="A210" t="str">
            <v>ALIS</v>
          </cell>
          <cell r="I210">
            <v>0</v>
          </cell>
          <cell r="U210">
            <v>0</v>
          </cell>
          <cell r="AD210">
            <v>0</v>
          </cell>
          <cell r="AF210">
            <v>-260.149</v>
          </cell>
          <cell r="AJ210">
            <v>-260.149</v>
          </cell>
          <cell r="AP210">
            <v>-260.149</v>
          </cell>
          <cell r="AR210">
            <v>-15017.421</v>
          </cell>
          <cell r="AT210">
            <v>-15277.57</v>
          </cell>
          <cell r="AV210">
            <v>15277.57</v>
          </cell>
          <cell r="AX210">
            <v>0</v>
          </cell>
          <cell r="AZ210" t="str">
            <v>ALIS</v>
          </cell>
          <cell r="BE210">
            <v>0</v>
          </cell>
          <cell r="BI210">
            <v>0</v>
          </cell>
          <cell r="BU210">
            <v>0</v>
          </cell>
          <cell r="BX210">
            <v>0</v>
          </cell>
          <cell r="CD210">
            <v>0</v>
          </cell>
          <cell r="CF210">
            <v>-1082.2190000000001</v>
          </cell>
          <cell r="CJ210">
            <v>-1082.2190000000001</v>
          </cell>
          <cell r="CP210">
            <v>-1082.2190000000001</v>
          </cell>
          <cell r="CR210">
            <v>-62472.469000000005</v>
          </cell>
          <cell r="CT210">
            <v>-63554.688000000002</v>
          </cell>
          <cell r="CU210">
            <v>0</v>
          </cell>
          <cell r="CV210">
            <v>63554.688000000002</v>
          </cell>
          <cell r="CX210">
            <v>0</v>
          </cell>
          <cell r="FN210">
            <v>0</v>
          </cell>
          <cell r="FO210">
            <v>-1082.2190000000001</v>
          </cell>
          <cell r="FR210">
            <v>-1082.2190000000001</v>
          </cell>
          <cell r="FS210">
            <v>-62472.469000000005</v>
          </cell>
          <cell r="FT210">
            <v>-63554.688000000002</v>
          </cell>
          <cell r="FU210">
            <v>63554.688000000002</v>
          </cell>
          <cell r="FV210">
            <v>0</v>
          </cell>
          <cell r="FW210" t="str">
            <v>ALIS</v>
          </cell>
          <cell r="FX210">
            <v>0</v>
          </cell>
          <cell r="FY210">
            <v>-1082.2190000000001</v>
          </cell>
          <cell r="GA210">
            <v>-1082.2190000000001</v>
          </cell>
          <cell r="GB210">
            <v>-1096.7310166566444</v>
          </cell>
          <cell r="GC210">
            <v>0</v>
          </cell>
          <cell r="GD210">
            <v>0</v>
          </cell>
          <cell r="GE210">
            <v>1082.2190000000001</v>
          </cell>
          <cell r="GF210" t="e">
            <v>#DIV/0!</v>
          </cell>
          <cell r="GG210">
            <v>0</v>
          </cell>
          <cell r="GH210">
            <v>0</v>
          </cell>
        </row>
        <row r="211">
          <cell r="A211" t="str">
            <v>IEDIOT</v>
          </cell>
          <cell r="G211">
            <v>0</v>
          </cell>
          <cell r="I211">
            <v>0</v>
          </cell>
          <cell r="U211">
            <v>0</v>
          </cell>
          <cell r="AD211">
            <v>0</v>
          </cell>
          <cell r="AF211">
            <v>-118.869</v>
          </cell>
          <cell r="AJ211">
            <v>-118.869</v>
          </cell>
          <cell r="AP211">
            <v>-118.869</v>
          </cell>
          <cell r="AR211">
            <v>-6457.37</v>
          </cell>
          <cell r="AT211">
            <v>-6576.2389999999996</v>
          </cell>
          <cell r="AX211">
            <v>-6576.2389999999996</v>
          </cell>
          <cell r="AZ211" t="str">
            <v>IEDIOT</v>
          </cell>
          <cell r="BG211">
            <v>0</v>
          </cell>
          <cell r="BI211">
            <v>0</v>
          </cell>
          <cell r="BU211">
            <v>0</v>
          </cell>
          <cell r="BX211">
            <v>0</v>
          </cell>
          <cell r="CD211">
            <v>0</v>
          </cell>
          <cell r="CF211">
            <v>-494.495</v>
          </cell>
          <cell r="CJ211">
            <v>-494.495</v>
          </cell>
          <cell r="CP211">
            <v>-494.495</v>
          </cell>
          <cell r="CR211">
            <v>-26862.66</v>
          </cell>
          <cell r="CT211">
            <v>-27357.154999999999</v>
          </cell>
          <cell r="CU211">
            <v>0</v>
          </cell>
          <cell r="CV211">
            <v>0</v>
          </cell>
          <cell r="CX211">
            <v>-27357.154999999999</v>
          </cell>
          <cell r="FE211">
            <v>0</v>
          </cell>
          <cell r="FN211">
            <v>0</v>
          </cell>
          <cell r="FO211">
            <v>-494.495</v>
          </cell>
          <cell r="FR211">
            <v>-494.495</v>
          </cell>
          <cell r="FS211">
            <v>-26862.66</v>
          </cell>
          <cell r="FT211">
            <v>-27357.154999999999</v>
          </cell>
          <cell r="FU211">
            <v>0</v>
          </cell>
          <cell r="FV211">
            <v>-27357.154999999999</v>
          </cell>
          <cell r="FW211" t="str">
            <v>IEDIOT</v>
          </cell>
          <cell r="FX211">
            <v>0</v>
          </cell>
          <cell r="FY211">
            <v>-494.495</v>
          </cell>
          <cell r="GA211">
            <v>-494.495</v>
          </cell>
          <cell r="GB211">
            <v>-501.12593114852672</v>
          </cell>
          <cell r="GC211">
            <v>-27357.154999999999</v>
          </cell>
          <cell r="GD211">
            <v>-27724.000794648226</v>
          </cell>
          <cell r="GE211">
            <v>-26862.66</v>
          </cell>
          <cell r="GF211">
            <v>4.1600001155675761</v>
          </cell>
          <cell r="GG211">
            <v>-24617.503057822021</v>
          </cell>
          <cell r="GH211">
            <v>0</v>
          </cell>
        </row>
        <row r="212">
          <cell r="A212" t="str">
            <v>MONITIN</v>
          </cell>
          <cell r="G212">
            <v>0</v>
          </cell>
          <cell r="I212">
            <v>0</v>
          </cell>
          <cell r="U212">
            <v>0</v>
          </cell>
          <cell r="AD212">
            <v>0</v>
          </cell>
          <cell r="AJ212">
            <v>0</v>
          </cell>
          <cell r="AN212">
            <v>0</v>
          </cell>
          <cell r="AP212">
            <v>0</v>
          </cell>
          <cell r="AT212">
            <v>0</v>
          </cell>
          <cell r="AV212">
            <v>0</v>
          </cell>
          <cell r="AX212">
            <v>0</v>
          </cell>
          <cell r="AZ212" t="str">
            <v>MONITIN</v>
          </cell>
          <cell r="BE212">
            <v>0</v>
          </cell>
          <cell r="BG212">
            <v>0</v>
          </cell>
          <cell r="BI212">
            <v>0</v>
          </cell>
          <cell r="BU212">
            <v>0</v>
          </cell>
          <cell r="BX212">
            <v>0</v>
          </cell>
          <cell r="CD212">
            <v>0</v>
          </cell>
          <cell r="CJ212">
            <v>0</v>
          </cell>
          <cell r="CN212">
            <v>0</v>
          </cell>
          <cell r="CP212">
            <v>0</v>
          </cell>
          <cell r="CT212">
            <v>0</v>
          </cell>
          <cell r="CU212">
            <v>0</v>
          </cell>
          <cell r="CV212">
            <v>0</v>
          </cell>
          <cell r="CX212">
            <v>0</v>
          </cell>
          <cell r="FE212">
            <v>0</v>
          </cell>
          <cell r="FN212">
            <v>0</v>
          </cell>
          <cell r="FO212">
            <v>0</v>
          </cell>
          <cell r="FQ212">
            <v>0</v>
          </cell>
          <cell r="FR212">
            <v>0</v>
          </cell>
          <cell r="FS212">
            <v>0</v>
          </cell>
          <cell r="FT212">
            <v>0</v>
          </cell>
          <cell r="FU212">
            <v>0</v>
          </cell>
          <cell r="FV212">
            <v>0</v>
          </cell>
          <cell r="FW212" t="str">
            <v>MONITIN</v>
          </cell>
          <cell r="FX212">
            <v>0</v>
          </cell>
          <cell r="FY212">
            <v>0</v>
          </cell>
          <cell r="GA212">
            <v>0</v>
          </cell>
          <cell r="GB212">
            <v>0</v>
          </cell>
          <cell r="GC212">
            <v>0</v>
          </cell>
          <cell r="GD212">
            <v>0</v>
          </cell>
          <cell r="GE212">
            <v>0</v>
          </cell>
          <cell r="GF212" t="e">
            <v>#DIV/0!</v>
          </cell>
          <cell r="GG212">
            <v>-2309.747325930764</v>
          </cell>
          <cell r="GH212">
            <v>0</v>
          </cell>
        </row>
        <row r="213">
          <cell r="A213" t="str">
            <v>G.C.&amp; CO.</v>
          </cell>
          <cell r="M213">
            <v>0</v>
          </cell>
          <cell r="Z213">
            <v>-1046.6179999999999</v>
          </cell>
          <cell r="AB213">
            <v>1046.6179999999999</v>
          </cell>
          <cell r="AD213">
            <v>0</v>
          </cell>
          <cell r="AJ213">
            <v>0</v>
          </cell>
          <cell r="AP213">
            <v>0</v>
          </cell>
          <cell r="AT213">
            <v>0</v>
          </cell>
          <cell r="AX213">
            <v>0</v>
          </cell>
          <cell r="AZ213" t="str">
            <v>G.C.&amp; CO.</v>
          </cell>
          <cell r="BX213">
            <v>0</v>
          </cell>
          <cell r="BZ213">
            <v>-4353.9319999999998</v>
          </cell>
          <cell r="CB213">
            <v>4353.9319999999998</v>
          </cell>
          <cell r="CD213">
            <v>0</v>
          </cell>
          <cell r="CJ213">
            <v>0</v>
          </cell>
          <cell r="CP213">
            <v>0</v>
          </cell>
          <cell r="CT213">
            <v>0</v>
          </cell>
          <cell r="CU213">
            <v>0</v>
          </cell>
          <cell r="CX213">
            <v>0</v>
          </cell>
          <cell r="FG213">
            <v>0</v>
          </cell>
          <cell r="FL213">
            <v>-4353.9319999999998</v>
          </cell>
          <cell r="FM213">
            <v>4353.9319999999998</v>
          </cell>
          <cell r="FN213">
            <v>0</v>
          </cell>
          <cell r="FO213">
            <v>0</v>
          </cell>
          <cell r="FR213">
            <v>0</v>
          </cell>
          <cell r="FS213">
            <v>0</v>
          </cell>
          <cell r="FT213">
            <v>0</v>
          </cell>
          <cell r="FU213">
            <v>0</v>
          </cell>
          <cell r="FV213">
            <v>0</v>
          </cell>
          <cell r="FW213" t="str">
            <v>G.C.&amp; CO.</v>
          </cell>
          <cell r="FX213">
            <v>0</v>
          </cell>
          <cell r="FY213">
            <v>0</v>
          </cell>
          <cell r="GA213">
            <v>0</v>
          </cell>
          <cell r="GB213">
            <v>0</v>
          </cell>
          <cell r="GC213">
            <v>0</v>
          </cell>
          <cell r="GD213">
            <v>0</v>
          </cell>
          <cell r="GE213">
            <v>0</v>
          </cell>
          <cell r="GF213" t="e">
            <v>#DIV/0!</v>
          </cell>
          <cell r="GG213">
            <v>0</v>
          </cell>
          <cell r="GH213">
            <v>0</v>
          </cell>
        </row>
        <row r="214">
          <cell r="A214" t="str">
            <v>SIGNAL</v>
          </cell>
          <cell r="W214">
            <v>-125.5</v>
          </cell>
          <cell r="X214">
            <v>-125.5</v>
          </cell>
          <cell r="Z214">
            <v>-448.55099999999999</v>
          </cell>
          <cell r="AD214">
            <v>-699.55099999999993</v>
          </cell>
          <cell r="AJ214">
            <v>0</v>
          </cell>
          <cell r="AP214">
            <v>0</v>
          </cell>
          <cell r="AT214">
            <v>-699.55099999999993</v>
          </cell>
          <cell r="AX214">
            <v>-699.55099999999993</v>
          </cell>
          <cell r="AZ214" t="str">
            <v>SIGNAL</v>
          </cell>
          <cell r="BW214">
            <v>-523</v>
          </cell>
          <cell r="BX214">
            <v>-523</v>
          </cell>
          <cell r="BZ214">
            <v>-1865.971</v>
          </cell>
          <cell r="CD214">
            <v>-2911.971</v>
          </cell>
          <cell r="CJ214">
            <v>0</v>
          </cell>
          <cell r="CP214">
            <v>0</v>
          </cell>
          <cell r="CT214">
            <v>-2911.971</v>
          </cell>
          <cell r="CU214">
            <v>0</v>
          </cell>
          <cell r="CX214">
            <v>-2911.971</v>
          </cell>
          <cell r="FJ214">
            <v>-523</v>
          </cell>
          <cell r="FK214">
            <v>-523</v>
          </cell>
          <cell r="FL214">
            <v>-1865.971</v>
          </cell>
          <cell r="FN214">
            <v>-2911.971</v>
          </cell>
          <cell r="FO214">
            <v>0</v>
          </cell>
          <cell r="FR214">
            <v>0</v>
          </cell>
          <cell r="FS214">
            <v>0</v>
          </cell>
          <cell r="FT214">
            <v>-2911.971</v>
          </cell>
          <cell r="FV214">
            <v>-2911.971</v>
          </cell>
          <cell r="FW214" t="str">
            <v>SIGNAL</v>
          </cell>
          <cell r="FX214">
            <v>-2911.971</v>
          </cell>
          <cell r="FY214">
            <v>0</v>
          </cell>
          <cell r="GA214">
            <v>-2911.971</v>
          </cell>
          <cell r="GB214">
            <v>-2951.0190777510525</v>
          </cell>
          <cell r="GC214">
            <v>-2911.971</v>
          </cell>
          <cell r="GD214">
            <v>-2951.0190777510525</v>
          </cell>
          <cell r="GE214">
            <v>0</v>
          </cell>
          <cell r="GF214">
            <v>4.1626286003450792</v>
          </cell>
          <cell r="GG214">
            <v>-1865.9359381131444</v>
          </cell>
          <cell r="GH214">
            <v>0</v>
          </cell>
        </row>
        <row r="215">
          <cell r="C215">
            <v>-53895.186999999998</v>
          </cell>
          <cell r="E215">
            <v>0</v>
          </cell>
          <cell r="G215">
            <v>-1716.1889999999999</v>
          </cell>
          <cell r="I215">
            <v>-55611.375999999989</v>
          </cell>
          <cell r="O215">
            <v>0</v>
          </cell>
          <cell r="Q215">
            <v>0</v>
          </cell>
          <cell r="S215">
            <v>0</v>
          </cell>
          <cell r="U215">
            <v>0</v>
          </cell>
          <cell r="W215">
            <v>-125.5</v>
          </cell>
          <cell r="X215">
            <v>-125.5</v>
          </cell>
          <cell r="Z215">
            <v>-1495.1689999999999</v>
          </cell>
          <cell r="AB215">
            <v>1046.6179999999999</v>
          </cell>
          <cell r="AD215">
            <v>-699.55099999999993</v>
          </cell>
          <cell r="AF215">
            <v>-379.01800000000003</v>
          </cell>
          <cell r="AH215">
            <v>0</v>
          </cell>
          <cell r="AJ215">
            <v>-379.01800000000003</v>
          </cell>
          <cell r="AL215">
            <v>0</v>
          </cell>
          <cell r="AN215">
            <v>0</v>
          </cell>
          <cell r="AP215">
            <v>-379.01800000000003</v>
          </cell>
          <cell r="AR215">
            <v>-21474.791000000001</v>
          </cell>
          <cell r="AT215">
            <v>-78164.736000000004</v>
          </cell>
          <cell r="AV215">
            <v>15277.57</v>
          </cell>
          <cell r="AX215">
            <v>-62887.16599999999</v>
          </cell>
          <cell r="BC215">
            <v>-210940.58199999999</v>
          </cell>
          <cell r="BE215">
            <v>0</v>
          </cell>
          <cell r="BG215">
            <v>-20403.188999999998</v>
          </cell>
          <cell r="BI215">
            <v>-231343.77100000001</v>
          </cell>
          <cell r="BM215">
            <v>0</v>
          </cell>
          <cell r="BO215">
            <v>0</v>
          </cell>
          <cell r="BQ215">
            <v>0</v>
          </cell>
          <cell r="BS215">
            <v>0</v>
          </cell>
          <cell r="BU215">
            <v>0</v>
          </cell>
          <cell r="BW215">
            <v>-523</v>
          </cell>
          <cell r="BX215">
            <v>-523</v>
          </cell>
          <cell r="BZ215">
            <v>-6219.9030000000002</v>
          </cell>
          <cell r="CB215">
            <v>4353.9319999999998</v>
          </cell>
          <cell r="CD215">
            <v>-2911.9710000000005</v>
          </cell>
          <cell r="CF215">
            <v>-1576.7139999999999</v>
          </cell>
          <cell r="CH215">
            <v>0</v>
          </cell>
          <cell r="CJ215">
            <v>-1576.7139999999999</v>
          </cell>
          <cell r="CL215">
            <v>0</v>
          </cell>
          <cell r="CN215">
            <v>0</v>
          </cell>
          <cell r="CO215">
            <v>0</v>
          </cell>
          <cell r="CP215">
            <v>-1576.7139999999999</v>
          </cell>
          <cell r="CQ215">
            <v>0</v>
          </cell>
          <cell r="CR215">
            <v>-89335.129000000001</v>
          </cell>
          <cell r="CS215">
            <v>0</v>
          </cell>
          <cell r="CT215">
            <v>-325167.58500000008</v>
          </cell>
          <cell r="CU215">
            <v>0</v>
          </cell>
          <cell r="CV215">
            <v>63554.688000000002</v>
          </cell>
          <cell r="CW215">
            <v>0</v>
          </cell>
          <cell r="CX215">
            <v>-261612.897</v>
          </cell>
          <cell r="FC215">
            <v>-228618.77100000001</v>
          </cell>
          <cell r="FD215">
            <v>0</v>
          </cell>
          <cell r="FE215">
            <v>-2725</v>
          </cell>
          <cell r="FF215">
            <v>-231343.77100000001</v>
          </cell>
          <cell r="FG215">
            <v>0</v>
          </cell>
          <cell r="FH215">
            <v>0</v>
          </cell>
          <cell r="FI215">
            <v>0</v>
          </cell>
          <cell r="FJ215">
            <v>-523</v>
          </cell>
          <cell r="FK215">
            <v>-523</v>
          </cell>
          <cell r="FL215">
            <v>-6219.9030000000002</v>
          </cell>
          <cell r="FM215">
            <v>4353.9319999999998</v>
          </cell>
          <cell r="FN215">
            <v>-2911.971</v>
          </cell>
          <cell r="FO215">
            <v>-1576.7139999999999</v>
          </cell>
          <cell r="FP215">
            <v>0</v>
          </cell>
          <cell r="FQ215">
            <v>0</v>
          </cell>
          <cell r="FR215">
            <v>-1576.7139999999999</v>
          </cell>
          <cell r="FS215">
            <v>-89335.129000000001</v>
          </cell>
          <cell r="FT215">
            <v>-325167.58500000008</v>
          </cell>
          <cell r="FU215">
            <v>63554.688000000002</v>
          </cell>
          <cell r="FV215">
            <v>-261612.897</v>
          </cell>
          <cell r="FX215">
            <v>-2911.971</v>
          </cell>
          <cell r="FY215">
            <v>-1576.7139999999999</v>
          </cell>
          <cell r="FZ215">
            <v>0</v>
          </cell>
          <cell r="GA215">
            <v>-4488.6849999999995</v>
          </cell>
          <cell r="GB215">
            <v>-4548.8760255562238</v>
          </cell>
          <cell r="GC215">
            <v>-261612.897</v>
          </cell>
          <cell r="GD215">
            <v>-265120.99537829222</v>
          </cell>
          <cell r="GE215">
            <v>-257124.212</v>
          </cell>
          <cell r="GF215">
            <v>4.1600363578158381</v>
          </cell>
          <cell r="GG215">
            <v>-162289.47398352501</v>
          </cell>
          <cell r="GH215">
            <v>0</v>
          </cell>
        </row>
        <row r="216">
          <cell r="A216" t="str">
            <v>ADVANCES</v>
          </cell>
          <cell r="B216" t="str">
            <v>deposits</v>
          </cell>
          <cell r="C216">
            <v>0</v>
          </cell>
          <cell r="E216">
            <v>0</v>
          </cell>
          <cell r="G216">
            <v>0</v>
          </cell>
          <cell r="I216">
            <v>0</v>
          </cell>
          <cell r="M216">
            <v>0</v>
          </cell>
          <cell r="Q216">
            <v>-2945.299</v>
          </cell>
          <cell r="U216">
            <v>-2945.299</v>
          </cell>
          <cell r="W216">
            <v>-312</v>
          </cell>
          <cell r="X216">
            <v>-312</v>
          </cell>
          <cell r="Z216">
            <v>-36.557000000000002</v>
          </cell>
          <cell r="AD216">
            <v>-3605.8559999999998</v>
          </cell>
          <cell r="AH216">
            <v>0</v>
          </cell>
          <cell r="AJ216">
            <v>0</v>
          </cell>
          <cell r="AL216">
            <v>-2485</v>
          </cell>
          <cell r="AP216">
            <v>-2485</v>
          </cell>
          <cell r="AR216">
            <v>0</v>
          </cell>
          <cell r="AT216">
            <v>-6090.8559999999998</v>
          </cell>
          <cell r="AV216">
            <v>0</v>
          </cell>
          <cell r="AX216">
            <v>-6090.8559999999998</v>
          </cell>
          <cell r="AZ216" t="str">
            <v>ADVANCES</v>
          </cell>
          <cell r="BA216" t="str">
            <v>deposits</v>
          </cell>
          <cell r="BC216">
            <v>0</v>
          </cell>
          <cell r="BE216">
            <v>0</v>
          </cell>
          <cell r="BG216">
            <v>0</v>
          </cell>
          <cell r="BI216">
            <v>0</v>
          </cell>
          <cell r="BQ216">
            <v>-12252.442999999999</v>
          </cell>
          <cell r="BU216">
            <v>-12252.442999999999</v>
          </cell>
          <cell r="BW216">
            <v>-1259.5</v>
          </cell>
          <cell r="BX216">
            <v>-1259.5</v>
          </cell>
          <cell r="BZ216">
            <v>-152.07599999999999</v>
          </cell>
          <cell r="CD216">
            <v>-14923.518999999998</v>
          </cell>
          <cell r="CH216">
            <v>0</v>
          </cell>
          <cell r="CJ216">
            <v>0</v>
          </cell>
          <cell r="CL216">
            <v>-10339</v>
          </cell>
          <cell r="CP216">
            <v>-10339</v>
          </cell>
          <cell r="CR216">
            <v>0</v>
          </cell>
          <cell r="CT216">
            <v>-25262.519</v>
          </cell>
          <cell r="CU216">
            <v>0</v>
          </cell>
          <cell r="CV216">
            <v>0</v>
          </cell>
          <cell r="CX216">
            <v>-25262.519</v>
          </cell>
          <cell r="FE216">
            <v>0</v>
          </cell>
          <cell r="FG216">
            <v>0</v>
          </cell>
          <cell r="FI216">
            <v>-12252.442999999999</v>
          </cell>
          <cell r="FJ216">
            <v>-1314</v>
          </cell>
          <cell r="FK216">
            <v>-1314</v>
          </cell>
          <cell r="FL216">
            <v>-152.077</v>
          </cell>
          <cell r="FN216">
            <v>-15032.52</v>
          </cell>
          <cell r="FO216">
            <v>0</v>
          </cell>
          <cell r="FP216">
            <v>-10339</v>
          </cell>
          <cell r="FR216">
            <v>-10339</v>
          </cell>
          <cell r="FS216">
            <v>0</v>
          </cell>
          <cell r="FT216">
            <v>-25371.52</v>
          </cell>
          <cell r="FU216">
            <v>0</v>
          </cell>
          <cell r="FV216">
            <v>-25371.52</v>
          </cell>
          <cell r="FW216" t="str">
            <v>ADVANCES</v>
          </cell>
          <cell r="FX216">
            <v>-15032.52</v>
          </cell>
          <cell r="FY216">
            <v>-10339</v>
          </cell>
          <cell r="GA216">
            <v>-25371.52</v>
          </cell>
          <cell r="GB216">
            <v>-25711.739420324709</v>
          </cell>
          <cell r="GC216">
            <v>-25371.52</v>
          </cell>
          <cell r="GD216">
            <v>-25711.739420324709</v>
          </cell>
          <cell r="GE216">
            <v>0</v>
          </cell>
          <cell r="GF216">
            <v>4.1655097411595348</v>
          </cell>
          <cell r="GG216">
            <v>-24686.713865334536</v>
          </cell>
          <cell r="GH216">
            <v>0</v>
          </cell>
        </row>
        <row r="217">
          <cell r="C217">
            <v>0</v>
          </cell>
          <cell r="E217">
            <v>0</v>
          </cell>
          <cell r="G217">
            <v>0</v>
          </cell>
          <cell r="I217">
            <v>0</v>
          </cell>
          <cell r="U217">
            <v>0</v>
          </cell>
          <cell r="AD217">
            <v>0</v>
          </cell>
          <cell r="AH217">
            <v>0</v>
          </cell>
          <cell r="AJ217">
            <v>0</v>
          </cell>
          <cell r="AP217">
            <v>0</v>
          </cell>
          <cell r="AR217">
            <v>0</v>
          </cell>
          <cell r="AT217">
            <v>0</v>
          </cell>
          <cell r="AV217">
            <v>0</v>
          </cell>
          <cell r="AX217">
            <v>0</v>
          </cell>
          <cell r="BC217">
            <v>0</v>
          </cell>
          <cell r="BE217">
            <v>0</v>
          </cell>
          <cell r="BG217">
            <v>0</v>
          </cell>
          <cell r="BI217">
            <v>0</v>
          </cell>
          <cell r="BU217">
            <v>0</v>
          </cell>
          <cell r="BX217">
            <v>0</v>
          </cell>
          <cell r="CD217">
            <v>0</v>
          </cell>
          <cell r="CH217">
            <v>0</v>
          </cell>
          <cell r="CJ217">
            <v>0</v>
          </cell>
          <cell r="CL217">
            <v>0</v>
          </cell>
          <cell r="CP217">
            <v>0</v>
          </cell>
          <cell r="CR217">
            <v>0</v>
          </cell>
          <cell r="CT217">
            <v>0</v>
          </cell>
          <cell r="CU217">
            <v>0</v>
          </cell>
          <cell r="CV217">
            <v>0</v>
          </cell>
          <cell r="CX217">
            <v>0</v>
          </cell>
          <cell r="FE217">
            <v>0</v>
          </cell>
          <cell r="FN217">
            <v>0</v>
          </cell>
          <cell r="FO217">
            <v>0</v>
          </cell>
          <cell r="FR217">
            <v>0</v>
          </cell>
          <cell r="FS217">
            <v>0</v>
          </cell>
          <cell r="FT217">
            <v>0</v>
          </cell>
          <cell r="FU217">
            <v>0</v>
          </cell>
          <cell r="FV217">
            <v>0</v>
          </cell>
          <cell r="FX217">
            <v>0</v>
          </cell>
          <cell r="FY217">
            <v>0</v>
          </cell>
          <cell r="GA217">
            <v>0</v>
          </cell>
          <cell r="GB217">
            <v>0</v>
          </cell>
          <cell r="GC217">
            <v>0</v>
          </cell>
          <cell r="GD217">
            <v>0</v>
          </cell>
          <cell r="GE217">
            <v>0</v>
          </cell>
          <cell r="GF217" t="e">
            <v>#DIV/0!</v>
          </cell>
          <cell r="GG217">
            <v>0</v>
          </cell>
          <cell r="GH217">
            <v>0</v>
          </cell>
        </row>
        <row r="218">
          <cell r="C218">
            <v>0</v>
          </cell>
          <cell r="E218">
            <v>0</v>
          </cell>
          <cell r="G218">
            <v>0</v>
          </cell>
          <cell r="I218">
            <v>0</v>
          </cell>
          <cell r="O218">
            <v>0</v>
          </cell>
          <cell r="Q218">
            <v>-2945.299</v>
          </cell>
          <cell r="S218">
            <v>0</v>
          </cell>
          <cell r="U218">
            <v>-2945.299</v>
          </cell>
          <cell r="W218">
            <v>-312</v>
          </cell>
          <cell r="X218">
            <v>-312</v>
          </cell>
          <cell r="Z218">
            <v>-36.557000000000002</v>
          </cell>
          <cell r="AB218">
            <v>0</v>
          </cell>
          <cell r="AD218">
            <v>-3605.8559999999998</v>
          </cell>
          <cell r="AF218">
            <v>0</v>
          </cell>
          <cell r="AH218">
            <v>0</v>
          </cell>
          <cell r="AJ218">
            <v>0</v>
          </cell>
          <cell r="AL218">
            <v>-2485</v>
          </cell>
          <cell r="AN218">
            <v>0</v>
          </cell>
          <cell r="AP218">
            <v>-2485</v>
          </cell>
          <cell r="AR218">
            <v>0</v>
          </cell>
          <cell r="AT218">
            <v>-6090.8559999999998</v>
          </cell>
          <cell r="AV218">
            <v>0</v>
          </cell>
          <cell r="AX218">
            <v>-6090.8559999999998</v>
          </cell>
          <cell r="BC218">
            <v>0</v>
          </cell>
          <cell r="BE218">
            <v>0</v>
          </cell>
          <cell r="BG218">
            <v>0</v>
          </cell>
          <cell r="BI218">
            <v>0</v>
          </cell>
          <cell r="BO218">
            <v>0</v>
          </cell>
          <cell r="BQ218">
            <v>-12252.442999999999</v>
          </cell>
          <cell r="BS218">
            <v>0</v>
          </cell>
          <cell r="BU218">
            <v>-12252.442999999999</v>
          </cell>
          <cell r="BW218">
            <v>-1259.5</v>
          </cell>
          <cell r="BX218">
            <v>-1259.5</v>
          </cell>
          <cell r="BZ218">
            <v>-152.07599999999999</v>
          </cell>
          <cell r="CB218">
            <v>0</v>
          </cell>
          <cell r="CD218">
            <v>-14923.518999999998</v>
          </cell>
          <cell r="CF218">
            <v>0</v>
          </cell>
          <cell r="CH218">
            <v>0</v>
          </cell>
          <cell r="CJ218">
            <v>0</v>
          </cell>
          <cell r="CL218">
            <v>-10339</v>
          </cell>
          <cell r="CN218">
            <v>0</v>
          </cell>
          <cell r="CP218">
            <v>-10339</v>
          </cell>
          <cell r="CR218">
            <v>0</v>
          </cell>
          <cell r="CT218">
            <v>-25262.519</v>
          </cell>
          <cell r="CU218">
            <v>0</v>
          </cell>
          <cell r="CV218">
            <v>0</v>
          </cell>
          <cell r="CX218">
            <v>-25262.519</v>
          </cell>
          <cell r="FC218">
            <v>0</v>
          </cell>
          <cell r="FE218">
            <v>0</v>
          </cell>
          <cell r="FH218">
            <v>0</v>
          </cell>
          <cell r="FI218">
            <v>-12252.442999999999</v>
          </cell>
          <cell r="FJ218">
            <v>-1314</v>
          </cell>
          <cell r="FK218">
            <v>-1314</v>
          </cell>
          <cell r="FL218">
            <v>-152.077</v>
          </cell>
          <cell r="FM218">
            <v>0</v>
          </cell>
          <cell r="FN218">
            <v>-15032.52</v>
          </cell>
          <cell r="FO218">
            <v>0</v>
          </cell>
          <cell r="FP218">
            <v>-10339</v>
          </cell>
          <cell r="FQ218">
            <v>0</v>
          </cell>
          <cell r="FR218">
            <v>-10339</v>
          </cell>
          <cell r="FS218">
            <v>0</v>
          </cell>
          <cell r="FT218">
            <v>-25371.52</v>
          </cell>
          <cell r="FU218">
            <v>0</v>
          </cell>
          <cell r="FV218">
            <v>-25371.52</v>
          </cell>
          <cell r="FX218">
            <v>-15032.52</v>
          </cell>
          <cell r="FY218">
            <v>-10339</v>
          </cell>
          <cell r="FZ218">
            <v>0</v>
          </cell>
          <cell r="GA218">
            <v>-25371.52</v>
          </cell>
          <cell r="GB218">
            <v>-25711.739420324709</v>
          </cell>
          <cell r="GC218">
            <v>-25371.52</v>
          </cell>
          <cell r="GD218">
            <v>-25711.739420324709</v>
          </cell>
          <cell r="GE218">
            <v>0</v>
          </cell>
          <cell r="GF218">
            <v>4.1655097411595348</v>
          </cell>
          <cell r="GG218">
            <v>-24686.713865334536</v>
          </cell>
          <cell r="GH218">
            <v>0</v>
          </cell>
        </row>
        <row r="219">
          <cell r="A219" t="str">
            <v>CURR.LIABILITIES</v>
          </cell>
          <cell r="AZ219" t="str">
            <v>CURR.LIABILITIES</v>
          </cell>
          <cell r="BX219">
            <v>0</v>
          </cell>
          <cell r="CD219">
            <v>0</v>
          </cell>
          <cell r="CU219">
            <v>0</v>
          </cell>
          <cell r="FS219">
            <v>0</v>
          </cell>
          <cell r="FW219" t="str">
            <v>CURR.LIABILITIES</v>
          </cell>
          <cell r="FX219">
            <v>0</v>
          </cell>
          <cell r="FY219">
            <v>0</v>
          </cell>
          <cell r="GA219">
            <v>0</v>
          </cell>
          <cell r="GB219">
            <v>0</v>
          </cell>
          <cell r="GC219">
            <v>0</v>
          </cell>
          <cell r="GD219">
            <v>0</v>
          </cell>
          <cell r="GE219">
            <v>0</v>
          </cell>
          <cell r="GF219" t="e">
            <v>#DIV/0!</v>
          </cell>
          <cell r="GH219">
            <v>0</v>
          </cell>
        </row>
        <row r="220">
          <cell r="A220" t="str">
            <v>Banks</v>
          </cell>
          <cell r="AZ220" t="str">
            <v>Banks</v>
          </cell>
          <cell r="BX220">
            <v>0</v>
          </cell>
          <cell r="CD220">
            <v>0</v>
          </cell>
          <cell r="CU220">
            <v>0</v>
          </cell>
          <cell r="FS220">
            <v>0</v>
          </cell>
          <cell r="FW220" t="str">
            <v>Banks</v>
          </cell>
          <cell r="FX220">
            <v>0</v>
          </cell>
          <cell r="FY220">
            <v>0</v>
          </cell>
          <cell r="GA220">
            <v>0</v>
          </cell>
          <cell r="GB220">
            <v>0</v>
          </cell>
          <cell r="GC220">
            <v>0</v>
          </cell>
          <cell r="GD220">
            <v>0</v>
          </cell>
          <cell r="GE220">
            <v>0</v>
          </cell>
          <cell r="GF220" t="e">
            <v>#DIV/0!</v>
          </cell>
          <cell r="GH220">
            <v>0</v>
          </cell>
        </row>
        <row r="221">
          <cell r="A221" t="str">
            <v>Current Maturities</v>
          </cell>
          <cell r="C221">
            <v>-704.9</v>
          </cell>
          <cell r="G221">
            <v>0</v>
          </cell>
          <cell r="I221">
            <v>-704.9</v>
          </cell>
          <cell r="O221">
            <v>-22</v>
          </cell>
          <cell r="Q221">
            <v>-1743.2809999999999</v>
          </cell>
          <cell r="U221">
            <v>-1743.2809999999999</v>
          </cell>
          <cell r="W221">
            <v>-1808.5</v>
          </cell>
          <cell r="X221">
            <v>-1808.5</v>
          </cell>
          <cell r="AD221">
            <v>-5360.2809999999999</v>
          </cell>
          <cell r="AJ221">
            <v>0</v>
          </cell>
          <cell r="AL221">
            <v>-6067.473</v>
          </cell>
          <cell r="AP221">
            <v>-6067.473</v>
          </cell>
          <cell r="AT221">
            <v>-12154.653999999999</v>
          </cell>
          <cell r="AX221">
            <v>-12154.653999999999</v>
          </cell>
          <cell r="AZ221" t="str">
            <v>Current Maturities</v>
          </cell>
          <cell r="BC221">
            <v>-2575.0320000000002</v>
          </cell>
          <cell r="BI221">
            <v>-2575.0320000000002</v>
          </cell>
          <cell r="BO221">
            <v>-90.5</v>
          </cell>
          <cell r="BQ221">
            <v>-7252.0470000000005</v>
          </cell>
          <cell r="BU221">
            <v>-7252.0470000000005</v>
          </cell>
          <cell r="BW221">
            <v>-7523</v>
          </cell>
          <cell r="BX221">
            <v>-7523</v>
          </cell>
          <cell r="CD221">
            <v>-22298.046999999999</v>
          </cell>
          <cell r="CJ221">
            <v>0</v>
          </cell>
          <cell r="CL221">
            <v>-25241</v>
          </cell>
          <cell r="CP221">
            <v>-25241</v>
          </cell>
          <cell r="CT221">
            <v>-50204.578999999998</v>
          </cell>
          <cell r="CU221">
            <v>0</v>
          </cell>
          <cell r="CX221">
            <v>-50204.578999999998</v>
          </cell>
          <cell r="FC221">
            <v>-2932.384</v>
          </cell>
          <cell r="FE221">
            <v>0</v>
          </cell>
          <cell r="FF221">
            <v>-2932.384</v>
          </cell>
          <cell r="FG221">
            <v>0</v>
          </cell>
          <cell r="FH221">
            <v>-90.5</v>
          </cell>
          <cell r="FI221">
            <v>-7252.0470000000005</v>
          </cell>
          <cell r="FJ221">
            <v>-7523</v>
          </cell>
          <cell r="FK221">
            <v>-7523</v>
          </cell>
          <cell r="FN221">
            <v>-22298.046999999999</v>
          </cell>
          <cell r="FO221">
            <v>0</v>
          </cell>
          <cell r="FP221">
            <v>-25241</v>
          </cell>
          <cell r="FR221">
            <v>-25241</v>
          </cell>
          <cell r="FS221">
            <v>0</v>
          </cell>
          <cell r="FT221">
            <v>-50561.930999999997</v>
          </cell>
          <cell r="FV221">
            <v>-50561.930999999997</v>
          </cell>
          <cell r="FW221" t="str">
            <v>Current Maturities</v>
          </cell>
          <cell r="FX221">
            <v>-22298.046999999999</v>
          </cell>
          <cell r="FY221">
            <v>-25241</v>
          </cell>
          <cell r="GA221">
            <v>-47539.046999999999</v>
          </cell>
          <cell r="GB221">
            <v>-48176.52189362597</v>
          </cell>
          <cell r="GC221">
            <v>-50561.930999999997</v>
          </cell>
          <cell r="GD221">
            <v>-51239.941259350569</v>
          </cell>
          <cell r="GE221">
            <v>-3022.8839999999982</v>
          </cell>
          <cell r="GF221">
            <v>4.1598823792104653</v>
          </cell>
          <cell r="GG221">
            <v>-27337.758290006532</v>
          </cell>
          <cell r="GH221">
            <v>0</v>
          </cell>
        </row>
        <row r="222">
          <cell r="A222" t="str">
            <v>Bank overdrafts</v>
          </cell>
          <cell r="G222">
            <v>0</v>
          </cell>
          <cell r="I222">
            <v>0</v>
          </cell>
          <cell r="O222">
            <v>-1220.5</v>
          </cell>
          <cell r="Q222">
            <v>-61492.355000000003</v>
          </cell>
          <cell r="U222">
            <v>-61492.355000000003</v>
          </cell>
          <cell r="W222">
            <v>-12612.5</v>
          </cell>
          <cell r="X222">
            <v>-12612.5</v>
          </cell>
          <cell r="AD222">
            <v>-86717.35500000001</v>
          </cell>
          <cell r="AH222">
            <v>0</v>
          </cell>
          <cell r="AJ222">
            <v>0</v>
          </cell>
          <cell r="AL222">
            <v>-22.951000000000001</v>
          </cell>
          <cell r="AP222">
            <v>-22.951000000000001</v>
          </cell>
          <cell r="AT222">
            <v>-87960.806000000011</v>
          </cell>
          <cell r="AX222">
            <v>-87960.806000000011</v>
          </cell>
          <cell r="AZ222" t="str">
            <v>Bank overdrafts</v>
          </cell>
          <cell r="BG222">
            <v>0</v>
          </cell>
          <cell r="BI222">
            <v>0</v>
          </cell>
          <cell r="BO222">
            <v>-5079</v>
          </cell>
          <cell r="BQ222">
            <v>-255810.19899999999</v>
          </cell>
          <cell r="BU222">
            <v>-255810.19899999999</v>
          </cell>
          <cell r="BW222">
            <v>-52468</v>
          </cell>
          <cell r="BX222">
            <v>-52468</v>
          </cell>
          <cell r="CD222">
            <v>-360746.19900000002</v>
          </cell>
          <cell r="CH222">
            <v>0</v>
          </cell>
          <cell r="CJ222">
            <v>0</v>
          </cell>
          <cell r="CL222">
            <v>-95</v>
          </cell>
          <cell r="CP222">
            <v>-95</v>
          </cell>
          <cell r="CR222">
            <v>0</v>
          </cell>
          <cell r="CT222">
            <v>-365920.19900000002</v>
          </cell>
          <cell r="CU222">
            <v>0</v>
          </cell>
          <cell r="CV222">
            <v>0</v>
          </cell>
          <cell r="CX222">
            <v>-365920.19900000002</v>
          </cell>
          <cell r="FE222">
            <v>0</v>
          </cell>
          <cell r="FH222">
            <v>-5079</v>
          </cell>
          <cell r="FI222">
            <v>-255810.19899999999</v>
          </cell>
          <cell r="FJ222">
            <v>-52468</v>
          </cell>
          <cell r="FK222">
            <v>-52468</v>
          </cell>
          <cell r="FN222">
            <v>-360746.19900000002</v>
          </cell>
          <cell r="FO222">
            <v>0</v>
          </cell>
          <cell r="FP222">
            <v>-95</v>
          </cell>
          <cell r="FR222">
            <v>-95</v>
          </cell>
          <cell r="FS222">
            <v>0</v>
          </cell>
          <cell r="FT222">
            <v>-365920.19900000002</v>
          </cell>
          <cell r="FU222">
            <v>0</v>
          </cell>
          <cell r="FV222">
            <v>-365920.19900000002</v>
          </cell>
          <cell r="FW222" t="str">
            <v>Bank overdrafts</v>
          </cell>
          <cell r="FX222">
            <v>-360746.19900000002</v>
          </cell>
          <cell r="FY222">
            <v>-95</v>
          </cell>
          <cell r="GA222">
            <v>-360841.19900000002</v>
          </cell>
          <cell r="GB222">
            <v>-365679.89938346361</v>
          </cell>
          <cell r="GC222">
            <v>-365920.19900000002</v>
          </cell>
          <cell r="GD222">
            <v>-370827.00623854483</v>
          </cell>
          <cell r="GE222">
            <v>-5079</v>
          </cell>
          <cell r="GF222">
            <v>4.1600369032543876</v>
          </cell>
          <cell r="GG222">
            <v>-2182.5935421293279</v>
          </cell>
          <cell r="GH222">
            <v>0</v>
          </cell>
        </row>
        <row r="223">
          <cell r="A223" t="str">
            <v>Total Banks</v>
          </cell>
          <cell r="C223">
            <v>-704.9</v>
          </cell>
          <cell r="E223">
            <v>0</v>
          </cell>
          <cell r="G223">
            <v>0</v>
          </cell>
          <cell r="I223">
            <v>-704.9</v>
          </cell>
          <cell r="O223">
            <v>-1243</v>
          </cell>
          <cell r="Q223">
            <v>-63235.636000000006</v>
          </cell>
          <cell r="S223">
            <v>0</v>
          </cell>
          <cell r="U223">
            <v>-63235.636000000006</v>
          </cell>
          <cell r="W223">
            <v>-14421</v>
          </cell>
          <cell r="X223">
            <v>-14421</v>
          </cell>
          <cell r="Z223">
            <v>0</v>
          </cell>
          <cell r="AB223">
            <v>0</v>
          </cell>
          <cell r="AD223">
            <v>-92077.636000000013</v>
          </cell>
          <cell r="AF223">
            <v>0</v>
          </cell>
          <cell r="AH223">
            <v>0</v>
          </cell>
          <cell r="AJ223">
            <v>0</v>
          </cell>
          <cell r="AL223">
            <v>-6090.424</v>
          </cell>
          <cell r="AN223">
            <v>0</v>
          </cell>
          <cell r="AP223">
            <v>-6090.424</v>
          </cell>
          <cell r="AR223">
            <v>0</v>
          </cell>
          <cell r="AT223">
            <v>-100115.46</v>
          </cell>
          <cell r="AV223">
            <v>0</v>
          </cell>
          <cell r="AX223">
            <v>-100115.46</v>
          </cell>
          <cell r="AZ223" t="str">
            <v>Total Banks</v>
          </cell>
          <cell r="BC223">
            <v>-2575.0320000000002</v>
          </cell>
          <cell r="BE223">
            <v>0</v>
          </cell>
          <cell r="BG223">
            <v>0</v>
          </cell>
          <cell r="BI223">
            <v>-2575.0320000000002</v>
          </cell>
          <cell r="BO223">
            <v>-5169.5</v>
          </cell>
          <cell r="BQ223">
            <v>-263062.24599999998</v>
          </cell>
          <cell r="BS223">
            <v>0</v>
          </cell>
          <cell r="BU223">
            <v>-263062.24599999998</v>
          </cell>
          <cell r="BW223">
            <v>-59991</v>
          </cell>
          <cell r="BX223">
            <v>-59991</v>
          </cell>
          <cell r="BZ223">
            <v>0</v>
          </cell>
          <cell r="CB223">
            <v>0</v>
          </cell>
          <cell r="CD223">
            <v>-383044.24599999998</v>
          </cell>
          <cell r="CF223">
            <v>0</v>
          </cell>
          <cell r="CH223">
            <v>0</v>
          </cell>
          <cell r="CJ223">
            <v>0</v>
          </cell>
          <cell r="CL223">
            <v>-25336</v>
          </cell>
          <cell r="CN223">
            <v>0</v>
          </cell>
          <cell r="CP223">
            <v>-25336</v>
          </cell>
          <cell r="CR223">
            <v>0</v>
          </cell>
          <cell r="CT223">
            <v>-416124.77800000005</v>
          </cell>
          <cell r="CU223">
            <v>0</v>
          </cell>
          <cell r="CV223">
            <v>0</v>
          </cell>
          <cell r="CX223">
            <v>-416124.77800000005</v>
          </cell>
          <cell r="FC223">
            <v>-2932.384</v>
          </cell>
          <cell r="FD223">
            <v>0</v>
          </cell>
          <cell r="FE223">
            <v>0</v>
          </cell>
          <cell r="FF223">
            <v>-2932.384</v>
          </cell>
          <cell r="FG223">
            <v>0</v>
          </cell>
          <cell r="FH223">
            <v>-5169.5</v>
          </cell>
          <cell r="FI223">
            <v>-263062.24599999998</v>
          </cell>
          <cell r="FJ223">
            <v>-59991</v>
          </cell>
          <cell r="FK223">
            <v>-59991</v>
          </cell>
          <cell r="FL223">
            <v>0</v>
          </cell>
          <cell r="FM223">
            <v>0</v>
          </cell>
          <cell r="FN223">
            <v>-383044.24600000004</v>
          </cell>
          <cell r="FO223">
            <v>0</v>
          </cell>
          <cell r="FP223">
            <v>-25336</v>
          </cell>
          <cell r="FQ223">
            <v>0</v>
          </cell>
          <cell r="FR223">
            <v>-25336</v>
          </cell>
          <cell r="FS223">
            <v>0</v>
          </cell>
          <cell r="FT223">
            <v>-416482.13</v>
          </cell>
          <cell r="FU223">
            <v>0</v>
          </cell>
          <cell r="FV223">
            <v>-416482.13</v>
          </cell>
          <cell r="FW223" t="str">
            <v>Total Banks</v>
          </cell>
          <cell r="FX223">
            <v>-383044.24600000004</v>
          </cell>
          <cell r="FY223">
            <v>-25336</v>
          </cell>
          <cell r="FZ223">
            <v>0</v>
          </cell>
          <cell r="GA223">
            <v>-408380.24600000004</v>
          </cell>
          <cell r="GB223">
            <v>-413856.42127708957</v>
          </cell>
          <cell r="GC223">
            <v>-416482.13</v>
          </cell>
          <cell r="GD223">
            <v>-422066.94749789539</v>
          </cell>
          <cell r="GE223">
            <v>-8101.8839999999982</v>
          </cell>
          <cell r="GF223">
            <v>4.1600181430520315</v>
          </cell>
          <cell r="GG223">
            <v>-29520.351832135861</v>
          </cell>
          <cell r="GH223">
            <v>0</v>
          </cell>
        </row>
        <row r="224">
          <cell r="A224" t="str">
            <v>Creditors</v>
          </cell>
          <cell r="AT224">
            <v>0</v>
          </cell>
          <cell r="AZ224" t="str">
            <v>Creditors</v>
          </cell>
          <cell r="BX224">
            <v>0</v>
          </cell>
          <cell r="CD224">
            <v>0</v>
          </cell>
          <cell r="CT224">
            <v>0</v>
          </cell>
          <cell r="CU224">
            <v>0</v>
          </cell>
          <cell r="FW224" t="str">
            <v>Creditors</v>
          </cell>
          <cell r="FX224">
            <v>0</v>
          </cell>
          <cell r="FY224">
            <v>0</v>
          </cell>
          <cell r="GA224">
            <v>0</v>
          </cell>
          <cell r="GB224">
            <v>0</v>
          </cell>
          <cell r="GC224">
            <v>0</v>
          </cell>
          <cell r="GD224">
            <v>0</v>
          </cell>
          <cell r="GE224">
            <v>0</v>
          </cell>
          <cell r="GF224" t="e">
            <v>#DIV/0!</v>
          </cell>
          <cell r="GH224">
            <v>0</v>
          </cell>
        </row>
        <row r="225">
          <cell r="A225" t="str">
            <v>suppliers-n.i.s.</v>
          </cell>
          <cell r="I225">
            <v>0</v>
          </cell>
          <cell r="M225" t="str">
            <v xml:space="preserve"> </v>
          </cell>
          <cell r="O225">
            <v>-1856.5</v>
          </cell>
          <cell r="Q225">
            <v>-6638.6909999999998</v>
          </cell>
          <cell r="U225">
            <v>-6638.6909999999998</v>
          </cell>
          <cell r="W225">
            <v>-639.5</v>
          </cell>
          <cell r="X225">
            <v>-639.5</v>
          </cell>
          <cell r="Z225">
            <v>-18.946000000000002</v>
          </cell>
          <cell r="AD225">
            <v>-7936.6369999999997</v>
          </cell>
          <cell r="AJ225">
            <v>0</v>
          </cell>
          <cell r="AL225">
            <v>-1182.865</v>
          </cell>
          <cell r="AP225">
            <v>-1182.865</v>
          </cell>
          <cell r="AR225">
            <v>-37.225999999999999</v>
          </cell>
          <cell r="AT225">
            <v>-11013.227999999999</v>
          </cell>
          <cell r="AV225">
            <v>0</v>
          </cell>
          <cell r="AX225">
            <v>-11013.227999999999</v>
          </cell>
          <cell r="AZ225" t="str">
            <v>suppliers-n.i.s.</v>
          </cell>
          <cell r="BI225">
            <v>0</v>
          </cell>
          <cell r="BO225">
            <v>-7713</v>
          </cell>
          <cell r="BQ225">
            <v>-27616.954000000002</v>
          </cell>
          <cell r="BU225">
            <v>-27616.954000000002</v>
          </cell>
          <cell r="BW225">
            <v>-2660.5</v>
          </cell>
          <cell r="BX225">
            <v>-2660.5</v>
          </cell>
          <cell r="BZ225">
            <v>-78.816999999999993</v>
          </cell>
          <cell r="CD225">
            <v>-33016.771000000001</v>
          </cell>
          <cell r="CJ225">
            <v>0</v>
          </cell>
          <cell r="CL225">
            <v>-4797</v>
          </cell>
          <cell r="CP225">
            <v>-4797</v>
          </cell>
          <cell r="CR225">
            <v>-154.90899999999999</v>
          </cell>
          <cell r="CT225">
            <v>-45681.68</v>
          </cell>
          <cell r="CU225">
            <v>0</v>
          </cell>
          <cell r="CX225">
            <v>-45681.68</v>
          </cell>
          <cell r="FH225">
            <v>-7713</v>
          </cell>
          <cell r="FI225">
            <v>-27616.954000000002</v>
          </cell>
          <cell r="FJ225">
            <v>-2660.5</v>
          </cell>
          <cell r="FK225">
            <v>-2660.5</v>
          </cell>
          <cell r="FL225">
            <v>-78.816999999999993</v>
          </cell>
          <cell r="FN225">
            <v>-33016.771000000001</v>
          </cell>
          <cell r="FO225">
            <v>0</v>
          </cell>
          <cell r="FP225">
            <v>-4908</v>
          </cell>
          <cell r="FR225">
            <v>-4908</v>
          </cell>
          <cell r="FS225">
            <v>-154.86000000000001</v>
          </cell>
          <cell r="FT225">
            <v>-45792.631000000001</v>
          </cell>
          <cell r="FV225">
            <v>-45792.631000000001</v>
          </cell>
          <cell r="FW225" t="str">
            <v>suppliers-n.i.s.</v>
          </cell>
          <cell r="FX225">
            <v>-33016.771000000001</v>
          </cell>
          <cell r="FY225">
            <v>-4908</v>
          </cell>
          <cell r="GA225">
            <v>-37924.771000000001</v>
          </cell>
          <cell r="GB225">
            <v>-38433.323250932051</v>
          </cell>
          <cell r="GC225">
            <v>-45792.631000000001</v>
          </cell>
          <cell r="GD225">
            <v>-46406.687326698731</v>
          </cell>
          <cell r="GE225">
            <v>-7867.86</v>
          </cell>
          <cell r="GF225">
            <v>4.1579663110579395</v>
          </cell>
          <cell r="GG225">
            <v>-32227.76773960104</v>
          </cell>
          <cell r="GH225">
            <v>0</v>
          </cell>
        </row>
        <row r="226">
          <cell r="A226" t="str">
            <v>suppliers-f.c.</v>
          </cell>
          <cell r="M226" t="str">
            <v xml:space="preserve"> </v>
          </cell>
          <cell r="Q226">
            <v>-474.85500000000002</v>
          </cell>
          <cell r="U226">
            <v>-474.85500000000002</v>
          </cell>
          <cell r="AD226">
            <v>-474.85500000000002</v>
          </cell>
          <cell r="AJ226">
            <v>0</v>
          </cell>
          <cell r="AP226">
            <v>0</v>
          </cell>
          <cell r="AT226">
            <v>-474.85500000000002</v>
          </cell>
          <cell r="AX226">
            <v>-474.85500000000002</v>
          </cell>
          <cell r="AZ226" t="str">
            <v>suppliers-f.c.</v>
          </cell>
          <cell r="BI226">
            <v>0</v>
          </cell>
          <cell r="BQ226">
            <v>-1975.568</v>
          </cell>
          <cell r="BU226">
            <v>-1975.568</v>
          </cell>
          <cell r="BX226">
            <v>0</v>
          </cell>
          <cell r="CD226">
            <v>-1975.568</v>
          </cell>
          <cell r="CJ226">
            <v>0</v>
          </cell>
          <cell r="CP226">
            <v>0</v>
          </cell>
          <cell r="CT226">
            <v>-1975.568</v>
          </cell>
          <cell r="CU226">
            <v>0</v>
          </cell>
          <cell r="CX226">
            <v>-1975.568</v>
          </cell>
          <cell r="FI226">
            <v>-1975.568</v>
          </cell>
          <cell r="FN226">
            <v>-1975.568</v>
          </cell>
          <cell r="FO226">
            <v>0</v>
          </cell>
          <cell r="FR226">
            <v>0</v>
          </cell>
          <cell r="FS226">
            <v>0</v>
          </cell>
          <cell r="FT226">
            <v>-1975.568</v>
          </cell>
          <cell r="FV226">
            <v>-1975.568</v>
          </cell>
          <cell r="FW226" t="str">
            <v>suppliers-f.c.</v>
          </cell>
          <cell r="FX226">
            <v>-1975.568</v>
          </cell>
          <cell r="FY226">
            <v>0</v>
          </cell>
          <cell r="GA226">
            <v>-1975.568</v>
          </cell>
          <cell r="GB226">
            <v>-2002.0593808779313</v>
          </cell>
          <cell r="GC226">
            <v>-1975.568</v>
          </cell>
          <cell r="GD226">
            <v>-2002.0593808779313</v>
          </cell>
          <cell r="GE226">
            <v>0</v>
          </cell>
          <cell r="GF226">
            <v>4.1603605311094967</v>
          </cell>
          <cell r="GG226">
            <v>-285.23712596883757</v>
          </cell>
          <cell r="GH226">
            <v>0</v>
          </cell>
        </row>
        <row r="227">
          <cell r="A227" t="str">
            <v>checks payable</v>
          </cell>
          <cell r="E227">
            <v>0</v>
          </cell>
          <cell r="I227">
            <v>0</v>
          </cell>
          <cell r="M227" t="str">
            <v xml:space="preserve"> </v>
          </cell>
          <cell r="O227">
            <v>-99.5</v>
          </cell>
          <cell r="Q227">
            <v>-270.67399999999998</v>
          </cell>
          <cell r="U227">
            <v>-270.67399999999998</v>
          </cell>
          <cell r="W227">
            <v>-415</v>
          </cell>
          <cell r="X227">
            <v>-415</v>
          </cell>
          <cell r="AD227">
            <v>-1100.674</v>
          </cell>
          <cell r="AJ227">
            <v>0</v>
          </cell>
          <cell r="AP227">
            <v>0</v>
          </cell>
          <cell r="AR227">
            <v>-161.352</v>
          </cell>
          <cell r="AT227">
            <v>-1361.5260000000001</v>
          </cell>
          <cell r="AV227">
            <v>0</v>
          </cell>
          <cell r="AX227">
            <v>-1361.5260000000001</v>
          </cell>
          <cell r="AZ227" t="str">
            <v>checks payable</v>
          </cell>
          <cell r="BI227">
            <v>0</v>
          </cell>
          <cell r="BO227">
            <v>-412.5</v>
          </cell>
          <cell r="BQ227">
            <v>-1126.0050000000001</v>
          </cell>
          <cell r="BU227">
            <v>-1126.0050000000001</v>
          </cell>
          <cell r="BW227">
            <v>-1726.5</v>
          </cell>
          <cell r="BX227">
            <v>-1726.5</v>
          </cell>
          <cell r="CD227">
            <v>-4579.0050000000001</v>
          </cell>
          <cell r="CJ227">
            <v>0</v>
          </cell>
          <cell r="CL227">
            <v>-111</v>
          </cell>
          <cell r="CP227">
            <v>-111</v>
          </cell>
          <cell r="CR227">
            <v>-671.226</v>
          </cell>
          <cell r="CT227">
            <v>-5773.7309999999998</v>
          </cell>
          <cell r="CU227">
            <v>0</v>
          </cell>
          <cell r="CX227">
            <v>-5773.7309999999998</v>
          </cell>
          <cell r="FH227">
            <v>-412.5</v>
          </cell>
          <cell r="FI227">
            <v>-1126.0050000000001</v>
          </cell>
          <cell r="FJ227">
            <v>-1726.5</v>
          </cell>
          <cell r="FK227">
            <v>-1726.5</v>
          </cell>
          <cell r="FN227">
            <v>-4579.0050000000001</v>
          </cell>
          <cell r="FO227">
            <v>0</v>
          </cell>
          <cell r="FS227">
            <v>-671.226</v>
          </cell>
          <cell r="FT227">
            <v>-5662.7309999999998</v>
          </cell>
          <cell r="FV227">
            <v>-5662.7309999999998</v>
          </cell>
          <cell r="FW227" t="str">
            <v>checks payable</v>
          </cell>
          <cell r="FX227">
            <v>-4579.0050000000001</v>
          </cell>
          <cell r="FY227">
            <v>0</v>
          </cell>
          <cell r="GA227">
            <v>-4579.0050000000001</v>
          </cell>
          <cell r="GB227">
            <v>-4640.4071716776907</v>
          </cell>
          <cell r="GC227">
            <v>-5662.7309999999998</v>
          </cell>
          <cell r="GD227">
            <v>-5738.6653964521938</v>
          </cell>
          <cell r="GE227">
            <v>-1083.7259999999997</v>
          </cell>
          <cell r="GF227">
            <v>4.1591060324958899</v>
          </cell>
          <cell r="GG227">
            <v>-877.88480481621548</v>
          </cell>
          <cell r="GH227">
            <v>0</v>
          </cell>
        </row>
        <row r="228">
          <cell r="A228" t="str">
            <v>DAPIM/OTHER RELATED</v>
          </cell>
          <cell r="I228">
            <v>0</v>
          </cell>
          <cell r="M228" t="str">
            <v xml:space="preserve"> </v>
          </cell>
          <cell r="O228">
            <v>-62.402999999999999</v>
          </cell>
          <cell r="Q228">
            <v>-1277.8699999999999</v>
          </cell>
          <cell r="U228">
            <v>-1277.8699999999999</v>
          </cell>
          <cell r="W228">
            <v>-1659.5</v>
          </cell>
          <cell r="X228">
            <v>-1847.5</v>
          </cell>
          <cell r="Z228">
            <v>-75.697999999999993</v>
          </cell>
          <cell r="AD228">
            <v>-4860.5680000000002</v>
          </cell>
          <cell r="AJ228">
            <v>0</v>
          </cell>
          <cell r="AL228">
            <v>-2816.7959999999998</v>
          </cell>
          <cell r="AN228">
            <v>26.103999999999999</v>
          </cell>
          <cell r="AP228">
            <v>-2790.692</v>
          </cell>
          <cell r="AT228">
            <v>-7713.6630000000005</v>
          </cell>
          <cell r="AV228">
            <v>6767.4670000000006</v>
          </cell>
          <cell r="AX228">
            <v>-946.19599999999991</v>
          </cell>
          <cell r="AZ228" t="str">
            <v>DAPIM/OTHER RELATED</v>
          </cell>
          <cell r="BC228">
            <v>1109.6199999999999</v>
          </cell>
          <cell r="BI228">
            <v>1109.6199999999999</v>
          </cell>
          <cell r="BQ228">
            <v>-8970.9490000000005</v>
          </cell>
          <cell r="BU228">
            <v>-8970.9490000000005</v>
          </cell>
          <cell r="BW228">
            <v>-6902.5</v>
          </cell>
          <cell r="BX228">
            <v>-7686.5</v>
          </cell>
          <cell r="BZ228">
            <v>-314.90499999999997</v>
          </cell>
          <cell r="CD228">
            <v>-23874.853999999999</v>
          </cell>
          <cell r="CJ228">
            <v>0</v>
          </cell>
          <cell r="CL228">
            <v>-11718</v>
          </cell>
          <cell r="CN228">
            <v>108.59399999999999</v>
          </cell>
          <cell r="CP228">
            <v>-11609.406000000001</v>
          </cell>
          <cell r="CT228">
            <v>-34374.639999999999</v>
          </cell>
          <cell r="CU228">
            <v>0</v>
          </cell>
          <cell r="CV228">
            <v>27160.095000000001</v>
          </cell>
          <cell r="CX228">
            <v>-7214.5449999999983</v>
          </cell>
          <cell r="FC228">
            <v>1109.6199999999999</v>
          </cell>
          <cell r="FE228">
            <v>-1109.6199999999999</v>
          </cell>
          <cell r="FF228">
            <v>0</v>
          </cell>
          <cell r="FH228">
            <v>-271</v>
          </cell>
          <cell r="FI228">
            <v>-5340.5609999999997</v>
          </cell>
          <cell r="FJ228">
            <v>-6901.5</v>
          </cell>
          <cell r="FK228">
            <v>-7686.5</v>
          </cell>
          <cell r="FL228">
            <v>-314.90499999999997</v>
          </cell>
          <cell r="FN228">
            <v>-20243.466</v>
          </cell>
          <cell r="FO228">
            <v>0</v>
          </cell>
          <cell r="FP228">
            <v>-11718</v>
          </cell>
          <cell r="FR228">
            <v>-11718</v>
          </cell>
          <cell r="FS228">
            <v>0</v>
          </cell>
          <cell r="FT228">
            <v>-32232.466</v>
          </cell>
          <cell r="FU228">
            <v>28256.663400000001</v>
          </cell>
          <cell r="FV228">
            <v>-3975.8025999999991</v>
          </cell>
          <cell r="FW228" t="str">
            <v>DAPIM/OTHER RELATED</v>
          </cell>
          <cell r="FX228">
            <v>-20243.466</v>
          </cell>
          <cell r="FY228">
            <v>-11718</v>
          </cell>
          <cell r="GA228">
            <v>-31961.466</v>
          </cell>
          <cell r="GB228">
            <v>-32390.05330715574</v>
          </cell>
          <cell r="GC228">
            <v>-3975.8025999999991</v>
          </cell>
          <cell r="GD228">
            <v>-4029.1161285508106</v>
          </cell>
          <cell r="GE228">
            <v>27985.663400000001</v>
          </cell>
          <cell r="GF228">
            <v>4.2018805828813477</v>
          </cell>
          <cell r="GG228">
            <v>693.84403758002293</v>
          </cell>
          <cell r="GH228">
            <v>0</v>
          </cell>
        </row>
        <row r="229">
          <cell r="A229" t="str">
            <v>BALANCE IN RESPECT OF SUBSIDIARY</v>
          </cell>
          <cell r="I229">
            <v>0</v>
          </cell>
          <cell r="Q229">
            <v>-872.68899999999996</v>
          </cell>
          <cell r="U229">
            <v>-872.68899999999996</v>
          </cell>
          <cell r="AD229">
            <v>-872.68899999999996</v>
          </cell>
          <cell r="AJ229">
            <v>0</v>
          </cell>
          <cell r="AP229">
            <v>0</v>
          </cell>
          <cell r="AT229">
            <v>-872.68899999999996</v>
          </cell>
          <cell r="AX229">
            <v>-872.68899999999996</v>
          </cell>
          <cell r="AZ229" t="str">
            <v>BALANCE IN RESPECT OF SUBSIDIARY</v>
          </cell>
          <cell r="FI229">
            <v>-3630.3879999999999</v>
          </cell>
          <cell r="FN229">
            <v>-3630.3879999999999</v>
          </cell>
          <cell r="FT229">
            <v>-3630.3879999999999</v>
          </cell>
          <cell r="FV229">
            <v>-3630.3879999999999</v>
          </cell>
          <cell r="FX229">
            <v>-3630.3879999999999</v>
          </cell>
          <cell r="FY229">
            <v>0</v>
          </cell>
          <cell r="GA229">
            <v>-3630.3879999999999</v>
          </cell>
          <cell r="GB229">
            <v>-3679.0696911605528</v>
          </cell>
          <cell r="GC229">
            <v>-3630.3879999999999</v>
          </cell>
          <cell r="GD229">
            <v>-3679.0696911605528</v>
          </cell>
          <cell r="GE229">
            <v>0</v>
          </cell>
          <cell r="GF229">
            <v>4.1600020167551097</v>
          </cell>
        </row>
        <row r="230">
          <cell r="A230" t="str">
            <v>ORUM</v>
          </cell>
          <cell r="I230">
            <v>0</v>
          </cell>
          <cell r="M230" t="str">
            <v xml:space="preserve"> </v>
          </cell>
          <cell r="U230">
            <v>0</v>
          </cell>
          <cell r="AD230">
            <v>0</v>
          </cell>
          <cell r="AJ230">
            <v>0</v>
          </cell>
          <cell r="AP230">
            <v>0</v>
          </cell>
          <cell r="AT230">
            <v>0</v>
          </cell>
          <cell r="AX230">
            <v>0</v>
          </cell>
          <cell r="AZ230" t="str">
            <v>ORUM</v>
          </cell>
          <cell r="BI230">
            <v>0</v>
          </cell>
          <cell r="BU230">
            <v>0</v>
          </cell>
          <cell r="BX230">
            <v>0</v>
          </cell>
          <cell r="CD230">
            <v>0</v>
          </cell>
          <cell r="CJ230">
            <v>0</v>
          </cell>
          <cell r="CP230">
            <v>0</v>
          </cell>
          <cell r="CT230">
            <v>0</v>
          </cell>
          <cell r="CU230">
            <v>0</v>
          </cell>
          <cell r="CX230">
            <v>0</v>
          </cell>
          <cell r="FN230">
            <v>0</v>
          </cell>
          <cell r="FO230">
            <v>0</v>
          </cell>
          <cell r="FR230">
            <v>0</v>
          </cell>
          <cell r="FS230">
            <v>0</v>
          </cell>
          <cell r="FT230">
            <v>0</v>
          </cell>
          <cell r="FV230">
            <v>0</v>
          </cell>
          <cell r="FW230" t="str">
            <v>ORUM</v>
          </cell>
          <cell r="FX230">
            <v>0</v>
          </cell>
          <cell r="FY230">
            <v>0</v>
          </cell>
          <cell r="GA230">
            <v>0</v>
          </cell>
          <cell r="GB230">
            <v>0</v>
          </cell>
          <cell r="GC230">
            <v>0</v>
          </cell>
          <cell r="GD230">
            <v>0</v>
          </cell>
          <cell r="GE230">
            <v>0</v>
          </cell>
          <cell r="GF230" t="e">
            <v>#DIV/0!</v>
          </cell>
          <cell r="GG230">
            <v>0.32322073039878285</v>
          </cell>
          <cell r="GH230">
            <v>0</v>
          </cell>
        </row>
        <row r="231">
          <cell r="A231" t="str">
            <v>Unearned income</v>
          </cell>
          <cell r="I231">
            <v>0</v>
          </cell>
          <cell r="M231">
            <v>-9.530528846153846</v>
          </cell>
          <cell r="O231">
            <v>-206.5</v>
          </cell>
          <cell r="U231">
            <v>0</v>
          </cell>
          <cell r="AD231">
            <v>0</v>
          </cell>
          <cell r="AJ231">
            <v>0</v>
          </cell>
          <cell r="AP231">
            <v>0</v>
          </cell>
          <cell r="AT231">
            <v>-216.03052884615386</v>
          </cell>
          <cell r="AX231">
            <v>-216.03052884615386</v>
          </cell>
          <cell r="AZ231" t="str">
            <v>Unearned income</v>
          </cell>
          <cell r="BI231">
            <v>0</v>
          </cell>
          <cell r="BM231">
            <v>-29.942</v>
          </cell>
          <cell r="BO231">
            <v>-783</v>
          </cell>
          <cell r="BU231">
            <v>0</v>
          </cell>
          <cell r="BX231">
            <v>0</v>
          </cell>
          <cell r="CD231">
            <v>0</v>
          </cell>
          <cell r="CJ231">
            <v>0</v>
          </cell>
          <cell r="CP231">
            <v>0</v>
          </cell>
          <cell r="CT231">
            <v>-812.94200000000001</v>
          </cell>
          <cell r="CU231">
            <v>0</v>
          </cell>
          <cell r="CX231">
            <v>-812.94200000000001</v>
          </cell>
          <cell r="FG231">
            <v>-39.646999999999998</v>
          </cell>
          <cell r="FH231">
            <v>-828.5</v>
          </cell>
          <cell r="FN231">
            <v>0</v>
          </cell>
          <cell r="FO231">
            <v>0</v>
          </cell>
          <cell r="FR231">
            <v>0</v>
          </cell>
          <cell r="FS231">
            <v>0</v>
          </cell>
          <cell r="FT231">
            <v>-868.14700000000005</v>
          </cell>
          <cell r="FV231">
            <v>-868.14700000000005</v>
          </cell>
          <cell r="FW231" t="str">
            <v>Unearned income</v>
          </cell>
          <cell r="FX231">
            <v>0</v>
          </cell>
          <cell r="FY231">
            <v>0</v>
          </cell>
          <cell r="GA231">
            <v>0</v>
          </cell>
          <cell r="GB231">
            <v>0</v>
          </cell>
          <cell r="GC231">
            <v>-868.14700000000005</v>
          </cell>
          <cell r="GD231">
            <v>-879.78841797955499</v>
          </cell>
          <cell r="GE231">
            <v>-868.14700000000005</v>
          </cell>
          <cell r="GF231">
            <v>4.0186310918039316</v>
          </cell>
          <cell r="GG231">
            <v>-1462.049640757675</v>
          </cell>
          <cell r="GH231">
            <v>0</v>
          </cell>
        </row>
        <row r="232">
          <cell r="A232" t="str">
            <v xml:space="preserve">Royalties-other </v>
          </cell>
          <cell r="I232">
            <v>0</v>
          </cell>
          <cell r="M232" t="str">
            <v xml:space="preserve"> </v>
          </cell>
          <cell r="U232">
            <v>0</v>
          </cell>
          <cell r="AD232">
            <v>0</v>
          </cell>
          <cell r="AJ232">
            <v>0</v>
          </cell>
          <cell r="AP232">
            <v>0</v>
          </cell>
          <cell r="AT232">
            <v>0</v>
          </cell>
          <cell r="AV232">
            <v>-2480</v>
          </cell>
          <cell r="AX232">
            <v>-2480</v>
          </cell>
          <cell r="AZ232" t="str">
            <v xml:space="preserve">Royalties-other </v>
          </cell>
          <cell r="BI232">
            <v>0</v>
          </cell>
          <cell r="BU232">
            <v>0</v>
          </cell>
          <cell r="BX232">
            <v>0</v>
          </cell>
          <cell r="CD232">
            <v>0</v>
          </cell>
          <cell r="CJ232">
            <v>0</v>
          </cell>
          <cell r="CP232">
            <v>0</v>
          </cell>
          <cell r="CT232">
            <v>0</v>
          </cell>
          <cell r="CU232">
            <v>0</v>
          </cell>
          <cell r="CX232">
            <v>0</v>
          </cell>
          <cell r="FN232">
            <v>0</v>
          </cell>
          <cell r="FO232">
            <v>0</v>
          </cell>
          <cell r="FS232">
            <v>0</v>
          </cell>
          <cell r="FT232">
            <v>0</v>
          </cell>
          <cell r="FV232">
            <v>0</v>
          </cell>
          <cell r="FW232" t="str">
            <v xml:space="preserve">Royalties-other </v>
          </cell>
          <cell r="FX232">
            <v>0</v>
          </cell>
          <cell r="FY232">
            <v>0</v>
          </cell>
          <cell r="GA232">
            <v>0</v>
          </cell>
          <cell r="GB232">
            <v>0</v>
          </cell>
          <cell r="GC232">
            <v>0</v>
          </cell>
          <cell r="GD232">
            <v>0</v>
          </cell>
          <cell r="GE232">
            <v>0</v>
          </cell>
          <cell r="GF232">
            <v>0</v>
          </cell>
          <cell r="GG232">
            <v>-4684.0972905137205</v>
          </cell>
          <cell r="GH232">
            <v>0</v>
          </cell>
        </row>
        <row r="233">
          <cell r="A233" t="str">
            <v>STLM</v>
          </cell>
          <cell r="C233">
            <v>-79.906999999999996</v>
          </cell>
          <cell r="I233">
            <v>-79.906999999999996</v>
          </cell>
          <cell r="M233" t="str">
            <v xml:space="preserve"> </v>
          </cell>
          <cell r="Q233">
            <v>-8.5229999999999997</v>
          </cell>
          <cell r="U233">
            <v>-8.5229999999999997</v>
          </cell>
          <cell r="AD233">
            <v>-8.5229999999999997</v>
          </cell>
          <cell r="AJ233">
            <v>0</v>
          </cell>
          <cell r="AP233">
            <v>0</v>
          </cell>
          <cell r="AT233">
            <v>-88.43</v>
          </cell>
          <cell r="AX233">
            <v>-88.43</v>
          </cell>
          <cell r="AZ233" t="str">
            <v>STLM</v>
          </cell>
          <cell r="BC233">
            <v>-332.41300000000001</v>
          </cell>
          <cell r="BE233">
            <v>0</v>
          </cell>
          <cell r="BG233">
            <v>0</v>
          </cell>
          <cell r="BI233">
            <v>-332.41300000000001</v>
          </cell>
          <cell r="BQ233">
            <v>-35.454000000000001</v>
          </cell>
          <cell r="BU233">
            <v>-35.454000000000001</v>
          </cell>
          <cell r="BX233">
            <v>0</v>
          </cell>
          <cell r="CD233">
            <v>-35.454000000000001</v>
          </cell>
          <cell r="CJ233">
            <v>0</v>
          </cell>
          <cell r="CP233">
            <v>0</v>
          </cell>
          <cell r="CT233">
            <v>-367.86700000000002</v>
          </cell>
          <cell r="CU233">
            <v>0</v>
          </cell>
          <cell r="CX233">
            <v>-367.86700000000002</v>
          </cell>
          <cell r="FC233">
            <v>-332.41300000000001</v>
          </cell>
          <cell r="FF233">
            <v>-332.41300000000001</v>
          </cell>
          <cell r="FI233">
            <v>-35.454000000000001</v>
          </cell>
          <cell r="FN233">
            <v>-35.454000000000001</v>
          </cell>
          <cell r="FO233">
            <v>0</v>
          </cell>
          <cell r="FR233">
            <v>0</v>
          </cell>
          <cell r="FS233">
            <v>0</v>
          </cell>
          <cell r="FT233">
            <v>-367.86700000000002</v>
          </cell>
          <cell r="FV233">
            <v>-367.86700000000002</v>
          </cell>
          <cell r="FW233" t="str">
            <v>STLM</v>
          </cell>
          <cell r="FX233">
            <v>-35.454000000000001</v>
          </cell>
          <cell r="FY233">
            <v>0</v>
          </cell>
          <cell r="GA233">
            <v>-35.454000000000001</v>
          </cell>
          <cell r="GB233">
            <v>-35.929420444978952</v>
          </cell>
          <cell r="GC233">
            <v>-367.86700000000002</v>
          </cell>
          <cell r="GD233">
            <v>-372.79991286831029</v>
          </cell>
          <cell r="GE233">
            <v>-332.41300000000001</v>
          </cell>
          <cell r="GF233">
            <v>4.1599796449168842</v>
          </cell>
          <cell r="GG233">
            <v>-13.198355443153776</v>
          </cell>
          <cell r="GH233">
            <v>0</v>
          </cell>
        </row>
        <row r="234">
          <cell r="A234" t="str">
            <v>ICP</v>
          </cell>
          <cell r="I234">
            <v>0</v>
          </cell>
          <cell r="M234" t="str">
            <v xml:space="preserve"> </v>
          </cell>
          <cell r="U234">
            <v>0</v>
          </cell>
          <cell r="AD234">
            <v>0</v>
          </cell>
          <cell r="AJ234">
            <v>0</v>
          </cell>
          <cell r="AP234">
            <v>0</v>
          </cell>
          <cell r="AT234">
            <v>0</v>
          </cell>
          <cell r="AX234">
            <v>0</v>
          </cell>
          <cell r="AZ234" t="str">
            <v>i.c.p.</v>
          </cell>
          <cell r="BE234">
            <v>0</v>
          </cell>
          <cell r="BG234">
            <v>0</v>
          </cell>
          <cell r="BI234">
            <v>0</v>
          </cell>
          <cell r="BU234">
            <v>0</v>
          </cell>
          <cell r="BX234">
            <v>0</v>
          </cell>
          <cell r="CD234">
            <v>0</v>
          </cell>
          <cell r="CJ234">
            <v>0</v>
          </cell>
          <cell r="CP234">
            <v>0</v>
          </cell>
          <cell r="CT234">
            <v>0</v>
          </cell>
          <cell r="CU234">
            <v>0</v>
          </cell>
          <cell r="CV234">
            <v>0</v>
          </cell>
          <cell r="CX234">
            <v>0</v>
          </cell>
          <cell r="FN234">
            <v>0</v>
          </cell>
          <cell r="FO234">
            <v>0</v>
          </cell>
          <cell r="FR234">
            <v>0</v>
          </cell>
          <cell r="FS234">
            <v>0</v>
          </cell>
          <cell r="FT234">
            <v>0</v>
          </cell>
          <cell r="FU234">
            <v>0</v>
          </cell>
          <cell r="FV234">
            <v>0</v>
          </cell>
          <cell r="FW234" t="str">
            <v>ICP</v>
          </cell>
          <cell r="FX234">
            <v>0</v>
          </cell>
          <cell r="FY234">
            <v>0</v>
          </cell>
          <cell r="GA234">
            <v>0</v>
          </cell>
          <cell r="GB234">
            <v>0</v>
          </cell>
          <cell r="GC234">
            <v>0</v>
          </cell>
          <cell r="GD234">
            <v>0</v>
          </cell>
          <cell r="GE234">
            <v>0</v>
          </cell>
          <cell r="GF234" t="e">
            <v>#DIV/0!</v>
          </cell>
          <cell r="GG234">
            <v>0</v>
          </cell>
          <cell r="GH234">
            <v>0</v>
          </cell>
        </row>
        <row r="235">
          <cell r="A235" t="str">
            <v>Iediot-current maturity</v>
          </cell>
          <cell r="I235">
            <v>0</v>
          </cell>
          <cell r="M235" t="str">
            <v xml:space="preserve"> </v>
          </cell>
          <cell r="U235">
            <v>0</v>
          </cell>
          <cell r="AD235">
            <v>0</v>
          </cell>
          <cell r="AJ235">
            <v>0</v>
          </cell>
          <cell r="AP235">
            <v>0</v>
          </cell>
          <cell r="AT235">
            <v>0</v>
          </cell>
          <cell r="AX235">
            <v>0</v>
          </cell>
          <cell r="AZ235" t="str">
            <v xml:space="preserve">    iediot</v>
          </cell>
          <cell r="BI235">
            <v>0</v>
          </cell>
          <cell r="BU235">
            <v>0</v>
          </cell>
          <cell r="BX235">
            <v>0</v>
          </cell>
          <cell r="CD235">
            <v>0</v>
          </cell>
          <cell r="CJ235">
            <v>0</v>
          </cell>
          <cell r="CP235">
            <v>0</v>
          </cell>
          <cell r="CT235">
            <v>0</v>
          </cell>
          <cell r="CU235">
            <v>0</v>
          </cell>
          <cell r="CV235">
            <v>0</v>
          </cell>
          <cell r="CX235">
            <v>0</v>
          </cell>
          <cell r="FN235">
            <v>0</v>
          </cell>
          <cell r="FO235">
            <v>0</v>
          </cell>
          <cell r="FR235">
            <v>0</v>
          </cell>
          <cell r="FS235">
            <v>0</v>
          </cell>
          <cell r="FT235">
            <v>0</v>
          </cell>
          <cell r="FU235">
            <v>0</v>
          </cell>
          <cell r="FV235">
            <v>0</v>
          </cell>
          <cell r="FW235" t="str">
            <v>Iediot-current maturity</v>
          </cell>
          <cell r="FX235">
            <v>0</v>
          </cell>
          <cell r="FY235">
            <v>0</v>
          </cell>
          <cell r="GA235">
            <v>0</v>
          </cell>
          <cell r="GB235">
            <v>0</v>
          </cell>
          <cell r="GC235">
            <v>0</v>
          </cell>
          <cell r="GD235">
            <v>0</v>
          </cell>
          <cell r="GE235">
            <v>0</v>
          </cell>
          <cell r="GF235" t="e">
            <v>#DIV/0!</v>
          </cell>
          <cell r="GG235">
            <v>0</v>
          </cell>
          <cell r="GH235">
            <v>0</v>
          </cell>
        </row>
        <row r="236">
          <cell r="A236" t="str">
            <v>AUREC</v>
          </cell>
          <cell r="I236">
            <v>0</v>
          </cell>
          <cell r="M236" t="str">
            <v xml:space="preserve"> </v>
          </cell>
          <cell r="Q236">
            <v>-12.007999999999999</v>
          </cell>
          <cell r="U236">
            <v>-12.007999999999999</v>
          </cell>
          <cell r="AD236">
            <v>-12.007999999999999</v>
          </cell>
          <cell r="AJ236">
            <v>0</v>
          </cell>
          <cell r="AP236">
            <v>0</v>
          </cell>
          <cell r="AT236">
            <v>-12.007999999999999</v>
          </cell>
          <cell r="AX236">
            <v>-12.007999999999999</v>
          </cell>
          <cell r="AZ236" t="str">
            <v>aurec</v>
          </cell>
          <cell r="BE236">
            <v>0</v>
          </cell>
          <cell r="BG236">
            <v>0</v>
          </cell>
          <cell r="BI236">
            <v>0</v>
          </cell>
          <cell r="BQ236">
            <v>-49.956000000000003</v>
          </cell>
          <cell r="BU236">
            <v>-49.956000000000003</v>
          </cell>
          <cell r="BX236">
            <v>0</v>
          </cell>
          <cell r="CD236">
            <v>-49.956000000000003</v>
          </cell>
          <cell r="CJ236">
            <v>0</v>
          </cell>
          <cell r="CP236">
            <v>0</v>
          </cell>
          <cell r="CT236">
            <v>-49.956000000000003</v>
          </cell>
          <cell r="CU236">
            <v>0</v>
          </cell>
          <cell r="CV236">
            <v>0</v>
          </cell>
          <cell r="CX236">
            <v>-49.956000000000003</v>
          </cell>
          <cell r="FI236">
            <v>-49.956000000000003</v>
          </cell>
          <cell r="FN236">
            <v>-49.956000000000003</v>
          </cell>
          <cell r="FO236">
            <v>0</v>
          </cell>
          <cell r="FR236">
            <v>0</v>
          </cell>
          <cell r="FS236">
            <v>0</v>
          </cell>
          <cell r="FT236">
            <v>-49.956000000000003</v>
          </cell>
          <cell r="FU236">
            <v>0</v>
          </cell>
          <cell r="FV236">
            <v>-49.956000000000003</v>
          </cell>
          <cell r="FW236" t="str">
            <v>AUREC</v>
          </cell>
          <cell r="FX236">
            <v>-49.956000000000003</v>
          </cell>
          <cell r="FY236">
            <v>0</v>
          </cell>
          <cell r="GA236">
            <v>-49.956000000000003</v>
          </cell>
          <cell r="GB236">
            <v>-50.625885027059525</v>
          </cell>
          <cell r="GC236">
            <v>-49.956000000000003</v>
          </cell>
          <cell r="GD236">
            <v>-50.625885027059525</v>
          </cell>
          <cell r="GE236">
            <v>0</v>
          </cell>
          <cell r="GF236">
            <v>4.1602265156562295</v>
          </cell>
          <cell r="GG236">
            <v>-25.128374639294808</v>
          </cell>
          <cell r="GH236">
            <v>0</v>
          </cell>
        </row>
        <row r="237">
          <cell r="A237" t="str">
            <v>VACATION PROV.</v>
          </cell>
          <cell r="I237">
            <v>0</v>
          </cell>
          <cell r="M237">
            <v>-21.186538461538461</v>
          </cell>
          <cell r="Q237">
            <v>-675.90523076923068</v>
          </cell>
          <cell r="U237">
            <v>-675.90523076923068</v>
          </cell>
          <cell r="W237">
            <v>-48.5</v>
          </cell>
          <cell r="X237">
            <v>-48.5</v>
          </cell>
          <cell r="AD237">
            <v>-772.90523076923068</v>
          </cell>
          <cell r="AJ237">
            <v>0</v>
          </cell>
          <cell r="AL237">
            <v>-6.4690000000000003</v>
          </cell>
          <cell r="AP237">
            <v>-6.4690000000000003</v>
          </cell>
          <cell r="AR237">
            <v>-8.4809999999999999</v>
          </cell>
          <cell r="AT237">
            <v>-809.04176923076921</v>
          </cell>
          <cell r="AX237">
            <v>-809.04176923076921</v>
          </cell>
          <cell r="AZ237" t="str">
            <v>VACATION PROV.</v>
          </cell>
          <cell r="BG237">
            <v>0</v>
          </cell>
          <cell r="BI237">
            <v>0</v>
          </cell>
          <cell r="BM237">
            <v>-88.135999999999996</v>
          </cell>
          <cell r="BQ237">
            <v>-2811.7669999999998</v>
          </cell>
          <cell r="BU237">
            <v>-2811.7669999999998</v>
          </cell>
          <cell r="BW237">
            <v>-201.5</v>
          </cell>
          <cell r="BX237">
            <v>-201.5</v>
          </cell>
          <cell r="CD237">
            <v>-3214.7669999999998</v>
          </cell>
          <cell r="CJ237">
            <v>0</v>
          </cell>
          <cell r="CL237">
            <v>-18</v>
          </cell>
          <cell r="CP237">
            <v>-18</v>
          </cell>
          <cell r="CR237">
            <v>-26.4</v>
          </cell>
          <cell r="CT237">
            <v>-3347.3029999999999</v>
          </cell>
          <cell r="CU237">
            <v>0</v>
          </cell>
          <cell r="CV237">
            <v>0</v>
          </cell>
          <cell r="CX237">
            <v>-3347.3029999999999</v>
          </cell>
          <cell r="FG237">
            <v>-88.135999999999996</v>
          </cell>
          <cell r="FI237">
            <v>-2811.7669999999998</v>
          </cell>
          <cell r="FJ237">
            <v>-201.5</v>
          </cell>
          <cell r="FK237">
            <v>-201.5</v>
          </cell>
          <cell r="FN237">
            <v>-3214.7669999999998</v>
          </cell>
          <cell r="FO237">
            <v>0</v>
          </cell>
          <cell r="FP237">
            <v>-18</v>
          </cell>
          <cell r="FR237">
            <v>-18</v>
          </cell>
          <cell r="FS237">
            <v>-35.28</v>
          </cell>
          <cell r="FT237">
            <v>-3356.183</v>
          </cell>
          <cell r="FU237">
            <v>0</v>
          </cell>
          <cell r="FV237">
            <v>-3356.183</v>
          </cell>
          <cell r="FW237" t="str">
            <v>VACATION PROV.</v>
          </cell>
          <cell r="FX237">
            <v>-3214.7669999999998</v>
          </cell>
          <cell r="FY237">
            <v>-18</v>
          </cell>
          <cell r="GA237">
            <v>-3232.7669999999998</v>
          </cell>
          <cell r="GB237">
            <v>-3276.116792002405</v>
          </cell>
          <cell r="GC237">
            <v>-3356.183</v>
          </cell>
          <cell r="GD237">
            <v>-3401.1877389657243</v>
          </cell>
          <cell r="GE237">
            <v>-123.41600000000017</v>
          </cell>
          <cell r="GF237">
            <v>4.1483432965284761</v>
          </cell>
          <cell r="GG237">
            <v>-3577.9038352319135</v>
          </cell>
          <cell r="GH237">
            <v>0</v>
          </cell>
        </row>
        <row r="238">
          <cell r="A238" t="str">
            <v>inCOME tax</v>
          </cell>
          <cell r="C238">
            <v>-1.714</v>
          </cell>
          <cell r="I238">
            <v>-1.714</v>
          </cell>
          <cell r="M238" t="str">
            <v xml:space="preserve"> </v>
          </cell>
          <cell r="Z238">
            <v>-92.307692307692307</v>
          </cell>
          <cell r="AD238">
            <v>-92.307692307692307</v>
          </cell>
          <cell r="AP238">
            <v>0</v>
          </cell>
          <cell r="AT238">
            <v>-94.021692307692305</v>
          </cell>
          <cell r="AV238">
            <v>94.021692307692305</v>
          </cell>
          <cell r="AX238">
            <v>0</v>
          </cell>
          <cell r="AZ238" t="str">
            <v>inCOME tax</v>
          </cell>
          <cell r="BC238">
            <v>-7.13</v>
          </cell>
          <cell r="BI238">
            <v>-7.13</v>
          </cell>
          <cell r="BX238">
            <v>0</v>
          </cell>
          <cell r="BZ238">
            <v>-384</v>
          </cell>
          <cell r="CD238">
            <v>-384</v>
          </cell>
          <cell r="CL238">
            <v>-8637</v>
          </cell>
          <cell r="CP238">
            <v>-8637</v>
          </cell>
          <cell r="CT238">
            <v>-9028.1299999999992</v>
          </cell>
          <cell r="CU238">
            <v>0</v>
          </cell>
          <cell r="CX238">
            <v>-9028.1299999999992</v>
          </cell>
          <cell r="FC238">
            <v>-7.13</v>
          </cell>
          <cell r="FF238">
            <v>-7.13</v>
          </cell>
          <cell r="FL238">
            <v>-170.37299999999999</v>
          </cell>
          <cell r="FN238">
            <v>-170.37299999999999</v>
          </cell>
          <cell r="FR238">
            <v>0</v>
          </cell>
          <cell r="FS238">
            <v>0</v>
          </cell>
          <cell r="FT238">
            <v>-177.50299999999999</v>
          </cell>
          <cell r="FV238">
            <v>-177.50299999999999</v>
          </cell>
          <cell r="FW238" t="str">
            <v>inCOME tax</v>
          </cell>
          <cell r="FX238">
            <v>-170.37299999999999</v>
          </cell>
          <cell r="FY238">
            <v>0</v>
          </cell>
          <cell r="GA238">
            <v>-170.37299999999999</v>
          </cell>
          <cell r="GB238">
            <v>-172.65761689717377</v>
          </cell>
          <cell r="GC238">
            <v>-177.50299999999999</v>
          </cell>
          <cell r="GD238">
            <v>-179.8832266386049</v>
          </cell>
          <cell r="GE238">
            <v>-7.13</v>
          </cell>
          <cell r="GF238" t="e">
            <v>#DIV/0!</v>
          </cell>
        </row>
        <row r="239">
          <cell r="A239" t="str">
            <v>V.A.T.</v>
          </cell>
          <cell r="I239">
            <v>0</v>
          </cell>
          <cell r="M239" t="str">
            <v xml:space="preserve"> </v>
          </cell>
          <cell r="O239">
            <v>-88</v>
          </cell>
          <cell r="Q239">
            <v>-588.82600000000002</v>
          </cell>
          <cell r="U239">
            <v>-588.82600000000002</v>
          </cell>
          <cell r="Z239">
            <v>-5.6859999999999999</v>
          </cell>
          <cell r="AD239">
            <v>-594.51200000000006</v>
          </cell>
          <cell r="AF239">
            <v>-16.751000000000001</v>
          </cell>
          <cell r="AJ239">
            <v>-16.751000000000001</v>
          </cell>
          <cell r="AP239">
            <v>-16.751000000000001</v>
          </cell>
          <cell r="AR239">
            <v>49.791000000000004</v>
          </cell>
          <cell r="AT239">
            <v>-649.47199999999998</v>
          </cell>
          <cell r="AX239">
            <v>-649.47199999999998</v>
          </cell>
          <cell r="AZ239" t="str">
            <v>V.A.T.</v>
          </cell>
          <cell r="BI239">
            <v>0</v>
          </cell>
          <cell r="BO239">
            <v>-365</v>
          </cell>
          <cell r="BQ239">
            <v>-2449.5149999999999</v>
          </cell>
          <cell r="BU239">
            <v>-2449.5149999999999</v>
          </cell>
          <cell r="BX239">
            <v>0</v>
          </cell>
          <cell r="BZ239">
            <v>-23.655000000000001</v>
          </cell>
          <cell r="CD239">
            <v>-2473.17</v>
          </cell>
          <cell r="CF239">
            <v>-69.685000000000002</v>
          </cell>
          <cell r="CH239">
            <v>0</v>
          </cell>
          <cell r="CJ239">
            <v>-69.685000000000002</v>
          </cell>
          <cell r="CP239">
            <v>-69.685000000000002</v>
          </cell>
          <cell r="CR239">
            <v>207.14200000000002</v>
          </cell>
          <cell r="CT239">
            <v>-2700.7130000000002</v>
          </cell>
          <cell r="CU239">
            <v>0</v>
          </cell>
          <cell r="CV239">
            <v>0</v>
          </cell>
          <cell r="CX239">
            <v>-2700.7130000000002</v>
          </cell>
          <cell r="FH239">
            <v>-365</v>
          </cell>
          <cell r="FI239">
            <v>-2449.5149999999999</v>
          </cell>
          <cell r="FL239">
            <v>-23.655000000000001</v>
          </cell>
          <cell r="FN239">
            <v>-2473.17</v>
          </cell>
          <cell r="FO239">
            <v>-69.685000000000002</v>
          </cell>
          <cell r="FR239">
            <v>-69.685000000000002</v>
          </cell>
          <cell r="FS239">
            <v>207.14200000000002</v>
          </cell>
          <cell r="FT239">
            <v>-2700.7130000000002</v>
          </cell>
          <cell r="FU239">
            <v>0</v>
          </cell>
          <cell r="FV239">
            <v>-2700.7130000000002</v>
          </cell>
          <cell r="FW239" t="str">
            <v>V.A.T.</v>
          </cell>
          <cell r="FX239">
            <v>-2473.17</v>
          </cell>
          <cell r="FY239">
            <v>-69.685000000000002</v>
          </cell>
          <cell r="GA239">
            <v>-2542.855</v>
          </cell>
          <cell r="GB239">
            <v>-2576.953416416115</v>
          </cell>
          <cell r="GC239">
            <v>-2700.7130000000002</v>
          </cell>
          <cell r="GD239">
            <v>-2736.928213409501</v>
          </cell>
          <cell r="GE239">
            <v>-157.85800000000017</v>
          </cell>
          <cell r="GF239">
            <v>4.1583209129877812</v>
          </cell>
          <cell r="GG239">
            <v>-1318.6903257350327</v>
          </cell>
          <cell r="GH239">
            <v>0</v>
          </cell>
        </row>
        <row r="240">
          <cell r="A240" t="str">
            <v>OTHER CREDITORS</v>
          </cell>
          <cell r="I240">
            <v>0</v>
          </cell>
          <cell r="M240">
            <v>-15.419711538461538</v>
          </cell>
          <cell r="O240">
            <v>-334.29899999999998</v>
          </cell>
          <cell r="Q240">
            <v>-626.53600000000006</v>
          </cell>
          <cell r="U240">
            <v>-626.53600000000006</v>
          </cell>
          <cell r="W240">
            <v>-137.5</v>
          </cell>
          <cell r="X240">
            <v>-137.5</v>
          </cell>
          <cell r="Z240">
            <v>-10.138</v>
          </cell>
          <cell r="AD240">
            <v>-911.67400000000009</v>
          </cell>
          <cell r="AJ240">
            <v>0</v>
          </cell>
          <cell r="AL240">
            <v>-2126.8049999999998</v>
          </cell>
          <cell r="AP240">
            <v>-2126.8049999999998</v>
          </cell>
          <cell r="AR240">
            <v>-16.023</v>
          </cell>
          <cell r="AT240">
            <v>-3404.2207115384617</v>
          </cell>
          <cell r="AX240">
            <v>-3404.2207115384617</v>
          </cell>
          <cell r="AZ240" t="str">
            <v>OTHER CREDITORS</v>
          </cell>
          <cell r="BI240">
            <v>0</v>
          </cell>
          <cell r="BM240">
            <v>-64.146000000000001</v>
          </cell>
          <cell r="BO240">
            <v>-1663</v>
          </cell>
          <cell r="BQ240">
            <v>-2606.3940000000002</v>
          </cell>
          <cell r="BU240">
            <v>-2606.3940000000002</v>
          </cell>
          <cell r="BW240">
            <v>-570.5</v>
          </cell>
          <cell r="BX240">
            <v>-570.5</v>
          </cell>
          <cell r="BZ240">
            <v>-42.173000000000002</v>
          </cell>
          <cell r="CD240">
            <v>-3789.567</v>
          </cell>
          <cell r="CJ240">
            <v>0</v>
          </cell>
          <cell r="CL240">
            <v>-218</v>
          </cell>
          <cell r="CP240">
            <v>-218</v>
          </cell>
          <cell r="CR240">
            <v>-66.534999999999997</v>
          </cell>
          <cell r="CT240">
            <v>-5801.2479999999996</v>
          </cell>
          <cell r="CU240">
            <v>0</v>
          </cell>
          <cell r="CX240">
            <v>-5801.2479999999996</v>
          </cell>
          <cell r="FG240">
            <v>-64.146000000000001</v>
          </cell>
          <cell r="FH240">
            <v>-1392</v>
          </cell>
          <cell r="FI240">
            <v>-2606.3940000000002</v>
          </cell>
          <cell r="FJ240">
            <v>-570.5</v>
          </cell>
          <cell r="FK240">
            <v>-570.5</v>
          </cell>
          <cell r="FL240">
            <v>-42.173999999999999</v>
          </cell>
          <cell r="FN240">
            <v>-3789.5680000000002</v>
          </cell>
          <cell r="FO240">
            <v>0</v>
          </cell>
          <cell r="FP240">
            <v>-8855</v>
          </cell>
          <cell r="FR240">
            <v>-8855</v>
          </cell>
          <cell r="FS240">
            <v>-66.534999999999997</v>
          </cell>
          <cell r="FT240">
            <v>-14167.249</v>
          </cell>
          <cell r="FV240">
            <v>-14167.249</v>
          </cell>
          <cell r="FW240" t="str">
            <v>OTHER CREDITORS</v>
          </cell>
          <cell r="FX240">
            <v>-3789.5680000000002</v>
          </cell>
          <cell r="FY240">
            <v>-8855</v>
          </cell>
          <cell r="GA240">
            <v>-12644.567999999999</v>
          </cell>
          <cell r="GB240">
            <v>-12814.125346001201</v>
          </cell>
          <cell r="GC240">
            <v>-14167.249</v>
          </cell>
          <cell r="GD240">
            <v>-14357.224738244136</v>
          </cell>
          <cell r="GE240">
            <v>-1522.6810000000005</v>
          </cell>
          <cell r="GF240">
            <v>4.1616717012444902</v>
          </cell>
          <cell r="GG240">
            <v>-7340.1590054508006</v>
          </cell>
          <cell r="GH240">
            <v>0</v>
          </cell>
        </row>
        <row r="241">
          <cell r="A241" t="str">
            <v>ACCRUED EXPENSES</v>
          </cell>
          <cell r="C241">
            <v>-60.730199999999996</v>
          </cell>
          <cell r="I241">
            <v>-60.730199999999996</v>
          </cell>
          <cell r="M241">
            <v>-35.075600961538463</v>
          </cell>
          <cell r="O241">
            <v>-10</v>
          </cell>
          <cell r="Q241">
            <v>-1679.1679999999999</v>
          </cell>
          <cell r="U241">
            <v>-1679.1679999999999</v>
          </cell>
          <cell r="W241">
            <v>-734</v>
          </cell>
          <cell r="X241">
            <v>-734</v>
          </cell>
          <cell r="Z241">
            <v>-9.375</v>
          </cell>
          <cell r="AD241">
            <v>-3156.5429999999997</v>
          </cell>
          <cell r="AF241">
            <v>-8</v>
          </cell>
          <cell r="AJ241">
            <v>-8</v>
          </cell>
          <cell r="AL241">
            <v>-1380.5340000000001</v>
          </cell>
          <cell r="AP241">
            <v>-1388.5340000000001</v>
          </cell>
          <cell r="AR241">
            <v>-322.04899999999998</v>
          </cell>
          <cell r="AT241">
            <v>-4972.931800961539</v>
          </cell>
          <cell r="AV241">
            <v>2480</v>
          </cell>
          <cell r="AX241">
            <v>-2492.931800961539</v>
          </cell>
          <cell r="AZ241" t="str">
            <v>ACCRUED EXPENSES</v>
          </cell>
          <cell r="BC241">
            <v>-252.636</v>
          </cell>
          <cell r="BI241">
            <v>-252.636</v>
          </cell>
          <cell r="BM241">
            <v>-145.9145</v>
          </cell>
          <cell r="BO241">
            <v>-41</v>
          </cell>
          <cell r="BQ241">
            <v>-6985.3389999999999</v>
          </cell>
          <cell r="BU241">
            <v>-6985.3389999999999</v>
          </cell>
          <cell r="BW241">
            <v>-3055.5</v>
          </cell>
          <cell r="BX241">
            <v>-3055.5</v>
          </cell>
          <cell r="BZ241">
            <v>-40</v>
          </cell>
          <cell r="CD241">
            <v>-13136.339</v>
          </cell>
          <cell r="CF241">
            <v>-34</v>
          </cell>
          <cell r="CJ241">
            <v>-34</v>
          </cell>
          <cell r="CL241">
            <v>-5743</v>
          </cell>
          <cell r="CP241">
            <v>-5777</v>
          </cell>
          <cell r="CR241">
            <v>-1339.7249999999999</v>
          </cell>
          <cell r="CT241">
            <v>-20692.6145</v>
          </cell>
          <cell r="CU241">
            <v>0</v>
          </cell>
          <cell r="CX241">
            <v>-20692.6145</v>
          </cell>
          <cell r="FC241">
            <v>-251.636</v>
          </cell>
          <cell r="FF241">
            <v>-251.636</v>
          </cell>
          <cell r="FG241">
            <v>-145.9145</v>
          </cell>
          <cell r="FH241">
            <v>-41</v>
          </cell>
          <cell r="FI241">
            <v>-6985.3389999999999</v>
          </cell>
          <cell r="FJ241">
            <v>-3055.5</v>
          </cell>
          <cell r="FK241">
            <v>-3055.5</v>
          </cell>
          <cell r="FL241">
            <v>-39</v>
          </cell>
          <cell r="FN241">
            <v>-13135.339</v>
          </cell>
          <cell r="FO241">
            <v>-34</v>
          </cell>
          <cell r="FP241">
            <v>-5743</v>
          </cell>
          <cell r="FR241">
            <v>-5777</v>
          </cell>
          <cell r="FS241">
            <v>-1343.049</v>
          </cell>
          <cell r="FT241">
            <v>-20693.938499999997</v>
          </cell>
          <cell r="FV241">
            <v>-20693.938499999997</v>
          </cell>
          <cell r="FW241" t="str">
            <v>ACCRUED EXPENSES</v>
          </cell>
          <cell r="FX241">
            <v>-13135.339</v>
          </cell>
          <cell r="FY241">
            <v>-5777</v>
          </cell>
          <cell r="GA241">
            <v>-18912.339</v>
          </cell>
          <cell r="GB241">
            <v>-19165.944026879133</v>
          </cell>
          <cell r="GC241">
            <v>-20693.938499999997</v>
          </cell>
          <cell r="GD241">
            <v>-20971.433886981355</v>
          </cell>
          <cell r="GE241">
            <v>-1781.5994999999966</v>
          </cell>
          <cell r="GF241">
            <v>8.3010447746778393</v>
          </cell>
          <cell r="GG241">
            <v>-5925.8333515891745</v>
          </cell>
          <cell r="GH241">
            <v>0</v>
          </cell>
        </row>
        <row r="242">
          <cell r="A242" t="str">
            <v>Total creditors</v>
          </cell>
          <cell r="C242">
            <v>-142.35120000000001</v>
          </cell>
          <cell r="E242">
            <v>0</v>
          </cell>
          <cell r="G242">
            <v>0</v>
          </cell>
          <cell r="I242">
            <v>-142.35120000000001</v>
          </cell>
          <cell r="M242">
            <v>-81</v>
          </cell>
          <cell r="O242">
            <v>-2657</v>
          </cell>
          <cell r="Q242">
            <v>-13125.745230769231</v>
          </cell>
          <cell r="S242">
            <v>0</v>
          </cell>
          <cell r="U242">
            <v>-13125.745230769231</v>
          </cell>
          <cell r="W242">
            <v>-3634</v>
          </cell>
          <cell r="X242">
            <v>-3822</v>
          </cell>
          <cell r="Z242">
            <v>-212.15069230769231</v>
          </cell>
          <cell r="AB242">
            <v>0</v>
          </cell>
          <cell r="AD242">
            <v>-20793.895923076918</v>
          </cell>
          <cell r="AF242">
            <v>-24.751000000000001</v>
          </cell>
          <cell r="AH242">
            <v>0</v>
          </cell>
          <cell r="AJ242">
            <v>-24.751000000000001</v>
          </cell>
          <cell r="AL242">
            <v>-7513.469000000001</v>
          </cell>
          <cell r="AN242">
            <v>26.103999999999999</v>
          </cell>
          <cell r="AP242">
            <v>-7512.116</v>
          </cell>
          <cell r="AR242">
            <v>-495</v>
          </cell>
          <cell r="AT242">
            <v>-31682.117502884612</v>
          </cell>
          <cell r="AV242">
            <v>6861.4886923076929</v>
          </cell>
          <cell r="AX242">
            <v>-24820.628810576924</v>
          </cell>
          <cell r="AZ242" t="str">
            <v>Total creditors</v>
          </cell>
          <cell r="BC242">
            <v>517.44099999999992</v>
          </cell>
          <cell r="BE242">
            <v>0</v>
          </cell>
          <cell r="BG242">
            <v>0</v>
          </cell>
          <cell r="BI242">
            <v>517.44099999999992</v>
          </cell>
          <cell r="BM242">
            <v>-328.13850000000002</v>
          </cell>
          <cell r="BO242">
            <v>-10977.5</v>
          </cell>
          <cell r="BQ242">
            <v>-54627.900999999998</v>
          </cell>
          <cell r="BS242">
            <v>0</v>
          </cell>
          <cell r="BU242">
            <v>-54627.900999999998</v>
          </cell>
          <cell r="BW242">
            <v>-15117</v>
          </cell>
          <cell r="BX242">
            <v>-15901</v>
          </cell>
          <cell r="BZ242">
            <v>-883.55</v>
          </cell>
          <cell r="CB242">
            <v>0</v>
          </cell>
          <cell r="CD242">
            <v>-86529.451000000001</v>
          </cell>
          <cell r="CF242">
            <v>-103.685</v>
          </cell>
          <cell r="CH242">
            <v>0</v>
          </cell>
          <cell r="CJ242">
            <v>-103.685</v>
          </cell>
          <cell r="CL242">
            <v>-31242</v>
          </cell>
          <cell r="CN242">
            <v>108.59399999999999</v>
          </cell>
          <cell r="CP242">
            <v>-31237.091000000004</v>
          </cell>
          <cell r="CR242">
            <v>-2051.6530000000002</v>
          </cell>
          <cell r="CT242">
            <v>-130606.39250000002</v>
          </cell>
          <cell r="CU242">
            <v>0</v>
          </cell>
          <cell r="CV242">
            <v>27160.095000000001</v>
          </cell>
          <cell r="CX242">
            <v>-103446.29749999999</v>
          </cell>
          <cell r="FC242">
            <v>518.44099999999992</v>
          </cell>
          <cell r="FD242">
            <v>0</v>
          </cell>
          <cell r="FE242">
            <v>-1109.6199999999999</v>
          </cell>
          <cell r="FF242">
            <v>-591.17899999999997</v>
          </cell>
          <cell r="FG242">
            <v>-337.84349999999995</v>
          </cell>
          <cell r="FH242">
            <v>-11023</v>
          </cell>
          <cell r="FI242">
            <v>-54627.900999999998</v>
          </cell>
          <cell r="FJ242">
            <v>-15116</v>
          </cell>
          <cell r="FK242">
            <v>-15901</v>
          </cell>
          <cell r="FL242">
            <v>-668.92399999999998</v>
          </cell>
          <cell r="FM242">
            <v>0</v>
          </cell>
          <cell r="FN242">
            <v>-86313.825000000012</v>
          </cell>
          <cell r="FO242">
            <v>-103.685</v>
          </cell>
          <cell r="FP242">
            <v>-31242</v>
          </cell>
          <cell r="FQ242">
            <v>0</v>
          </cell>
          <cell r="FR242">
            <v>-31345.685000000001</v>
          </cell>
          <cell r="FS242">
            <v>-2063.808</v>
          </cell>
          <cell r="FT242">
            <v>-131675.34050000002</v>
          </cell>
          <cell r="FU242">
            <v>28256.663400000001</v>
          </cell>
          <cell r="FV242">
            <v>-103418.6771</v>
          </cell>
          <cell r="FW242" t="str">
            <v>Total creditors</v>
          </cell>
          <cell r="FX242">
            <v>-86313.825000000012</v>
          </cell>
          <cell r="FY242">
            <v>-31345.685000000001</v>
          </cell>
          <cell r="FZ242">
            <v>0</v>
          </cell>
          <cell r="GA242">
            <v>-117659.51</v>
          </cell>
          <cell r="GB242">
            <v>-119237.26530547203</v>
          </cell>
          <cell r="GC242">
            <v>-103418.6771</v>
          </cell>
          <cell r="GD242">
            <v>-104805.46994385448</v>
          </cell>
          <cell r="GE242">
            <v>14240.832900000001</v>
          </cell>
          <cell r="GF242">
            <v>4.166642106018271</v>
          </cell>
          <cell r="GG242">
            <v>-57043.782591436429</v>
          </cell>
          <cell r="GH242">
            <v>0</v>
          </cell>
        </row>
        <row r="243">
          <cell r="A243" t="str">
            <v>Total curr. liabil.</v>
          </cell>
          <cell r="C243">
            <v>-847.25119999999993</v>
          </cell>
          <cell r="E243">
            <v>0</v>
          </cell>
          <cell r="G243">
            <v>0</v>
          </cell>
          <cell r="I243">
            <v>-847.25119999999993</v>
          </cell>
          <cell r="M243">
            <v>-81</v>
          </cell>
          <cell r="O243">
            <v>-3900</v>
          </cell>
          <cell r="Q243">
            <v>-76361.381230769242</v>
          </cell>
          <cell r="S243">
            <v>0</v>
          </cell>
          <cell r="U243">
            <v>-76361.381230769242</v>
          </cell>
          <cell r="W243">
            <v>-18055</v>
          </cell>
          <cell r="X243">
            <v>-18243</v>
          </cell>
          <cell r="Z243">
            <v>-212.15069230769231</v>
          </cell>
          <cell r="AB243">
            <v>0</v>
          </cell>
          <cell r="AD243">
            <v>-112871.53192307692</v>
          </cell>
          <cell r="AF243">
            <v>-24.751000000000001</v>
          </cell>
          <cell r="AH243">
            <v>0</v>
          </cell>
          <cell r="AJ243">
            <v>-24.751000000000001</v>
          </cell>
          <cell r="AL243">
            <v>-13603.893</v>
          </cell>
          <cell r="AN243">
            <v>26.103999999999999</v>
          </cell>
          <cell r="AP243">
            <v>-13602.54</v>
          </cell>
          <cell r="AR243">
            <v>-495</v>
          </cell>
          <cell r="AT243">
            <v>-131797.57750288461</v>
          </cell>
          <cell r="AV243">
            <v>6861.4886923076929</v>
          </cell>
          <cell r="AX243">
            <v>-124936.08881057693</v>
          </cell>
          <cell r="AZ243" t="str">
            <v>Total curr. liabil.</v>
          </cell>
          <cell r="BC243">
            <v>-2057.5910000000003</v>
          </cell>
          <cell r="BE243">
            <v>0</v>
          </cell>
          <cell r="BG243">
            <v>0</v>
          </cell>
          <cell r="BI243">
            <v>-2057.5910000000003</v>
          </cell>
          <cell r="BM243">
            <v>-328.13850000000002</v>
          </cell>
          <cell r="BO243">
            <v>-16147</v>
          </cell>
          <cell r="BQ243">
            <v>-317690.147</v>
          </cell>
          <cell r="BS243">
            <v>0</v>
          </cell>
          <cell r="BU243">
            <v>-317690.147</v>
          </cell>
          <cell r="BW243">
            <v>-75108</v>
          </cell>
          <cell r="BX243">
            <v>-75892</v>
          </cell>
          <cell r="BZ243">
            <v>-883.55</v>
          </cell>
          <cell r="CB243">
            <v>0</v>
          </cell>
          <cell r="CD243">
            <v>-469573.69699999999</v>
          </cell>
          <cell r="CF243">
            <v>-103.685</v>
          </cell>
          <cell r="CH243">
            <v>0</v>
          </cell>
          <cell r="CJ243">
            <v>-103.685</v>
          </cell>
          <cell r="CL243">
            <v>-56578</v>
          </cell>
          <cell r="CN243">
            <v>108.59399999999999</v>
          </cell>
          <cell r="CP243">
            <v>-56573.091</v>
          </cell>
          <cell r="CR243">
            <v>-2051.6530000000002</v>
          </cell>
          <cell r="CT243">
            <v>-546731.17050000001</v>
          </cell>
          <cell r="CU243">
            <v>0</v>
          </cell>
          <cell r="CV243">
            <v>27160.095000000001</v>
          </cell>
          <cell r="CX243">
            <v>-519571.07550000004</v>
          </cell>
          <cell r="FC243">
            <v>-2413.9430000000002</v>
          </cell>
          <cell r="FD243">
            <v>0</v>
          </cell>
          <cell r="FE243">
            <v>-1109.6199999999999</v>
          </cell>
          <cell r="FF243">
            <v>-3523.5630000000001</v>
          </cell>
          <cell r="FG243">
            <v>-337.84349999999995</v>
          </cell>
          <cell r="FH243">
            <v>-16192.5</v>
          </cell>
          <cell r="FI243">
            <v>-317690.147</v>
          </cell>
          <cell r="FJ243">
            <v>-75107</v>
          </cell>
          <cell r="FK243">
            <v>-75892</v>
          </cell>
          <cell r="FL243">
            <v>-668.92399999999998</v>
          </cell>
          <cell r="FM243">
            <v>0</v>
          </cell>
          <cell r="FN243">
            <v>-469358.07100000005</v>
          </cell>
          <cell r="FO243">
            <v>-103.685</v>
          </cell>
          <cell r="FP243">
            <v>-56578</v>
          </cell>
          <cell r="FQ243">
            <v>0</v>
          </cell>
          <cell r="FR243">
            <v>-56681.684999999998</v>
          </cell>
          <cell r="FS243">
            <v>-2063.808</v>
          </cell>
          <cell r="FT243">
            <v>-548157.47050000005</v>
          </cell>
          <cell r="FU243">
            <v>28256.663400000001</v>
          </cell>
          <cell r="FV243">
            <v>-519900.80709999998</v>
          </cell>
          <cell r="FW243" t="str">
            <v>Total curr. liabil.</v>
          </cell>
          <cell r="FX243">
            <v>-469358.07100000005</v>
          </cell>
          <cell r="FY243">
            <v>-56681.684999999998</v>
          </cell>
          <cell r="FZ243">
            <v>0</v>
          </cell>
          <cell r="GA243">
            <v>-526039.75600000005</v>
          </cell>
          <cell r="GB243">
            <v>-533093.68658256158</v>
          </cell>
          <cell r="GC243">
            <v>-519900.80709999998</v>
          </cell>
          <cell r="GD243">
            <v>-526872.41744174983</v>
          </cell>
          <cell r="GE243">
            <v>6138.9489000000031</v>
          </cell>
          <cell r="GF243">
            <v>4.1613341032970279</v>
          </cell>
          <cell r="GG243">
            <v>-86564.134423572294</v>
          </cell>
          <cell r="GH243">
            <v>0</v>
          </cell>
        </row>
        <row r="244">
          <cell r="BX244">
            <v>0</v>
          </cell>
          <cell r="CD244">
            <v>0</v>
          </cell>
          <cell r="CU244">
            <v>0</v>
          </cell>
          <cell r="FI244">
            <v>0</v>
          </cell>
          <cell r="FL244">
            <v>0</v>
          </cell>
          <cell r="FN244">
            <v>0</v>
          </cell>
          <cell r="FS244">
            <v>0</v>
          </cell>
          <cell r="FT244">
            <v>0</v>
          </cell>
          <cell r="FX244">
            <v>0</v>
          </cell>
          <cell r="FY244">
            <v>0</v>
          </cell>
          <cell r="GA244">
            <v>0</v>
          </cell>
          <cell r="GB244">
            <v>0</v>
          </cell>
          <cell r="GC244">
            <v>0</v>
          </cell>
          <cell r="GD244">
            <v>0</v>
          </cell>
          <cell r="GE244">
            <v>0</v>
          </cell>
          <cell r="GF244" t="e">
            <v>#DIV/0!</v>
          </cell>
          <cell r="GH244">
            <v>0</v>
          </cell>
        </row>
        <row r="245">
          <cell r="A245" t="str">
            <v>TOTAL PASSIV</v>
          </cell>
          <cell r="C245">
            <v>-86312.356199999995</v>
          </cell>
          <cell r="E245">
            <v>-18208.287</v>
          </cell>
          <cell r="G245">
            <v>174.43051381755731</v>
          </cell>
          <cell r="I245">
            <v>-104346.21268618244</v>
          </cell>
          <cell r="M245">
            <v>-185.49753365384601</v>
          </cell>
          <cell r="O245">
            <v>-7354</v>
          </cell>
          <cell r="Q245">
            <v>-160729.12781538462</v>
          </cell>
          <cell r="S245">
            <v>202.167</v>
          </cell>
          <cell r="U245">
            <v>-160526.96081538463</v>
          </cell>
          <cell r="W245">
            <v>-17221.5</v>
          </cell>
          <cell r="X245">
            <v>-22748</v>
          </cell>
          <cell r="Z245">
            <v>-2208.4229999999998</v>
          </cell>
          <cell r="AB245">
            <v>1331.346</v>
          </cell>
          <cell r="AD245">
            <v>-201338.21181538465</v>
          </cell>
          <cell r="AF245">
            <v>-8766.7520000000022</v>
          </cell>
          <cell r="AH245">
            <v>-2329.5149999999999</v>
          </cell>
          <cell r="AJ245">
            <v>-11096.267000000002</v>
          </cell>
          <cell r="AL245">
            <v>-54085.543999999994</v>
          </cell>
          <cell r="AN245">
            <v>10926.715</v>
          </cell>
          <cell r="AP245">
            <v>-54255.095999999998</v>
          </cell>
          <cell r="AR245">
            <v>-23069.841348416292</v>
          </cell>
          <cell r="AT245">
            <v>-390549.11376344506</v>
          </cell>
          <cell r="AV245">
            <v>82287.526153846149</v>
          </cell>
          <cell r="AX245">
            <v>-308261.58760959876</v>
          </cell>
          <cell r="AZ245" t="str">
            <v>TOTAL PASSIV</v>
          </cell>
          <cell r="BA245">
            <v>0.22499999999854481</v>
          </cell>
          <cell r="BC245">
            <v>-246675.06013</v>
          </cell>
          <cell r="BE245">
            <v>-67407.641000000003</v>
          </cell>
          <cell r="BG245">
            <v>-4683.6854635847176</v>
          </cell>
          <cell r="BI245">
            <v>-318766.38659358473</v>
          </cell>
          <cell r="BM245">
            <v>-769.16449999999963</v>
          </cell>
          <cell r="BO245">
            <v>-30098.775000000001</v>
          </cell>
          <cell r="BQ245">
            <v>-579574.90399999998</v>
          </cell>
          <cell r="BS245">
            <v>0</v>
          </cell>
          <cell r="BU245">
            <v>-579574.90399999998</v>
          </cell>
          <cell r="BW245">
            <v>-84288.5</v>
          </cell>
          <cell r="BX245">
            <v>-70026</v>
          </cell>
          <cell r="BZ245">
            <v>-7725.1710000000021</v>
          </cell>
          <cell r="CB245">
            <v>4892.9960000000001</v>
          </cell>
          <cell r="CD245">
            <v>-736721.57899999991</v>
          </cell>
          <cell r="CF245">
            <v>-5484.4809999999998</v>
          </cell>
          <cell r="CH245">
            <v>-1948.2059999999983</v>
          </cell>
          <cell r="CJ245">
            <v>-7432.686999999999</v>
          </cell>
          <cell r="CL245">
            <v>-167842.1</v>
          </cell>
          <cell r="CN245">
            <v>6972.8</v>
          </cell>
          <cell r="CP245">
            <v>-168301.98699999999</v>
          </cell>
          <cell r="CR245">
            <v>-82090.601999999999</v>
          </cell>
          <cell r="CT245">
            <v>-1336748.6760935849</v>
          </cell>
          <cell r="CU245">
            <v>0.18200000049546361</v>
          </cell>
          <cell r="CV245">
            <v>241246.30690000003</v>
          </cell>
          <cell r="CX245">
            <v>-1095502.3691935847</v>
          </cell>
          <cell r="FC245">
            <v>-361862.60800000001</v>
          </cell>
          <cell r="FD245">
            <v>-67407.860472</v>
          </cell>
          <cell r="FE245">
            <v>17479.519406415286</v>
          </cell>
          <cell r="FF245">
            <v>-411790.94906558469</v>
          </cell>
          <cell r="FG245">
            <v>-771.43600000000049</v>
          </cell>
          <cell r="FH245">
            <v>-30294.5</v>
          </cell>
          <cell r="FI245">
            <v>-652430.36599999992</v>
          </cell>
          <cell r="FJ245">
            <v>-71643.5</v>
          </cell>
          <cell r="FK245">
            <v>-96114</v>
          </cell>
          <cell r="FL245">
            <v>-8499.7179999999989</v>
          </cell>
          <cell r="FM245">
            <v>5338.4879999999994</v>
          </cell>
          <cell r="FN245">
            <v>-823349.09600000014</v>
          </cell>
          <cell r="FO245">
            <v>-46846.699219000002</v>
          </cell>
          <cell r="FP245">
            <v>-227212.26199999999</v>
          </cell>
          <cell r="FQ245">
            <v>45995.595218999995</v>
          </cell>
          <cell r="FR245">
            <v>-228063.36600000001</v>
          </cell>
          <cell r="FS245">
            <v>-89217.838000000003</v>
          </cell>
          <cell r="FT245">
            <v>-1583487.1850655845</v>
          </cell>
          <cell r="FU245">
            <v>326620.5264160767</v>
          </cell>
          <cell r="FV245">
            <v>-1256866.6586495077</v>
          </cell>
          <cell r="FW245" t="str">
            <v>TOTAL PASSIVE</v>
          </cell>
          <cell r="FX245">
            <v>-823349.09600000014</v>
          </cell>
          <cell r="FY245">
            <v>-228063.36600000001</v>
          </cell>
          <cell r="FZ245">
            <v>-0.43684500000381377</v>
          </cell>
          <cell r="GA245">
            <v>-1051412.8988450002</v>
          </cell>
          <cell r="GB245">
            <v>-1065511.8210604198</v>
          </cell>
          <cell r="GC245">
            <v>-1256866.6586495077</v>
          </cell>
          <cell r="GD245">
            <v>-1273720.6132423426</v>
          </cell>
          <cell r="GE245">
            <v>-251331.67290450804</v>
          </cell>
          <cell r="GF245">
            <v>4.0772730342298766</v>
          </cell>
          <cell r="GG245">
            <v>-616372.35683731572</v>
          </cell>
          <cell r="GH245">
            <v>0</v>
          </cell>
        </row>
        <row r="246">
          <cell r="Z246" t="str">
            <v xml:space="preserve"> </v>
          </cell>
          <cell r="AT246">
            <v>0.25437980779679492</v>
          </cell>
          <cell r="BQ246" t="str">
            <v xml:space="preserve">   </v>
          </cell>
          <cell r="CD246">
            <v>0</v>
          </cell>
          <cell r="CT246">
            <v>0.18200000040087616</v>
          </cell>
          <cell r="CU246">
            <v>-0.18200000040087616</v>
          </cell>
        </row>
        <row r="247">
          <cell r="I247">
            <v>0</v>
          </cell>
          <cell r="U247">
            <v>0</v>
          </cell>
          <cell r="AD247">
            <v>-35.326000000000931</v>
          </cell>
          <cell r="AJ247">
            <v>0</v>
          </cell>
          <cell r="AP247">
            <v>0</v>
          </cell>
          <cell r="CD247">
            <v>0</v>
          </cell>
          <cell r="HJ247" t="str">
            <v>/rv{esc}{r 2}~~{r 2}+{l 4}+{L 2}~{D}{l 2}</v>
          </cell>
        </row>
        <row r="248">
          <cell r="CD248">
            <v>0</v>
          </cell>
        </row>
        <row r="249">
          <cell r="CD249">
            <v>0</v>
          </cell>
        </row>
        <row r="250">
          <cell r="A250">
            <v>0</v>
          </cell>
          <cell r="E250" t="str">
            <v>CONSOLIDATED STATEMENTS</v>
          </cell>
          <cell r="M250" t="str">
            <v>Pnai Plus</v>
          </cell>
          <cell r="Q250" t="str">
            <v xml:space="preserve"> AS AT </v>
          </cell>
          <cell r="AF250" t="str">
            <v xml:space="preserve"> AS AT </v>
          </cell>
          <cell r="AP250">
            <v>0</v>
          </cell>
          <cell r="AZ250">
            <v>0</v>
          </cell>
          <cell r="BG250" t="str">
            <v>CONSOLIDATED STATEMENTS</v>
          </cell>
          <cell r="BS250" t="str">
            <v xml:space="preserve"> AS AT </v>
          </cell>
          <cell r="BW250" t="str">
            <v>IDAN</v>
          </cell>
          <cell r="CD250">
            <v>0</v>
          </cell>
          <cell r="CF250" t="str">
            <v xml:space="preserve"> AS AT </v>
          </cell>
          <cell r="CP250">
            <v>0</v>
          </cell>
          <cell r="CU250">
            <v>0</v>
          </cell>
          <cell r="FH250" t="str">
            <v>Netcom</v>
          </cell>
          <cell r="FJ250" t="str">
            <v>IDAN</v>
          </cell>
          <cell r="FL250" t="str">
            <v>EDOM</v>
          </cell>
          <cell r="FN250">
            <v>0</v>
          </cell>
          <cell r="FS250">
            <v>0</v>
          </cell>
          <cell r="FT250" t="str">
            <v>TOTAL</v>
          </cell>
          <cell r="FU250" t="str">
            <v>J.ENTRIES</v>
          </cell>
          <cell r="FV250" t="str">
            <v>TOTAL</v>
          </cell>
          <cell r="FW250" t="str">
            <v>T.L.M</v>
          </cell>
          <cell r="FX250">
            <v>0</v>
          </cell>
          <cell r="FY250">
            <v>0</v>
          </cell>
          <cell r="GA250">
            <v>0</v>
          </cell>
          <cell r="GB250">
            <v>0</v>
          </cell>
          <cell r="GD250">
            <v>0</v>
          </cell>
          <cell r="GE250">
            <v>0</v>
          </cell>
          <cell r="GF250" t="e">
            <v>#DIV/0!</v>
          </cell>
          <cell r="GG250" t="str">
            <v>TOTAL</v>
          </cell>
          <cell r="GH250">
            <v>0</v>
          </cell>
        </row>
        <row r="251">
          <cell r="G251" t="str">
            <v>A.C.T.V.</v>
          </cell>
          <cell r="S251" t="str">
            <v>G.C.&amp; CO.</v>
          </cell>
          <cell r="Z251" t="str">
            <v>G.C.&amp; CO. CONSOLIDATED</v>
          </cell>
          <cell r="AF251" t="str">
            <v>SOUTH SHARON COMM.</v>
          </cell>
          <cell r="AL251" t="str">
            <v>T.L.M</v>
          </cell>
          <cell r="AN251" t="str">
            <v>S.S.C.-CONSOLIDATED</v>
          </cell>
          <cell r="AR251" t="str">
            <v>MERCAZ</v>
          </cell>
          <cell r="AV251" t="str">
            <v xml:space="preserve">A.L.I.S-CONSOLIDATED </v>
          </cell>
          <cell r="BG251" t="str">
            <v>A.C.T.V.</v>
          </cell>
          <cell r="BZ251" t="str">
            <v>G.C.&amp; CO. CONSOLIDATED</v>
          </cell>
          <cell r="CD251">
            <v>0</v>
          </cell>
          <cell r="CF251" t="str">
            <v>SOUTH SHARON COMM.</v>
          </cell>
          <cell r="CL251" t="str">
            <v>T.L.M</v>
          </cell>
          <cell r="CN251" t="str">
            <v>S.S.C.-CONSOLIDATED</v>
          </cell>
          <cell r="CR251" t="str">
            <v>MERCAZ</v>
          </cell>
          <cell r="CU251">
            <v>0</v>
          </cell>
          <cell r="CV251" t="str">
            <v xml:space="preserve">CONSOLIDATED </v>
          </cell>
          <cell r="FE251" t="str">
            <v>A.C.T.V.</v>
          </cell>
          <cell r="FN251">
            <v>0</v>
          </cell>
          <cell r="FP251" t="str">
            <v>T.L.M</v>
          </cell>
          <cell r="FQ251" t="str">
            <v>S.S.C.-CONSOLIDATED</v>
          </cell>
          <cell r="FS251">
            <v>0</v>
          </cell>
          <cell r="FT251" t="str">
            <v>"31/12/98</v>
          </cell>
          <cell r="FV251" t="str">
            <v>"31/12/98</v>
          </cell>
          <cell r="FX251">
            <v>0</v>
          </cell>
          <cell r="FY251">
            <v>0</v>
          </cell>
          <cell r="GA251">
            <v>0</v>
          </cell>
          <cell r="GB251">
            <v>0</v>
          </cell>
          <cell r="GD251">
            <v>0</v>
          </cell>
          <cell r="GE251">
            <v>0</v>
          </cell>
          <cell r="GF251" t="e">
            <v>#DIV/0!</v>
          </cell>
          <cell r="GG251" t="str">
            <v>31/12/97</v>
          </cell>
          <cell r="GH251">
            <v>0</v>
          </cell>
        </row>
        <row r="252">
          <cell r="A252">
            <v>36661.599853703701</v>
          </cell>
          <cell r="B252">
            <v>36661.599853703701</v>
          </cell>
          <cell r="C252" t="str">
            <v>A.C.T.V.</v>
          </cell>
          <cell r="E252" t="str">
            <v>A.L.I.S</v>
          </cell>
          <cell r="G252" t="str">
            <v>J.ENTRIES</v>
          </cell>
          <cell r="I252" t="str">
            <v>TOTAL</v>
          </cell>
          <cell r="O252" t="str">
            <v>Netcom</v>
          </cell>
          <cell r="Q252" t="str">
            <v>G.C.&amp; CO.</v>
          </cell>
          <cell r="S252" t="str">
            <v>J.ENTRIES</v>
          </cell>
          <cell r="U252" t="str">
            <v>TOTAL</v>
          </cell>
          <cell r="W252" t="str">
            <v>עידן</v>
          </cell>
          <cell r="X252" t="str">
            <v>רוו"ה</v>
          </cell>
          <cell r="Z252" t="str">
            <v>A. EDOM</v>
          </cell>
          <cell r="AB252" t="str">
            <v>J.ENTRIES</v>
          </cell>
          <cell r="AD252" t="str">
            <v>TOTAL</v>
          </cell>
          <cell r="AF252" t="str">
            <v>S.S.C.</v>
          </cell>
          <cell r="AH252" t="str">
            <v>J.ENTRIES</v>
          </cell>
          <cell r="AJ252" t="str">
            <v>TOTAL</v>
          </cell>
          <cell r="AL252" t="str">
            <v>T.L.M</v>
          </cell>
          <cell r="AN252" t="str">
            <v>J.ENTRIES</v>
          </cell>
          <cell r="AP252" t="str">
            <v>TOTAL</v>
          </cell>
          <cell r="AR252" t="str">
            <v>MERCAZ</v>
          </cell>
          <cell r="AT252" t="str">
            <v>TOTAL</v>
          </cell>
          <cell r="AV252" t="str">
            <v>J.ENTRIES</v>
          </cell>
          <cell r="AX252" t="str">
            <v>TOTAL</v>
          </cell>
          <cell r="AZ252">
            <v>36661.599853703701</v>
          </cell>
          <cell r="BC252" t="str">
            <v>A.C.T.V.</v>
          </cell>
          <cell r="BE252" t="str">
            <v>A.L.I.S</v>
          </cell>
          <cell r="BG252" t="str">
            <v>J.ENTRIES</v>
          </cell>
          <cell r="BI252" t="str">
            <v>TOTAL</v>
          </cell>
          <cell r="BM252" t="str">
            <v>Pnai Plus</v>
          </cell>
          <cell r="BQ252" t="str">
            <v>G.C.&amp; CO.</v>
          </cell>
          <cell r="BS252" t="str">
            <v>J.ENTRIES</v>
          </cell>
          <cell r="BU252" t="str">
            <v>TOTAL</v>
          </cell>
          <cell r="BW252" t="str">
            <v>IDAN</v>
          </cell>
          <cell r="BX252" t="str">
            <v>IDAN (PR&amp;L)</v>
          </cell>
          <cell r="BZ252" t="str">
            <v>A. EDOM</v>
          </cell>
          <cell r="CB252" t="str">
            <v>J.ENTRIES</v>
          </cell>
          <cell r="CD252">
            <v>0</v>
          </cell>
          <cell r="CF252" t="str">
            <v>S.S.C.</v>
          </cell>
          <cell r="CH252" t="str">
            <v>J.ENTRIES</v>
          </cell>
          <cell r="CJ252" t="str">
            <v>TOTAL</v>
          </cell>
          <cell r="CL252" t="str">
            <v>T.L.M</v>
          </cell>
          <cell r="CN252" t="str">
            <v>J.ENTRIES</v>
          </cell>
          <cell r="CP252" t="str">
            <v>TOTAL</v>
          </cell>
          <cell r="CR252" t="str">
            <v>MERCAZ</v>
          </cell>
          <cell r="CT252" t="str">
            <v>TOTAL</v>
          </cell>
          <cell r="CU252">
            <v>0</v>
          </cell>
          <cell r="CV252" t="str">
            <v>J.ENTRIES</v>
          </cell>
          <cell r="CX252" t="str">
            <v>TOTAL</v>
          </cell>
          <cell r="FE252" t="str">
            <v>J.ENTRIES</v>
          </cell>
          <cell r="FL252" t="str">
            <v>G.C.&amp; CO. CONSOLIDATED</v>
          </cell>
          <cell r="FM252" t="str">
            <v>J.ENTRIES</v>
          </cell>
          <cell r="FN252">
            <v>0</v>
          </cell>
          <cell r="FO252" t="str">
            <v>TOTAL</v>
          </cell>
          <cell r="FP252" t="str">
            <v>T.L.M</v>
          </cell>
          <cell r="FQ252" t="str">
            <v>J.ENTRIES</v>
          </cell>
          <cell r="FR252" t="str">
            <v>TOTAL</v>
          </cell>
          <cell r="FS252">
            <v>0</v>
          </cell>
          <cell r="FU252" t="str">
            <v xml:space="preserve">A.L.I.S-CONSOLIDATED </v>
          </cell>
          <cell r="FW252">
            <v>36661.599853703701</v>
          </cell>
          <cell r="FX252">
            <v>0</v>
          </cell>
          <cell r="FY252" t="str">
            <v>TOTAL</v>
          </cell>
          <cell r="GA252">
            <v>0</v>
          </cell>
          <cell r="GB252">
            <v>0</v>
          </cell>
          <cell r="GD252">
            <v>0</v>
          </cell>
          <cell r="GE252">
            <v>0</v>
          </cell>
          <cell r="GF252" t="e">
            <v>#DIV/0!</v>
          </cell>
          <cell r="GH252">
            <v>0</v>
          </cell>
        </row>
        <row r="253">
          <cell r="C253" t="str">
            <v>000$</v>
          </cell>
          <cell r="E253" t="str">
            <v>000$</v>
          </cell>
          <cell r="G253" t="str">
            <v>000$</v>
          </cell>
          <cell r="I253" t="str">
            <v>000$</v>
          </cell>
          <cell r="Q253" t="str">
            <v>000$</v>
          </cell>
          <cell r="S253" t="str">
            <v>000$</v>
          </cell>
          <cell r="U253" t="str">
            <v>000$</v>
          </cell>
          <cell r="W253" t="str">
            <v>000$</v>
          </cell>
          <cell r="X253" t="str">
            <v>000$</v>
          </cell>
          <cell r="Z253" t="str">
            <v>000$</v>
          </cell>
          <cell r="AB253" t="str">
            <v>000$</v>
          </cell>
          <cell r="AD253" t="str">
            <v>000$</v>
          </cell>
          <cell r="AF253" t="str">
            <v>000$</v>
          </cell>
          <cell r="AH253" t="str">
            <v>000$</v>
          </cell>
          <cell r="AJ253" t="str">
            <v>000$</v>
          </cell>
          <cell r="AP253" t="str">
            <v>000$</v>
          </cell>
          <cell r="AR253" t="str">
            <v>000$</v>
          </cell>
          <cell r="AT253" t="str">
            <v>000$</v>
          </cell>
          <cell r="AV253" t="str">
            <v>000$</v>
          </cell>
          <cell r="AX253" t="str">
            <v>000$</v>
          </cell>
          <cell r="BC253" t="str">
            <v>000NIS</v>
          </cell>
          <cell r="BE253" t="str">
            <v>000NIS</v>
          </cell>
          <cell r="BG253" t="str">
            <v>000NIS</v>
          </cell>
          <cell r="BI253" t="str">
            <v>000NIS</v>
          </cell>
          <cell r="BM253" t="str">
            <v>000NIS</v>
          </cell>
          <cell r="BQ253" t="str">
            <v>000NIS</v>
          </cell>
          <cell r="BS253" t="str">
            <v>000NIS</v>
          </cell>
          <cell r="BU253" t="str">
            <v>000NIS</v>
          </cell>
          <cell r="BW253" t="str">
            <v>000NIS</v>
          </cell>
          <cell r="BX253" t="str">
            <v>000NIS</v>
          </cell>
          <cell r="BZ253" t="str">
            <v>000NIS</v>
          </cell>
          <cell r="CB253" t="str">
            <v>000NIS</v>
          </cell>
          <cell r="CD253">
            <v>0</v>
          </cell>
          <cell r="CF253" t="str">
            <v>000NIS</v>
          </cell>
          <cell r="CH253" t="str">
            <v>000NIS</v>
          </cell>
          <cell r="CJ253" t="str">
            <v>000NIS</v>
          </cell>
          <cell r="CL253" t="str">
            <v>000NIS</v>
          </cell>
          <cell r="CN253" t="str">
            <v>000NIS</v>
          </cell>
          <cell r="CP253" t="str">
            <v>000NIS</v>
          </cell>
          <cell r="CR253" t="str">
            <v>000NIS</v>
          </cell>
          <cell r="CT253" t="str">
            <v>000$</v>
          </cell>
          <cell r="CU253">
            <v>0</v>
          </cell>
          <cell r="CV253" t="str">
            <v>000NIS</v>
          </cell>
          <cell r="CX253" t="str">
            <v>000NIS</v>
          </cell>
          <cell r="FE253" t="str">
            <v>000$</v>
          </cell>
          <cell r="FM253" t="str">
            <v>000NIS</v>
          </cell>
          <cell r="FN253">
            <v>0</v>
          </cell>
          <cell r="FO253" t="str">
            <v>000NIS</v>
          </cell>
          <cell r="FR253" t="str">
            <v>000NIS</v>
          </cell>
          <cell r="FS253">
            <v>0</v>
          </cell>
          <cell r="FX253">
            <v>0</v>
          </cell>
          <cell r="FY253" t="str">
            <v>000NIS</v>
          </cell>
          <cell r="GA253">
            <v>0</v>
          </cell>
          <cell r="GB253">
            <v>0</v>
          </cell>
          <cell r="GD253">
            <v>0</v>
          </cell>
          <cell r="GE253">
            <v>0</v>
          </cell>
          <cell r="GF253" t="e">
            <v>#DIV/0!</v>
          </cell>
          <cell r="GH253">
            <v>0</v>
          </cell>
        </row>
        <row r="254">
          <cell r="A254" t="str">
            <v>INCOME\ subscribers fees</v>
          </cell>
          <cell r="I254">
            <v>0</v>
          </cell>
          <cell r="Q254">
            <v>-75668.119000000006</v>
          </cell>
          <cell r="U254">
            <v>-75668.119000000006</v>
          </cell>
          <cell r="X254">
            <v>-15254</v>
          </cell>
          <cell r="Z254">
            <v>-1518.3140000000001</v>
          </cell>
          <cell r="AD254">
            <v>-92440.433000000005</v>
          </cell>
          <cell r="AJ254">
            <v>0</v>
          </cell>
          <cell r="AL254">
            <v>-42317.017</v>
          </cell>
          <cell r="AP254">
            <v>-42317.017</v>
          </cell>
          <cell r="AT254">
            <v>-134757.45000000001</v>
          </cell>
          <cell r="AX254">
            <v>-134757.45000000001</v>
          </cell>
          <cell r="AZ254" t="str">
            <v>INCOME</v>
          </cell>
          <cell r="BI254">
            <v>0</v>
          </cell>
          <cell r="BQ254">
            <v>-286051.68199999997</v>
          </cell>
          <cell r="BU254">
            <v>-286051.68199999997</v>
          </cell>
          <cell r="BZ254">
            <v>-5734.06</v>
          </cell>
          <cell r="CD254">
            <v>-291785.74199999997</v>
          </cell>
          <cell r="CJ254">
            <v>0</v>
          </cell>
          <cell r="CL254">
            <v>-158720</v>
          </cell>
          <cell r="CP254">
            <v>-158720</v>
          </cell>
          <cell r="CQ254">
            <v>0</v>
          </cell>
          <cell r="CT254">
            <v>-450505.74199999997</v>
          </cell>
          <cell r="CU254">
            <v>0</v>
          </cell>
          <cell r="CX254">
            <v>-450505.74199999997</v>
          </cell>
          <cell r="FI254">
            <v>-300753.03200000001</v>
          </cell>
          <cell r="FK254">
            <v>-62980</v>
          </cell>
          <cell r="FL254">
            <v>-6023.0940000000001</v>
          </cell>
          <cell r="FN254">
            <v>-369756.12599999999</v>
          </cell>
          <cell r="FO254">
            <v>0</v>
          </cell>
          <cell r="FP254">
            <v>-167741</v>
          </cell>
          <cell r="FR254">
            <v>-167741</v>
          </cell>
          <cell r="FS254">
            <v>0</v>
          </cell>
          <cell r="FT254">
            <v>-537497.12599999993</v>
          </cell>
          <cell r="FV254">
            <v>-537497.12599999993</v>
          </cell>
          <cell r="FW254" t="str">
            <v>INCOME\ subscribers fees</v>
          </cell>
          <cell r="FX254">
            <v>-369756.12599999999</v>
          </cell>
          <cell r="FY254">
            <v>-167741</v>
          </cell>
          <cell r="GA254">
            <v>-537497.12599999993</v>
          </cell>
          <cell r="GB254">
            <v>-544704.69419591094</v>
          </cell>
          <cell r="GC254">
            <v>0</v>
          </cell>
          <cell r="GD254">
            <v>0</v>
          </cell>
          <cell r="GE254">
            <v>0</v>
          </cell>
          <cell r="GF254">
            <v>3.9886264247357004</v>
          </cell>
          <cell r="GG254">
            <v>-443872.54765055527</v>
          </cell>
          <cell r="GH254">
            <v>0</v>
          </cell>
        </row>
        <row r="255">
          <cell r="A255" t="str">
            <v>income from related parties</v>
          </cell>
          <cell r="M255" t="str">
            <v xml:space="preserve"> </v>
          </cell>
          <cell r="U255">
            <v>0</v>
          </cell>
          <cell r="AJ255">
            <v>0</v>
          </cell>
          <cell r="AP255">
            <v>0</v>
          </cell>
          <cell r="AT255">
            <v>0</v>
          </cell>
          <cell r="AX255">
            <v>0</v>
          </cell>
          <cell r="CJ255">
            <v>0</v>
          </cell>
          <cell r="CL255">
            <v>-5106</v>
          </cell>
          <cell r="CP255">
            <v>-5106</v>
          </cell>
          <cell r="CQ255">
            <v>0</v>
          </cell>
          <cell r="CT255">
            <v>-5106</v>
          </cell>
          <cell r="CU255">
            <v>0</v>
          </cell>
          <cell r="CX255">
            <v>-5106</v>
          </cell>
          <cell r="FN255">
            <v>0</v>
          </cell>
          <cell r="FR255">
            <v>0</v>
          </cell>
          <cell r="FT255">
            <v>0</v>
          </cell>
          <cell r="FW255" t="str">
            <v>income from related parties</v>
          </cell>
          <cell r="FX255">
            <v>0</v>
          </cell>
          <cell r="FY255">
            <v>0</v>
          </cell>
          <cell r="GA255">
            <v>0</v>
          </cell>
          <cell r="GB255">
            <v>0</v>
          </cell>
          <cell r="GC255">
            <v>0</v>
          </cell>
          <cell r="GD255">
            <v>0</v>
          </cell>
          <cell r="GE255">
            <v>0</v>
          </cell>
          <cell r="GF255" t="e">
            <v>#DIV/0!</v>
          </cell>
        </row>
        <row r="256">
          <cell r="A256" t="str">
            <v>other than subscribers\installation</v>
          </cell>
          <cell r="I256">
            <v>0</v>
          </cell>
          <cell r="M256" t="str">
            <v xml:space="preserve"> </v>
          </cell>
          <cell r="Q256">
            <v>-567.25199999999995</v>
          </cell>
          <cell r="U256">
            <v>-567.25199999999995</v>
          </cell>
          <cell r="X256">
            <v>-248.5</v>
          </cell>
          <cell r="Z256">
            <v>-9.0299999999999994</v>
          </cell>
          <cell r="AD256">
            <v>-824.78199999999993</v>
          </cell>
          <cell r="AJ256">
            <v>0</v>
          </cell>
          <cell r="AL256">
            <v>-1723.6110000000001</v>
          </cell>
          <cell r="AP256">
            <v>-1723.6110000000001</v>
          </cell>
          <cell r="AT256">
            <v>-2548.393</v>
          </cell>
          <cell r="AV256">
            <v>-1963.3520000000003</v>
          </cell>
          <cell r="AX256">
            <v>-4511.7450000000008</v>
          </cell>
          <cell r="AZ256" t="str">
            <v>other from subscribers</v>
          </cell>
          <cell r="BI256">
            <v>0</v>
          </cell>
          <cell r="BQ256">
            <v>-2276.9290000000001</v>
          </cell>
          <cell r="BU256">
            <v>-2276.9290000000001</v>
          </cell>
          <cell r="BZ256">
            <v>-38.411000000000001</v>
          </cell>
          <cell r="CD256">
            <v>-2315.34</v>
          </cell>
          <cell r="CJ256">
            <v>0</v>
          </cell>
          <cell r="CP256">
            <v>0</v>
          </cell>
          <cell r="CQ256">
            <v>0</v>
          </cell>
          <cell r="CT256">
            <v>-2315.34</v>
          </cell>
          <cell r="CU256">
            <v>0</v>
          </cell>
          <cell r="CV256">
            <v>-66062.256999999998</v>
          </cell>
          <cell r="CX256">
            <v>-68377.596999999994</v>
          </cell>
          <cell r="FI256">
            <v>-2319.9209999999998</v>
          </cell>
          <cell r="FK256">
            <v>-1028</v>
          </cell>
          <cell r="FL256">
            <v>-38.012</v>
          </cell>
          <cell r="FN256">
            <v>-3385.933</v>
          </cell>
          <cell r="FO256">
            <v>0</v>
          </cell>
          <cell r="FP256">
            <v>-6131</v>
          </cell>
          <cell r="FR256">
            <v>-6131</v>
          </cell>
          <cell r="FS256">
            <v>0</v>
          </cell>
          <cell r="FT256">
            <v>-9516.9330000000009</v>
          </cell>
          <cell r="FV256">
            <v>-9516.9330000000009</v>
          </cell>
          <cell r="FW256" t="str">
            <v>other than subscribers\installation</v>
          </cell>
          <cell r="FX256">
            <v>-3385.933</v>
          </cell>
          <cell r="FY256">
            <v>-6131</v>
          </cell>
          <cell r="GA256">
            <v>-9516.9330000000009</v>
          </cell>
          <cell r="GB256">
            <v>-9644.5503216476245</v>
          </cell>
          <cell r="GC256">
            <v>0</v>
          </cell>
          <cell r="GD256">
            <v>0</v>
          </cell>
          <cell r="GE256">
            <v>0</v>
          </cell>
          <cell r="GF256">
            <v>2.1093685480894862</v>
          </cell>
          <cell r="GG256">
            <v>-12724.068125408232</v>
          </cell>
          <cell r="GH256">
            <v>0</v>
          </cell>
        </row>
        <row r="257">
          <cell r="A257" t="str">
            <v>publishing\deposits</v>
          </cell>
          <cell r="I257">
            <v>0</v>
          </cell>
          <cell r="M257" t="str">
            <v xml:space="preserve"> </v>
          </cell>
          <cell r="Q257">
            <v>-1112.4390000000001</v>
          </cell>
          <cell r="U257">
            <v>-1112.4390000000001</v>
          </cell>
          <cell r="Z257">
            <v>-11.737</v>
          </cell>
          <cell r="AD257">
            <v>-1124.1760000000002</v>
          </cell>
          <cell r="AH257">
            <v>0</v>
          </cell>
          <cell r="AJ257">
            <v>0</v>
          </cell>
          <cell r="AP257">
            <v>0</v>
          </cell>
          <cell r="AT257">
            <v>-1124.1760000000002</v>
          </cell>
          <cell r="AV257">
            <v>1124.1760000000002</v>
          </cell>
          <cell r="AX257">
            <v>0</v>
          </cell>
          <cell r="AZ257" t="str">
            <v>publishing</v>
          </cell>
          <cell r="BI257">
            <v>0</v>
          </cell>
          <cell r="BQ257">
            <v>-2475.7150000000001</v>
          </cell>
          <cell r="BU257">
            <v>-2475.7150000000001</v>
          </cell>
          <cell r="BZ257">
            <v>-26.46</v>
          </cell>
          <cell r="CD257">
            <v>-2502.1750000000002</v>
          </cell>
          <cell r="CH257">
            <v>0</v>
          </cell>
          <cell r="CJ257">
            <v>0</v>
          </cell>
          <cell r="CP257">
            <v>0</v>
          </cell>
          <cell r="CQ257">
            <v>0</v>
          </cell>
          <cell r="CT257">
            <v>-2502.1750000000002</v>
          </cell>
          <cell r="CU257">
            <v>0</v>
          </cell>
          <cell r="CV257">
            <v>2502.1750000000002</v>
          </cell>
          <cell r="CX257">
            <v>0</v>
          </cell>
          <cell r="FI257">
            <v>-3517.7739999999999</v>
          </cell>
          <cell r="FL257">
            <v>-37.137</v>
          </cell>
          <cell r="FN257">
            <v>-3554.9110000000001</v>
          </cell>
          <cell r="FO257">
            <v>0</v>
          </cell>
          <cell r="FR257">
            <v>0</v>
          </cell>
          <cell r="FS257">
            <v>0</v>
          </cell>
          <cell r="FT257">
            <v>-3554.9110000000001</v>
          </cell>
          <cell r="FV257">
            <v>-3554.9110000000001</v>
          </cell>
          <cell r="FW257" t="str">
            <v>publishing\deposits</v>
          </cell>
          <cell r="FX257">
            <v>-3554.9110000000001</v>
          </cell>
          <cell r="FY257">
            <v>0</v>
          </cell>
          <cell r="GA257">
            <v>-3554.9110000000001</v>
          </cell>
          <cell r="GB257">
            <v>-3602.5805822609741</v>
          </cell>
          <cell r="GC257">
            <v>0</v>
          </cell>
          <cell r="GD257">
            <v>0</v>
          </cell>
          <cell r="GE257">
            <v>0</v>
          </cell>
          <cell r="GF257" t="e">
            <v>#DIV/0!</v>
          </cell>
          <cell r="GG257">
            <v>-10.344055519268453</v>
          </cell>
          <cell r="GH257">
            <v>0</v>
          </cell>
        </row>
        <row r="258">
          <cell r="A258" t="str">
            <v>management fees-from GC&amp;co</v>
          </cell>
          <cell r="C258">
            <v>-2389.4520000000002</v>
          </cell>
          <cell r="G258">
            <v>-1009.615</v>
          </cell>
          <cell r="I258">
            <v>-3399.067</v>
          </cell>
          <cell r="U258">
            <v>0</v>
          </cell>
          <cell r="AD258">
            <v>0</v>
          </cell>
          <cell r="AF258">
            <v>-26.103999999999999</v>
          </cell>
          <cell r="AJ258">
            <v>-26.103999999999999</v>
          </cell>
          <cell r="AN258">
            <v>26.103999999999999</v>
          </cell>
          <cell r="AP258">
            <v>0</v>
          </cell>
          <cell r="AT258">
            <v>-3399.067</v>
          </cell>
          <cell r="AV258">
            <v>3399.067</v>
          </cell>
          <cell r="AX258">
            <v>0</v>
          </cell>
          <cell r="AZ258" t="str">
            <v>management fees-from GC&amp;co</v>
          </cell>
          <cell r="BC258">
            <v>-9941.6869999999999</v>
          </cell>
          <cell r="BG258">
            <v>-4200</v>
          </cell>
          <cell r="BI258">
            <v>-14141.687</v>
          </cell>
          <cell r="BM258">
            <v>-11553.8285</v>
          </cell>
          <cell r="BU258">
            <v>0</v>
          </cell>
          <cell r="CD258">
            <v>0</v>
          </cell>
          <cell r="CQ258">
            <v>0</v>
          </cell>
          <cell r="CT258">
            <v>-25695.515500000001</v>
          </cell>
          <cell r="CU258">
            <v>0</v>
          </cell>
          <cell r="CV258">
            <v>25695.515500000001</v>
          </cell>
          <cell r="CX258">
            <v>0</v>
          </cell>
          <cell r="FC258">
            <v>-14141.687</v>
          </cell>
          <cell r="FF258">
            <v>-14141.687</v>
          </cell>
          <cell r="FN258">
            <v>0</v>
          </cell>
          <cell r="FO258">
            <v>-108.59399999999999</v>
          </cell>
          <cell r="FR258">
            <v>-108.59399999999999</v>
          </cell>
          <cell r="FS258">
            <v>0</v>
          </cell>
          <cell r="FT258">
            <v>-14250.280999999999</v>
          </cell>
          <cell r="FU258">
            <v>14250.280999999999</v>
          </cell>
          <cell r="FV258">
            <v>0</v>
          </cell>
          <cell r="FW258" t="str">
            <v>management fees-from GC&amp;co</v>
          </cell>
          <cell r="FX258">
            <v>0</v>
          </cell>
          <cell r="FY258">
            <v>-108.59399999999999</v>
          </cell>
          <cell r="FZ258">
            <v>14250.280999999999</v>
          </cell>
          <cell r="GA258">
            <v>14141.687</v>
          </cell>
          <cell r="GB258">
            <v>14331.319964582081</v>
          </cell>
          <cell r="GC258">
            <v>-14141.687</v>
          </cell>
          <cell r="GD258">
            <v>-14331.319964582081</v>
          </cell>
          <cell r="GE258">
            <v>-14141.687</v>
          </cell>
          <cell r="GF258" t="e">
            <v>#DIV/0!</v>
          </cell>
          <cell r="GG258">
            <v>0</v>
          </cell>
          <cell r="GH258">
            <v>0</v>
          </cell>
        </row>
        <row r="259">
          <cell r="A259" t="str">
            <v>management fees-from others</v>
          </cell>
          <cell r="C259">
            <v>-909.452</v>
          </cell>
          <cell r="E259">
            <v>-104.727</v>
          </cell>
          <cell r="G259">
            <v>0</v>
          </cell>
          <cell r="I259">
            <v>-1014.179</v>
          </cell>
          <cell r="M259" t="str">
            <v xml:space="preserve"> </v>
          </cell>
          <cell r="U259">
            <v>0</v>
          </cell>
          <cell r="AD259">
            <v>0</v>
          </cell>
          <cell r="AJ259">
            <v>0</v>
          </cell>
          <cell r="AP259">
            <v>0</v>
          </cell>
          <cell r="AT259">
            <v>-1014.179</v>
          </cell>
          <cell r="AV259">
            <v>1014.179</v>
          </cell>
          <cell r="AX259">
            <v>0</v>
          </cell>
          <cell r="AZ259" t="str">
            <v>management fees-from others</v>
          </cell>
          <cell r="BC259">
            <v>-3783.3209999999999</v>
          </cell>
          <cell r="BE259">
            <v>-367</v>
          </cell>
          <cell r="BI259">
            <v>-4150.3209999999999</v>
          </cell>
          <cell r="BU259">
            <v>0</v>
          </cell>
          <cell r="CD259">
            <v>0</v>
          </cell>
          <cell r="CF259">
            <v>-108.59399999999999</v>
          </cell>
          <cell r="CJ259">
            <v>-108.59399999999999</v>
          </cell>
          <cell r="CN259">
            <v>108.59399999999999</v>
          </cell>
          <cell r="CP259">
            <v>0</v>
          </cell>
          <cell r="CQ259">
            <v>0</v>
          </cell>
          <cell r="CT259">
            <v>-4150.3209999999999</v>
          </cell>
          <cell r="CU259">
            <v>0</v>
          </cell>
          <cell r="CV259">
            <v>4150.3209999999999</v>
          </cell>
          <cell r="CX259">
            <v>0</v>
          </cell>
          <cell r="FC259">
            <v>-3783.3209999999999</v>
          </cell>
          <cell r="FD259">
            <v>-397.33695539999997</v>
          </cell>
          <cell r="FE259">
            <v>0</v>
          </cell>
          <cell r="FF259">
            <v>-4180.6579554</v>
          </cell>
          <cell r="FN259">
            <v>0</v>
          </cell>
          <cell r="FQ259">
            <v>108.59399999999999</v>
          </cell>
          <cell r="FR259">
            <v>108.59399999999999</v>
          </cell>
          <cell r="FS259">
            <v>0</v>
          </cell>
          <cell r="FT259">
            <v>-4072.0639553999999</v>
          </cell>
          <cell r="FU259">
            <v>4072.0639553999999</v>
          </cell>
          <cell r="FV259">
            <v>0</v>
          </cell>
          <cell r="FW259" t="str">
            <v>management fees-from others</v>
          </cell>
          <cell r="FX259">
            <v>0</v>
          </cell>
          <cell r="FY259">
            <v>108.59399999999999</v>
          </cell>
          <cell r="FZ259">
            <v>4072.0639553999999</v>
          </cell>
          <cell r="GA259">
            <v>4180.6579554</v>
          </cell>
          <cell r="GB259">
            <v>4236.7184920238242</v>
          </cell>
          <cell r="GC259">
            <v>-4180.6579554</v>
          </cell>
          <cell r="GD259">
            <v>-4236.7184920238242</v>
          </cell>
          <cell r="GE259">
            <v>-4180.6579554</v>
          </cell>
          <cell r="GF259" t="e">
            <v>#DIV/0!</v>
          </cell>
          <cell r="GG259">
            <v>0</v>
          </cell>
          <cell r="GH259">
            <v>0</v>
          </cell>
        </row>
        <row r="260">
          <cell r="A260" t="str">
            <v>CATV guides</v>
          </cell>
          <cell r="M260">
            <v>-2920.330408653846</v>
          </cell>
          <cell r="AT260">
            <v>-2920.330408653846</v>
          </cell>
          <cell r="AX260">
            <v>-2920.330408653846</v>
          </cell>
          <cell r="FG260">
            <v>-12148.574500000001</v>
          </cell>
          <cell r="FT260">
            <v>-12148.574500000001</v>
          </cell>
          <cell r="FV260">
            <v>-12148.574500000001</v>
          </cell>
          <cell r="FX260">
            <v>0</v>
          </cell>
          <cell r="FY260">
            <v>0</v>
          </cell>
          <cell r="GA260">
            <v>0</v>
          </cell>
          <cell r="GB260">
            <v>0</v>
          </cell>
          <cell r="GC260">
            <v>-12148.574500000001</v>
          </cell>
          <cell r="GD260">
            <v>-12311.480820715575</v>
          </cell>
          <cell r="GE260">
            <v>-12148.574500000001</v>
          </cell>
          <cell r="GF260">
            <v>4.16</v>
          </cell>
        </row>
        <row r="261">
          <cell r="A261" t="str">
            <v>sales\other</v>
          </cell>
          <cell r="I261">
            <v>0</v>
          </cell>
          <cell r="M261" t="str">
            <v xml:space="preserve"> </v>
          </cell>
          <cell r="O261">
            <v>-12206</v>
          </cell>
          <cell r="Q261">
            <v>-597.59500000000003</v>
          </cell>
          <cell r="S261">
            <v>253.27500000000001</v>
          </cell>
          <cell r="U261">
            <v>-344.32</v>
          </cell>
          <cell r="X261">
            <v>-491</v>
          </cell>
          <cell r="Z261">
            <v>-3.8559999999999999</v>
          </cell>
          <cell r="AD261">
            <v>-839.17600000000004</v>
          </cell>
          <cell r="AT261">
            <v>-13045.175999999999</v>
          </cell>
          <cell r="AV261">
            <v>839.17600000000004</v>
          </cell>
          <cell r="AX261">
            <v>-12206</v>
          </cell>
          <cell r="AZ261" t="str">
            <v>sales</v>
          </cell>
          <cell r="BI261">
            <v>0</v>
          </cell>
          <cell r="BO261">
            <v>-46539</v>
          </cell>
          <cell r="BQ261">
            <v>-2285.4279999999999</v>
          </cell>
          <cell r="BU261">
            <v>-2285.4279999999999</v>
          </cell>
          <cell r="BX261">
            <v>-61260</v>
          </cell>
          <cell r="BZ261">
            <v>-14.654</v>
          </cell>
          <cell r="CD261">
            <v>-63560.082000000002</v>
          </cell>
          <cell r="CJ261">
            <v>0</v>
          </cell>
          <cell r="CP261">
            <v>0</v>
          </cell>
          <cell r="CQ261">
            <v>0</v>
          </cell>
          <cell r="CR261">
            <v>-5085.8100000000004</v>
          </cell>
          <cell r="CT261">
            <v>-115184.89200000001</v>
          </cell>
          <cell r="CU261">
            <v>0</v>
          </cell>
          <cell r="CV261">
            <v>63560.082000000002</v>
          </cell>
          <cell r="CX261">
            <v>-51624.81</v>
          </cell>
          <cell r="FH261">
            <v>-48773</v>
          </cell>
          <cell r="FI261">
            <v>-1347.942</v>
          </cell>
          <cell r="FK261">
            <v>-2027</v>
          </cell>
          <cell r="FL261">
            <v>-15.336</v>
          </cell>
          <cell r="FN261">
            <v>-3390.2779999999998</v>
          </cell>
          <cell r="FO261">
            <v>0</v>
          </cell>
          <cell r="FR261">
            <v>0</v>
          </cell>
          <cell r="FS261">
            <v>0</v>
          </cell>
          <cell r="FT261">
            <v>-52163.277999999998</v>
          </cell>
          <cell r="FV261">
            <v>-52163.277999999998</v>
          </cell>
          <cell r="FW261" t="str">
            <v>sales\other</v>
          </cell>
          <cell r="FX261">
            <v>-3390.2779999999998</v>
          </cell>
          <cell r="FY261">
            <v>0</v>
          </cell>
          <cell r="GA261">
            <v>-3390.2779999999998</v>
          </cell>
          <cell r="GB261">
            <v>-3435.7399358989774</v>
          </cell>
          <cell r="GC261">
            <v>-48773</v>
          </cell>
          <cell r="GD261">
            <v>-49427.021587492483</v>
          </cell>
          <cell r="GE261">
            <v>-48773</v>
          </cell>
          <cell r="GF261">
            <v>4.2735767655251511</v>
          </cell>
          <cell r="GG261">
            <v>-34267.770083335439</v>
          </cell>
          <cell r="GH261">
            <v>0</v>
          </cell>
        </row>
        <row r="262">
          <cell r="A262" t="str">
            <v>rental</v>
          </cell>
          <cell r="M262" t="str">
            <v xml:space="preserve"> </v>
          </cell>
          <cell r="AD262">
            <v>0</v>
          </cell>
          <cell r="AJ262">
            <v>0</v>
          </cell>
          <cell r="AP262">
            <v>0</v>
          </cell>
          <cell r="AR262">
            <v>-1341.8989999999999</v>
          </cell>
          <cell r="AT262">
            <v>-1341.8989999999999</v>
          </cell>
          <cell r="AV262">
            <v>532.08199999999999</v>
          </cell>
          <cell r="AX262">
            <v>-809.81699999999989</v>
          </cell>
          <cell r="AZ262" t="str">
            <v>Rental</v>
          </cell>
          <cell r="CD262">
            <v>0</v>
          </cell>
          <cell r="CP262">
            <v>0</v>
          </cell>
          <cell r="CQ262">
            <v>0</v>
          </cell>
          <cell r="CR262">
            <v>-1898.53</v>
          </cell>
          <cell r="CT262">
            <v>-1898.53</v>
          </cell>
          <cell r="CU262">
            <v>0</v>
          </cell>
          <cell r="CV262">
            <v>2088.9304999999999</v>
          </cell>
          <cell r="CX262">
            <v>190.40049999999997</v>
          </cell>
          <cell r="FN262">
            <v>0</v>
          </cell>
          <cell r="FR262">
            <v>0</v>
          </cell>
          <cell r="FS262">
            <v>-5310.13</v>
          </cell>
          <cell r="FT262">
            <v>-5310.13</v>
          </cell>
          <cell r="FU262">
            <v>2045.85529</v>
          </cell>
          <cell r="FV262">
            <v>-3264.2747100000001</v>
          </cell>
          <cell r="FW262" t="str">
            <v>rental</v>
          </cell>
          <cell r="FX262">
            <v>0</v>
          </cell>
          <cell r="FY262">
            <v>0</v>
          </cell>
          <cell r="FZ262">
            <v>1120</v>
          </cell>
          <cell r="GA262">
            <v>1120</v>
          </cell>
          <cell r="GB262">
            <v>1135.0186410102224</v>
          </cell>
          <cell r="GC262">
            <v>-4384.2747099999997</v>
          </cell>
          <cell r="GD262">
            <v>-4443.0656456782917</v>
          </cell>
          <cell r="GE262">
            <v>-4384.2747099999997</v>
          </cell>
          <cell r="GF262">
            <v>4.0308794579516123</v>
          </cell>
          <cell r="GG262">
            <v>-421.36792031352064</v>
          </cell>
          <cell r="GH262">
            <v>0</v>
          </cell>
        </row>
        <row r="263">
          <cell r="A263" t="str">
            <v>building maintenance</v>
          </cell>
          <cell r="G263">
            <v>0</v>
          </cell>
          <cell r="I263">
            <v>0</v>
          </cell>
          <cell r="M263" t="str">
            <v xml:space="preserve"> </v>
          </cell>
          <cell r="U263">
            <v>0</v>
          </cell>
          <cell r="AD263">
            <v>0</v>
          </cell>
          <cell r="AJ263">
            <v>0</v>
          </cell>
          <cell r="AP263">
            <v>0</v>
          </cell>
          <cell r="AR263">
            <v>-500.70600000000002</v>
          </cell>
          <cell r="AT263">
            <v>-500.70600000000002</v>
          </cell>
          <cell r="AV263">
            <v>165.09949999999998</v>
          </cell>
          <cell r="AX263">
            <v>-335.60650000000004</v>
          </cell>
          <cell r="AZ263" t="str">
            <v>services</v>
          </cell>
          <cell r="BA263" t="str">
            <v>services</v>
          </cell>
          <cell r="BE263">
            <v>0</v>
          </cell>
          <cell r="BG263">
            <v>0</v>
          </cell>
          <cell r="BI263">
            <v>0</v>
          </cell>
          <cell r="BU263">
            <v>0</v>
          </cell>
          <cell r="BX263">
            <v>-253.5</v>
          </cell>
          <cell r="CD263">
            <v>-253.5</v>
          </cell>
          <cell r="CJ263">
            <v>0</v>
          </cell>
          <cell r="CP263">
            <v>0</v>
          </cell>
          <cell r="CQ263">
            <v>0</v>
          </cell>
          <cell r="CT263">
            <v>-253.5</v>
          </cell>
          <cell r="CU263">
            <v>0</v>
          </cell>
          <cell r="CV263">
            <v>638.11749999999995</v>
          </cell>
          <cell r="CX263">
            <v>384.61750000000001</v>
          </cell>
          <cell r="FE263">
            <v>0</v>
          </cell>
          <cell r="FN263">
            <v>0</v>
          </cell>
          <cell r="FO263">
            <v>0</v>
          </cell>
          <cell r="FR263">
            <v>0</v>
          </cell>
          <cell r="FS263">
            <v>-1985.846</v>
          </cell>
          <cell r="FT263">
            <v>-1985.846</v>
          </cell>
          <cell r="FU263">
            <v>634.80757749999998</v>
          </cell>
          <cell r="FV263">
            <v>-1351.0384225</v>
          </cell>
          <cell r="FW263" t="str">
            <v>services</v>
          </cell>
          <cell r="FX263">
            <v>0</v>
          </cell>
          <cell r="FY263">
            <v>0</v>
          </cell>
          <cell r="GA263">
            <v>0</v>
          </cell>
          <cell r="GB263">
            <v>0</v>
          </cell>
          <cell r="GC263">
            <v>-1351.0384225</v>
          </cell>
          <cell r="GD263">
            <v>-1369.1551734451293</v>
          </cell>
          <cell r="GE263">
            <v>-1351.0384225</v>
          </cell>
          <cell r="GF263">
            <v>4.0256622636927473</v>
          </cell>
          <cell r="GG263">
            <v>-19668.814781188768</v>
          </cell>
          <cell r="GH263">
            <v>0</v>
          </cell>
        </row>
        <row r="264">
          <cell r="C264">
            <v>-3298.9040000000005</v>
          </cell>
          <cell r="E264">
            <v>-104.727</v>
          </cell>
          <cell r="G264">
            <v>-1009.615</v>
          </cell>
          <cell r="I264">
            <v>-4413.2460000000001</v>
          </cell>
          <cell r="M264">
            <v>-2920.330408653846</v>
          </cell>
          <cell r="O264">
            <v>-12206</v>
          </cell>
          <cell r="Q264">
            <v>-77945.404999999999</v>
          </cell>
          <cell r="S264">
            <v>253.27500000000001</v>
          </cell>
          <cell r="U264">
            <v>-77692.13</v>
          </cell>
          <cell r="W264">
            <v>0</v>
          </cell>
          <cell r="X264">
            <v>-15993.5</v>
          </cell>
          <cell r="Z264">
            <v>-1542.9370000000001</v>
          </cell>
          <cell r="AB264">
            <v>0</v>
          </cell>
          <cell r="AD264">
            <v>-95228.567000000025</v>
          </cell>
          <cell r="AF264">
            <v>-26.103999999999999</v>
          </cell>
          <cell r="AH264">
            <v>0</v>
          </cell>
          <cell r="AJ264">
            <v>-26.103999999999999</v>
          </cell>
          <cell r="AL264">
            <v>-44040.627999999997</v>
          </cell>
          <cell r="AN264">
            <v>26.103999999999999</v>
          </cell>
          <cell r="AP264">
            <v>-44040.627999999997</v>
          </cell>
          <cell r="AR264">
            <v>-1842.605</v>
          </cell>
          <cell r="AT264">
            <v>-160651.37640865392</v>
          </cell>
          <cell r="AV264">
            <v>5110.4275000000007</v>
          </cell>
          <cell r="AX264">
            <v>-155540.94890865387</v>
          </cell>
          <cell r="BC264">
            <v>-13725.008</v>
          </cell>
          <cell r="BE264">
            <v>-367</v>
          </cell>
          <cell r="BG264">
            <v>-4200</v>
          </cell>
          <cell r="BI264">
            <v>-18292.008000000002</v>
          </cell>
          <cell r="BM264">
            <v>-11553.8285</v>
          </cell>
          <cell r="BO264">
            <v>-46539</v>
          </cell>
          <cell r="BQ264">
            <v>-293089.75400000002</v>
          </cell>
          <cell r="BS264">
            <v>0</v>
          </cell>
          <cell r="BU264">
            <v>-293089.75400000002</v>
          </cell>
          <cell r="BW264">
            <v>0</v>
          </cell>
          <cell r="BX264">
            <v>-61513.5</v>
          </cell>
          <cell r="BZ264">
            <v>-5813.5850000000009</v>
          </cell>
          <cell r="CB264">
            <v>0</v>
          </cell>
          <cell r="CD264">
            <v>-360416.83900000004</v>
          </cell>
          <cell r="CF264">
            <v>-108.59399999999999</v>
          </cell>
          <cell r="CH264">
            <v>0</v>
          </cell>
          <cell r="CJ264">
            <v>-108.59399999999999</v>
          </cell>
          <cell r="CL264">
            <v>-163826</v>
          </cell>
          <cell r="CN264">
            <v>108.59399999999999</v>
          </cell>
          <cell r="CP264">
            <v>-163826</v>
          </cell>
          <cell r="CQ264">
            <v>0</v>
          </cell>
          <cell r="CR264">
            <v>-6984.34</v>
          </cell>
          <cell r="CT264">
            <v>-607612.01549999998</v>
          </cell>
          <cell r="CU264">
            <v>0</v>
          </cell>
          <cell r="CV264">
            <v>32572.884500000011</v>
          </cell>
          <cell r="CX264">
            <v>-575039.13099999994</v>
          </cell>
          <cell r="FC264">
            <v>-17925.008000000002</v>
          </cell>
          <cell r="FD264">
            <v>-397.33695539999997</v>
          </cell>
          <cell r="FE264">
            <v>0</v>
          </cell>
          <cell r="FF264">
            <v>-18322.3449554</v>
          </cell>
          <cell r="FG264">
            <v>-12148.574500000001</v>
          </cell>
          <cell r="FH264">
            <v>-48773</v>
          </cell>
          <cell r="FI264">
            <v>-307938.66899999994</v>
          </cell>
          <cell r="FJ264">
            <v>0</v>
          </cell>
          <cell r="FK264">
            <v>-66035</v>
          </cell>
          <cell r="FL264">
            <v>-6113.5789999999997</v>
          </cell>
          <cell r="FM264">
            <v>0</v>
          </cell>
          <cell r="FN264">
            <v>-380087.24800000002</v>
          </cell>
          <cell r="FO264">
            <v>-108.59399999999999</v>
          </cell>
          <cell r="FP264">
            <v>-173872</v>
          </cell>
          <cell r="FQ264">
            <v>108.59399999999999</v>
          </cell>
          <cell r="FR264">
            <v>-173872</v>
          </cell>
          <cell r="FS264">
            <v>-7295.9760000000006</v>
          </cell>
          <cell r="FT264">
            <v>-640499.1434553999</v>
          </cell>
          <cell r="FU264">
            <v>21003.007822899999</v>
          </cell>
          <cell r="FV264">
            <v>-619496.13563249994</v>
          </cell>
          <cell r="FX264">
            <v>-380087.24800000002</v>
          </cell>
          <cell r="FY264">
            <v>-173872</v>
          </cell>
          <cell r="FZ264">
            <v>19442.3449554</v>
          </cell>
          <cell r="GA264">
            <v>-534516.90304459992</v>
          </cell>
          <cell r="GB264">
            <v>-541684.50793810224</v>
          </cell>
          <cell r="GC264">
            <v>-84979.232587899998</v>
          </cell>
          <cell r="GD264">
            <v>-86118.76168393738</v>
          </cell>
          <cell r="GE264">
            <v>-84979.232587900013</v>
          </cell>
          <cell r="GF264">
            <v>3.9828491466663083</v>
          </cell>
          <cell r="GG264">
            <v>-510964.91261632048</v>
          </cell>
          <cell r="GH264">
            <v>0</v>
          </cell>
        </row>
        <row r="265">
          <cell r="A265" t="str">
            <v>OPERATING EXP.</v>
          </cell>
          <cell r="E265" t="str">
            <v xml:space="preserve"> </v>
          </cell>
          <cell r="AJ265">
            <v>0</v>
          </cell>
          <cell r="AP265">
            <v>0</v>
          </cell>
          <cell r="AT265">
            <v>0</v>
          </cell>
          <cell r="AZ265" t="str">
            <v>OPERATING EXP.</v>
          </cell>
          <cell r="CD265">
            <v>0</v>
          </cell>
          <cell r="CJ265">
            <v>0</v>
          </cell>
          <cell r="CP265">
            <v>0</v>
          </cell>
          <cell r="CQ265">
            <v>0</v>
          </cell>
          <cell r="CT265">
            <v>0</v>
          </cell>
          <cell r="CU265">
            <v>0</v>
          </cell>
          <cell r="FO265">
            <v>0</v>
          </cell>
          <cell r="FW265" t="str">
            <v>OPERATING EXP.</v>
          </cell>
          <cell r="FX265">
            <v>0</v>
          </cell>
          <cell r="FY265">
            <v>0</v>
          </cell>
          <cell r="GA265">
            <v>0</v>
          </cell>
          <cell r="GB265">
            <v>0</v>
          </cell>
          <cell r="GC265">
            <v>0</v>
          </cell>
          <cell r="GD265">
            <v>0</v>
          </cell>
          <cell r="GE265">
            <v>0</v>
          </cell>
          <cell r="GF265" t="e">
            <v>#DIV/0!</v>
          </cell>
          <cell r="GH265">
            <v>0</v>
          </cell>
        </row>
        <row r="266">
          <cell r="A266" t="str">
            <v>salaries</v>
          </cell>
          <cell r="I266">
            <v>0</v>
          </cell>
          <cell r="M266">
            <v>367.18016826923076</v>
          </cell>
          <cell r="Q266">
            <v>6584.8559999999998</v>
          </cell>
          <cell r="U266">
            <v>6584.8559999999998</v>
          </cell>
          <cell r="X266">
            <v>1260.5</v>
          </cell>
          <cell r="AD266">
            <v>7845.3559999999998</v>
          </cell>
          <cell r="AJ266">
            <v>0</v>
          </cell>
          <cell r="AL266">
            <v>380.88499999999999</v>
          </cell>
          <cell r="AP266">
            <v>380.88499999999999</v>
          </cell>
          <cell r="AR266">
            <v>190.41499999999999</v>
          </cell>
          <cell r="AT266">
            <v>8783.8361682692303</v>
          </cell>
          <cell r="AV266">
            <v>-190.41499999999999</v>
          </cell>
          <cell r="AX266">
            <v>8593.4211682692294</v>
          </cell>
          <cell r="AZ266" t="str">
            <v>salaries</v>
          </cell>
          <cell r="BI266">
            <v>0</v>
          </cell>
          <cell r="BM266">
            <v>1464.0305000000001</v>
          </cell>
          <cell r="BQ266">
            <v>25387.791000000001</v>
          </cell>
          <cell r="BU266">
            <v>25387.791000000001</v>
          </cell>
          <cell r="BX266">
            <v>4855</v>
          </cell>
          <cell r="CD266">
            <v>30242.791000000001</v>
          </cell>
          <cell r="CJ266">
            <v>0</v>
          </cell>
          <cell r="CL266">
            <v>1394</v>
          </cell>
          <cell r="CP266">
            <v>1394</v>
          </cell>
          <cell r="CQ266">
            <v>0</v>
          </cell>
          <cell r="CR266">
            <v>738.75400000000002</v>
          </cell>
          <cell r="CT266">
            <v>33839.575499999999</v>
          </cell>
          <cell r="CU266">
            <v>0</v>
          </cell>
          <cell r="CX266">
            <v>33839.575499999999</v>
          </cell>
          <cell r="FG266">
            <v>1527.4694999999999</v>
          </cell>
          <cell r="FI266">
            <v>26458.788</v>
          </cell>
          <cell r="FK266">
            <v>5097</v>
          </cell>
          <cell r="FN266">
            <v>31555.788</v>
          </cell>
          <cell r="FO266">
            <v>0</v>
          </cell>
          <cell r="FP266">
            <v>1493</v>
          </cell>
          <cell r="FR266">
            <v>1493</v>
          </cell>
          <cell r="FS266">
            <v>766.06899999999996</v>
          </cell>
          <cell r="FT266">
            <v>35342.326500000003</v>
          </cell>
          <cell r="FU266">
            <v>-766.06899999999996</v>
          </cell>
          <cell r="FV266">
            <v>34576.2575</v>
          </cell>
          <cell r="FW266" t="str">
            <v>salaries</v>
          </cell>
          <cell r="FX266">
            <v>31555.788</v>
          </cell>
          <cell r="FY266">
            <v>1493</v>
          </cell>
          <cell r="GA266">
            <v>33048.788</v>
          </cell>
          <cell r="GB266">
            <v>33491.955752495487</v>
          </cell>
          <cell r="GC266">
            <v>1527.4694999999992</v>
          </cell>
          <cell r="GD266">
            <v>1547.9521036380027</v>
          </cell>
          <cell r="GE266">
            <v>1527.4694999999992</v>
          </cell>
          <cell r="GF266">
            <v>4.0235730127683107</v>
          </cell>
          <cell r="GG266">
            <v>30612.119044284784</v>
          </cell>
          <cell r="GH266">
            <v>0</v>
          </cell>
        </row>
        <row r="267">
          <cell r="A267" t="str">
            <v>cost of sales and installation</v>
          </cell>
          <cell r="I267">
            <v>0</v>
          </cell>
          <cell r="M267" t="str">
            <v xml:space="preserve"> </v>
          </cell>
          <cell r="O267">
            <v>8538</v>
          </cell>
          <cell r="U267">
            <v>0</v>
          </cell>
          <cell r="AD267">
            <v>0</v>
          </cell>
          <cell r="AJ267">
            <v>0</v>
          </cell>
          <cell r="AP267">
            <v>0</v>
          </cell>
          <cell r="AT267">
            <v>8538</v>
          </cell>
          <cell r="AX267">
            <v>8538</v>
          </cell>
          <cell r="AZ267" t="str">
            <v>cost of sales and installation</v>
          </cell>
          <cell r="BI267">
            <v>0</v>
          </cell>
          <cell r="BO267">
            <v>30964.5</v>
          </cell>
          <cell r="BU267">
            <v>0</v>
          </cell>
          <cell r="CD267">
            <v>0</v>
          </cell>
          <cell r="CJ267">
            <v>0</v>
          </cell>
          <cell r="CP267">
            <v>0</v>
          </cell>
          <cell r="CQ267">
            <v>0</v>
          </cell>
          <cell r="CT267">
            <v>30964.5</v>
          </cell>
          <cell r="CU267">
            <v>0</v>
          </cell>
          <cell r="CX267">
            <v>30964.5</v>
          </cell>
          <cell r="FH267">
            <v>33389.5</v>
          </cell>
          <cell r="FN267">
            <v>0</v>
          </cell>
          <cell r="FO267">
            <v>0</v>
          </cell>
          <cell r="FR267">
            <v>0</v>
          </cell>
          <cell r="FS267">
            <v>0</v>
          </cell>
          <cell r="FT267">
            <v>33389.5</v>
          </cell>
          <cell r="FV267">
            <v>33389.5</v>
          </cell>
          <cell r="FW267" t="str">
            <v>Purchases</v>
          </cell>
          <cell r="FX267">
            <v>0</v>
          </cell>
          <cell r="FY267">
            <v>0</v>
          </cell>
          <cell r="GA267">
            <v>0</v>
          </cell>
          <cell r="GB267">
            <v>0</v>
          </cell>
          <cell r="GC267">
            <v>33389.5</v>
          </cell>
          <cell r="GD267">
            <v>33837.236530366805</v>
          </cell>
          <cell r="GE267">
            <v>33389.5</v>
          </cell>
          <cell r="GF267">
            <v>3.9106933708128366</v>
          </cell>
          <cell r="GG267">
            <v>17112.04835942671</v>
          </cell>
          <cell r="GH267">
            <v>0</v>
          </cell>
        </row>
        <row r="268">
          <cell r="A268" t="str">
            <v>unsuccesful bid</v>
          </cell>
          <cell r="C268">
            <v>-9.7430000000000003</v>
          </cell>
          <cell r="I268">
            <v>-9.7430000000000003</v>
          </cell>
          <cell r="M268" t="str">
            <v xml:space="preserve"> </v>
          </cell>
          <cell r="U268">
            <v>0</v>
          </cell>
          <cell r="AD268">
            <v>0</v>
          </cell>
          <cell r="AJ268">
            <v>0</v>
          </cell>
          <cell r="AP268">
            <v>0</v>
          </cell>
          <cell r="AT268">
            <v>-9.7430000000000003</v>
          </cell>
          <cell r="AV268">
            <v>0</v>
          </cell>
          <cell r="AX268">
            <v>-9.7430000000000003</v>
          </cell>
          <cell r="AZ268" t="str">
            <v>unsuccesful bid</v>
          </cell>
          <cell r="BC268">
            <v>-27.184999999999999</v>
          </cell>
          <cell r="BI268">
            <v>-27.184999999999999</v>
          </cell>
          <cell r="BU268">
            <v>0</v>
          </cell>
          <cell r="CD268">
            <v>0</v>
          </cell>
          <cell r="CJ268">
            <v>0</v>
          </cell>
          <cell r="CP268">
            <v>0</v>
          </cell>
          <cell r="CQ268">
            <v>0</v>
          </cell>
          <cell r="CT268">
            <v>-27.184999999999999</v>
          </cell>
          <cell r="CU268">
            <v>0</v>
          </cell>
          <cell r="CV268">
            <v>0</v>
          </cell>
          <cell r="CX268">
            <v>-27.184999999999999</v>
          </cell>
          <cell r="FC268">
            <v>-28.384</v>
          </cell>
          <cell r="FF268">
            <v>-28.384</v>
          </cell>
          <cell r="FN268">
            <v>0</v>
          </cell>
          <cell r="FO268">
            <v>0</v>
          </cell>
          <cell r="FR268">
            <v>0</v>
          </cell>
          <cell r="FS268">
            <v>0</v>
          </cell>
          <cell r="FT268">
            <v>-28.384</v>
          </cell>
          <cell r="FU268">
            <v>0</v>
          </cell>
          <cell r="FV268">
            <v>-28.384</v>
          </cell>
          <cell r="FW268" t="str">
            <v>unsuccesful bid</v>
          </cell>
          <cell r="FX268">
            <v>0</v>
          </cell>
          <cell r="FY268">
            <v>0</v>
          </cell>
          <cell r="GA268">
            <v>0</v>
          </cell>
          <cell r="GB268">
            <v>0</v>
          </cell>
          <cell r="GC268">
            <v>-28.384</v>
          </cell>
          <cell r="GD268">
            <v>-28.764615273601922</v>
          </cell>
          <cell r="GE268">
            <v>-28.384</v>
          </cell>
          <cell r="GF268">
            <v>2.9132710664066508</v>
          </cell>
          <cell r="GG268">
            <v>1631.0836518615286</v>
          </cell>
          <cell r="GH268">
            <v>0</v>
          </cell>
        </row>
        <row r="269">
          <cell r="A269" t="str">
            <v>consulting</v>
          </cell>
          <cell r="I269">
            <v>0</v>
          </cell>
          <cell r="M269" t="str">
            <v xml:space="preserve"> </v>
          </cell>
          <cell r="Q269">
            <v>22.762</v>
          </cell>
          <cell r="U269">
            <v>22.762</v>
          </cell>
          <cell r="AD269">
            <v>22.762</v>
          </cell>
          <cell r="AJ269">
            <v>0</v>
          </cell>
          <cell r="AP269">
            <v>0</v>
          </cell>
          <cell r="AT269">
            <v>22.762</v>
          </cell>
          <cell r="AV269">
            <v>0</v>
          </cell>
          <cell r="AX269">
            <v>22.762</v>
          </cell>
          <cell r="AZ269" t="str">
            <v>consulting</v>
          </cell>
          <cell r="BI269">
            <v>0</v>
          </cell>
          <cell r="BQ269">
            <v>82.872</v>
          </cell>
          <cell r="BU269">
            <v>82.872</v>
          </cell>
          <cell r="CD269">
            <v>82.872</v>
          </cell>
          <cell r="CJ269">
            <v>0</v>
          </cell>
          <cell r="CP269">
            <v>0</v>
          </cell>
          <cell r="CQ269">
            <v>0</v>
          </cell>
          <cell r="CT269">
            <v>82.872</v>
          </cell>
          <cell r="CU269">
            <v>0</v>
          </cell>
          <cell r="CV269">
            <v>0</v>
          </cell>
          <cell r="CX269">
            <v>82.872</v>
          </cell>
          <cell r="FI269">
            <v>89.084000000000003</v>
          </cell>
          <cell r="FN269">
            <v>89.084000000000003</v>
          </cell>
          <cell r="FO269">
            <v>0</v>
          </cell>
          <cell r="FR269">
            <v>0</v>
          </cell>
          <cell r="FS269">
            <v>0</v>
          </cell>
          <cell r="FT269">
            <v>89.084000000000003</v>
          </cell>
          <cell r="FU269">
            <v>0</v>
          </cell>
          <cell r="FV269">
            <v>89.084000000000003</v>
          </cell>
          <cell r="FW269" t="str">
            <v>consulting</v>
          </cell>
          <cell r="FX269">
            <v>89.084000000000003</v>
          </cell>
          <cell r="FY269">
            <v>0</v>
          </cell>
          <cell r="GA269">
            <v>89.084000000000003</v>
          </cell>
          <cell r="GB269">
            <v>90.278571978352375</v>
          </cell>
          <cell r="GC269">
            <v>0</v>
          </cell>
          <cell r="GD269">
            <v>0</v>
          </cell>
          <cell r="GE269">
            <v>0</v>
          </cell>
          <cell r="GF269">
            <v>3.9137158421931288</v>
          </cell>
          <cell r="GG269">
            <v>42.331007838014372</v>
          </cell>
          <cell r="GH269">
            <v>0</v>
          </cell>
        </row>
        <row r="270">
          <cell r="A270" t="str">
            <v>FRANCHISE EXP&amp;ROYALTIES</v>
          </cell>
          <cell r="I270">
            <v>0</v>
          </cell>
          <cell r="M270" t="str">
            <v xml:space="preserve"> </v>
          </cell>
          <cell r="Q270">
            <v>5658.82</v>
          </cell>
          <cell r="U270">
            <v>5658.82</v>
          </cell>
          <cell r="X270">
            <v>764</v>
          </cell>
          <cell r="Z270">
            <v>174.53200000000001</v>
          </cell>
          <cell r="AD270">
            <v>6597.3520000000008</v>
          </cell>
          <cell r="AJ270">
            <v>0</v>
          </cell>
          <cell r="AL270">
            <v>3145.46</v>
          </cell>
          <cell r="AP270">
            <v>3145.46</v>
          </cell>
          <cell r="AT270">
            <v>9742.8120000000017</v>
          </cell>
          <cell r="AV270">
            <v>0</v>
          </cell>
          <cell r="AX270">
            <v>9742.8120000000017</v>
          </cell>
          <cell r="AZ270" t="str">
            <v>FRANCHISE EXP&amp;ROYALTIES</v>
          </cell>
          <cell r="BI270">
            <v>0</v>
          </cell>
          <cell r="BQ270">
            <v>22299.835999999999</v>
          </cell>
          <cell r="BU270">
            <v>22299.835999999999</v>
          </cell>
          <cell r="BX270">
            <v>2985</v>
          </cell>
          <cell r="BZ270">
            <v>685.72</v>
          </cell>
          <cell r="CD270">
            <v>25970.556</v>
          </cell>
          <cell r="CJ270">
            <v>0</v>
          </cell>
          <cell r="CL270">
            <v>12402</v>
          </cell>
          <cell r="CP270">
            <v>12402</v>
          </cell>
          <cell r="CQ270">
            <v>0</v>
          </cell>
          <cell r="CT270">
            <v>38372.555999999997</v>
          </cell>
          <cell r="CU270">
            <v>0</v>
          </cell>
          <cell r="CV270">
            <v>0</v>
          </cell>
          <cell r="CX270">
            <v>38372.555999999997</v>
          </cell>
          <cell r="FI270">
            <v>23120.976999999999</v>
          </cell>
          <cell r="FK270">
            <v>3211</v>
          </cell>
          <cell r="FL270">
            <v>708.55799999999999</v>
          </cell>
          <cell r="FN270">
            <v>27040.535</v>
          </cell>
          <cell r="FO270">
            <v>0</v>
          </cell>
          <cell r="FP270">
            <v>12752</v>
          </cell>
          <cell r="FR270">
            <v>12752</v>
          </cell>
          <cell r="FS270">
            <v>0</v>
          </cell>
          <cell r="FT270">
            <v>39792.535000000003</v>
          </cell>
          <cell r="FU270">
            <v>0</v>
          </cell>
          <cell r="FV270">
            <v>39792.535000000003</v>
          </cell>
          <cell r="FW270" t="str">
            <v>FRANCHISE EXP&amp;ROYALTIES</v>
          </cell>
          <cell r="FX270">
            <v>27040.535</v>
          </cell>
          <cell r="FY270">
            <v>12752</v>
          </cell>
          <cell r="GA270">
            <v>39792.535000000003</v>
          </cell>
          <cell r="GB270">
            <v>40326.133033974744</v>
          </cell>
          <cell r="GC270">
            <v>0</v>
          </cell>
          <cell r="GD270">
            <v>0</v>
          </cell>
          <cell r="GE270">
            <v>0</v>
          </cell>
          <cell r="GF270">
            <v>4.084296710231091</v>
          </cell>
          <cell r="GG270">
            <v>33554.082704114968</v>
          </cell>
          <cell r="GH270">
            <v>0</v>
          </cell>
        </row>
        <row r="271">
          <cell r="A271" t="str">
            <v>car &amp; travel</v>
          </cell>
          <cell r="I271">
            <v>0</v>
          </cell>
          <cell r="M271" t="str">
            <v xml:space="preserve"> </v>
          </cell>
          <cell r="Q271">
            <v>1038.7139999999999</v>
          </cell>
          <cell r="U271">
            <v>1038.7139999999999</v>
          </cell>
          <cell r="X271">
            <v>54.5</v>
          </cell>
          <cell r="AD271">
            <v>1093.2139999999999</v>
          </cell>
          <cell r="AJ271">
            <v>0</v>
          </cell>
          <cell r="AL271">
            <v>179.774</v>
          </cell>
          <cell r="AP271">
            <v>179.774</v>
          </cell>
          <cell r="AT271">
            <v>1272.9879999999998</v>
          </cell>
          <cell r="AV271">
            <v>0</v>
          </cell>
          <cell r="AX271">
            <v>1272.9879999999998</v>
          </cell>
          <cell r="AZ271" t="str">
            <v>car &amp; travel</v>
          </cell>
          <cell r="BI271">
            <v>0</v>
          </cell>
          <cell r="BQ271">
            <v>3727.1759999999999</v>
          </cell>
          <cell r="BU271">
            <v>3727.1759999999999</v>
          </cell>
          <cell r="BX271">
            <v>215.5</v>
          </cell>
          <cell r="CD271">
            <v>3942.6759999999999</v>
          </cell>
          <cell r="CJ271">
            <v>0</v>
          </cell>
          <cell r="CL271">
            <v>679</v>
          </cell>
          <cell r="CP271">
            <v>679</v>
          </cell>
          <cell r="CQ271">
            <v>0</v>
          </cell>
          <cell r="CT271">
            <v>4621.6759999999995</v>
          </cell>
          <cell r="CU271">
            <v>0</v>
          </cell>
          <cell r="CV271">
            <v>0</v>
          </cell>
          <cell r="CX271">
            <v>4621.6759999999995</v>
          </cell>
          <cell r="FI271">
            <v>4141.1729999999998</v>
          </cell>
          <cell r="FK271">
            <v>234.5</v>
          </cell>
          <cell r="FN271">
            <v>4375.6729999999998</v>
          </cell>
          <cell r="FO271">
            <v>0</v>
          </cell>
          <cell r="FP271">
            <v>710</v>
          </cell>
          <cell r="FR271">
            <v>710</v>
          </cell>
          <cell r="FS271">
            <v>0</v>
          </cell>
          <cell r="FT271">
            <v>5085.6729999999998</v>
          </cell>
          <cell r="FU271">
            <v>0</v>
          </cell>
          <cell r="FV271">
            <v>5085.6729999999998</v>
          </cell>
          <cell r="FW271" t="str">
            <v>car &amp; travel</v>
          </cell>
          <cell r="FX271">
            <v>4375.6729999999998</v>
          </cell>
          <cell r="FY271">
            <v>710</v>
          </cell>
          <cell r="GA271">
            <v>5085.6729999999998</v>
          </cell>
          <cell r="GB271">
            <v>5153.8693366806974</v>
          </cell>
          <cell r="GC271">
            <v>0</v>
          </cell>
          <cell r="GD271">
            <v>0</v>
          </cell>
          <cell r="GE271">
            <v>0</v>
          </cell>
          <cell r="GF271">
            <v>3.9950675104557156</v>
          </cell>
          <cell r="GG271">
            <v>5049.4751959503601</v>
          </cell>
          <cell r="GH271">
            <v>0</v>
          </cell>
        </row>
        <row r="272">
          <cell r="A272" t="str">
            <v>programming/printing</v>
          </cell>
          <cell r="I272">
            <v>0</v>
          </cell>
          <cell r="M272" t="str">
            <v xml:space="preserve"> </v>
          </cell>
          <cell r="Q272">
            <v>11762.411</v>
          </cell>
          <cell r="U272">
            <v>11762.411</v>
          </cell>
          <cell r="X272">
            <v>2531</v>
          </cell>
          <cell r="Z272">
            <v>545.34199999999998</v>
          </cell>
          <cell r="AD272">
            <v>14838.753000000001</v>
          </cell>
          <cell r="AJ272">
            <v>0</v>
          </cell>
          <cell r="AL272">
            <v>5789.11</v>
          </cell>
          <cell r="AP272">
            <v>5789.11</v>
          </cell>
          <cell r="AT272">
            <v>20627.863000000001</v>
          </cell>
          <cell r="AX272">
            <v>20627.863000000001</v>
          </cell>
          <cell r="AZ272" t="str">
            <v>programming/printing</v>
          </cell>
          <cell r="BQ272">
            <v>44641.883000000002</v>
          </cell>
          <cell r="BU272">
            <v>44641.883000000002</v>
          </cell>
          <cell r="BX272">
            <v>9796.5</v>
          </cell>
          <cell r="BZ272">
            <v>2082.0430000000001</v>
          </cell>
          <cell r="CD272">
            <v>56520.425999999999</v>
          </cell>
          <cell r="CJ272">
            <v>0</v>
          </cell>
          <cell r="CL272">
            <v>21946</v>
          </cell>
          <cell r="CP272">
            <v>21946</v>
          </cell>
          <cell r="CQ272">
            <v>0</v>
          </cell>
          <cell r="CT272">
            <v>78466.426000000007</v>
          </cell>
          <cell r="CU272">
            <v>0</v>
          </cell>
          <cell r="CV272">
            <v>0</v>
          </cell>
          <cell r="CX272">
            <v>78466.426000000007</v>
          </cell>
          <cell r="FI272">
            <v>46728.682000000001</v>
          </cell>
          <cell r="FK272">
            <v>10467</v>
          </cell>
          <cell r="FL272">
            <v>2186.8020000000001</v>
          </cell>
          <cell r="FN272">
            <v>59382.484000000004</v>
          </cell>
          <cell r="FO272">
            <v>0</v>
          </cell>
          <cell r="FP272">
            <v>23012</v>
          </cell>
          <cell r="FR272">
            <v>23012</v>
          </cell>
          <cell r="FS272">
            <v>0</v>
          </cell>
          <cell r="FT272">
            <v>82394.483999999997</v>
          </cell>
          <cell r="FU272">
            <v>0</v>
          </cell>
          <cell r="FV272">
            <v>82394.483999999997</v>
          </cell>
          <cell r="FW272" t="str">
            <v>programming/printing</v>
          </cell>
          <cell r="FX272">
            <v>59382.484000000004</v>
          </cell>
          <cell r="FY272">
            <v>23012</v>
          </cell>
          <cell r="GA272">
            <v>82394.483999999997</v>
          </cell>
          <cell r="GB272">
            <v>83499.352907516528</v>
          </cell>
          <cell r="GC272">
            <v>0</v>
          </cell>
          <cell r="GD272">
            <v>0</v>
          </cell>
          <cell r="GE272">
            <v>0</v>
          </cell>
          <cell r="GF272">
            <v>3.9943296113610991</v>
          </cell>
          <cell r="GG272">
            <v>65296.261192031357</v>
          </cell>
          <cell r="GH272">
            <v>0</v>
          </cell>
        </row>
        <row r="273">
          <cell r="A273" t="str">
            <v>rent&amp;maint.-(head-end)/paper</v>
          </cell>
          <cell r="I273">
            <v>0</v>
          </cell>
          <cell r="O273">
            <v>304</v>
          </cell>
          <cell r="Q273">
            <v>3698.3</v>
          </cell>
          <cell r="U273">
            <v>3698.3</v>
          </cell>
          <cell r="X273">
            <v>1273.5</v>
          </cell>
          <cell r="AD273">
            <v>4971.8</v>
          </cell>
          <cell r="AJ273">
            <v>0</v>
          </cell>
          <cell r="AL273">
            <v>1349.973</v>
          </cell>
          <cell r="AN273">
            <v>0</v>
          </cell>
          <cell r="AP273">
            <v>1349.973</v>
          </cell>
          <cell r="AR273">
            <v>220.48</v>
          </cell>
          <cell r="AT273">
            <v>6846.2529999999997</v>
          </cell>
          <cell r="AV273">
            <v>-917.66149999999993</v>
          </cell>
          <cell r="AX273">
            <v>5928.5914999999995</v>
          </cell>
          <cell r="AZ273" t="str">
            <v>rent&amp;maint.-(head-end)/paper</v>
          </cell>
          <cell r="BM273">
            <v>7132.6225000000004</v>
          </cell>
          <cell r="BQ273">
            <v>15350.985000000001</v>
          </cell>
          <cell r="BU273">
            <v>15350.985000000001</v>
          </cell>
          <cell r="BX273">
            <v>4888.5</v>
          </cell>
          <cell r="CD273">
            <v>20239.485000000001</v>
          </cell>
          <cell r="CJ273">
            <v>0</v>
          </cell>
          <cell r="CL273">
            <v>5316</v>
          </cell>
          <cell r="CN273">
            <v>0</v>
          </cell>
          <cell r="CP273">
            <v>5316</v>
          </cell>
          <cell r="CQ273">
            <v>0</v>
          </cell>
          <cell r="CR273">
            <v>859.56700000000001</v>
          </cell>
          <cell r="CT273">
            <v>33547.674500000001</v>
          </cell>
          <cell r="CU273">
            <v>0</v>
          </cell>
          <cell r="CV273">
            <v>-2727.0479999999998</v>
          </cell>
          <cell r="CX273">
            <v>30820.626500000002</v>
          </cell>
          <cell r="FH273">
            <v>1097.5</v>
          </cell>
          <cell r="FI273">
            <v>15433.449000000001</v>
          </cell>
          <cell r="FK273">
            <v>5188.5</v>
          </cell>
          <cell r="FN273">
            <v>20621.949000000001</v>
          </cell>
          <cell r="FO273">
            <v>0</v>
          </cell>
          <cell r="FP273">
            <v>5417</v>
          </cell>
          <cell r="FQ273">
            <v>0</v>
          </cell>
          <cell r="FR273">
            <v>5417</v>
          </cell>
          <cell r="FS273">
            <v>891.21799999999996</v>
          </cell>
          <cell r="FT273">
            <v>28027.667000000001</v>
          </cell>
          <cell r="FU273">
            <v>-3571.8808675</v>
          </cell>
          <cell r="FV273">
            <v>24455.786132500001</v>
          </cell>
          <cell r="FW273" t="str">
            <v>rent&amp;maint.-(head-end)/paper</v>
          </cell>
          <cell r="FX273">
            <v>20621.949000000001</v>
          </cell>
          <cell r="FY273">
            <v>5417</v>
          </cell>
          <cell r="FZ273">
            <v>-1120.4368449999999</v>
          </cell>
          <cell r="GA273">
            <v>24918.512155</v>
          </cell>
          <cell r="GB273">
            <v>25252.656966218583</v>
          </cell>
          <cell r="GC273">
            <v>-462.72602249999909</v>
          </cell>
          <cell r="GD273">
            <v>-468.93094751608442</v>
          </cell>
          <cell r="GE273">
            <v>-462.72602249999909</v>
          </cell>
          <cell r="GF273">
            <v>4.1250583941396544</v>
          </cell>
          <cell r="GG273">
            <v>23681.776618876553</v>
          </cell>
          <cell r="GH273">
            <v>0</v>
          </cell>
        </row>
        <row r="274">
          <cell r="A274" t="str">
            <v>Cost of publication</v>
          </cell>
          <cell r="M274" t="str">
            <v xml:space="preserve"> </v>
          </cell>
          <cell r="AT274">
            <v>0</v>
          </cell>
          <cell r="AX274">
            <v>0</v>
          </cell>
          <cell r="AZ274" t="str">
            <v>Cost of publication</v>
          </cell>
          <cell r="CD274">
            <v>0</v>
          </cell>
          <cell r="CP274">
            <v>0</v>
          </cell>
          <cell r="CQ274">
            <v>0</v>
          </cell>
          <cell r="CT274">
            <v>0</v>
          </cell>
          <cell r="CU274">
            <v>0</v>
          </cell>
          <cell r="CV274">
            <v>0</v>
          </cell>
          <cell r="CX274">
            <v>0</v>
          </cell>
          <cell r="FN274">
            <v>0</v>
          </cell>
          <cell r="FR274">
            <v>0</v>
          </cell>
          <cell r="FS274">
            <v>0</v>
          </cell>
          <cell r="FT274">
            <v>0</v>
          </cell>
          <cell r="FU274">
            <v>0</v>
          </cell>
          <cell r="FV274">
            <v>0</v>
          </cell>
          <cell r="FW274" t="str">
            <v>Cost of publication</v>
          </cell>
          <cell r="FX274">
            <v>0</v>
          </cell>
          <cell r="FY274">
            <v>0</v>
          </cell>
          <cell r="GA274">
            <v>0</v>
          </cell>
          <cell r="GB274">
            <v>0</v>
          </cell>
          <cell r="GC274">
            <v>0</v>
          </cell>
          <cell r="GD274">
            <v>0</v>
          </cell>
          <cell r="GE274">
            <v>0</v>
          </cell>
          <cell r="GF274" t="e">
            <v>#DIV/0!</v>
          </cell>
          <cell r="GG274">
            <v>0</v>
          </cell>
          <cell r="GH274">
            <v>0</v>
          </cell>
        </row>
        <row r="275">
          <cell r="A275" t="str">
            <v>rent&amp;maint.-(network)/binding</v>
          </cell>
          <cell r="I275">
            <v>0</v>
          </cell>
          <cell r="Q275">
            <v>4689.1480000000001</v>
          </cell>
          <cell r="U275">
            <v>4689.1480000000001</v>
          </cell>
          <cell r="Z275">
            <v>18.869</v>
          </cell>
          <cell r="AD275">
            <v>4708.0169999999998</v>
          </cell>
          <cell r="AJ275">
            <v>0</v>
          </cell>
          <cell r="AP275">
            <v>0</v>
          </cell>
          <cell r="AT275">
            <v>4708.0169999999998</v>
          </cell>
          <cell r="AX275">
            <v>4708.0169999999998</v>
          </cell>
          <cell r="AZ275" t="str">
            <v>rent&amp;maint.-(network)/binding</v>
          </cell>
          <cell r="BM275">
            <v>430.60599999999999</v>
          </cell>
          <cell r="BQ275">
            <v>17665.346000000001</v>
          </cell>
          <cell r="BU275">
            <v>17665.346000000001</v>
          </cell>
          <cell r="BZ275">
            <v>74.962000000000003</v>
          </cell>
          <cell r="CD275">
            <v>17740.308000000001</v>
          </cell>
          <cell r="CJ275">
            <v>0</v>
          </cell>
          <cell r="CP275">
            <v>0</v>
          </cell>
          <cell r="CQ275">
            <v>0</v>
          </cell>
          <cell r="CT275">
            <v>18170.914000000001</v>
          </cell>
          <cell r="CU275">
            <v>0</v>
          </cell>
          <cell r="CV275">
            <v>0</v>
          </cell>
          <cell r="CX275">
            <v>18170.914000000001</v>
          </cell>
          <cell r="FI275">
            <v>18614.663</v>
          </cell>
          <cell r="FL275">
            <v>79.533000000000001</v>
          </cell>
          <cell r="FN275">
            <v>18694.196</v>
          </cell>
          <cell r="FO275">
            <v>0</v>
          </cell>
          <cell r="FR275">
            <v>0</v>
          </cell>
          <cell r="FS275">
            <v>0</v>
          </cell>
          <cell r="FT275">
            <v>18694.196</v>
          </cell>
          <cell r="FU275">
            <v>0</v>
          </cell>
          <cell r="FV275">
            <v>18694.196</v>
          </cell>
          <cell r="FW275" t="str">
            <v>rent&amp;maint.-(network)/binding</v>
          </cell>
          <cell r="FX275">
            <v>18694.196</v>
          </cell>
          <cell r="FY275">
            <v>0</v>
          </cell>
          <cell r="GA275">
            <v>18694.196</v>
          </cell>
          <cell r="GB275">
            <v>18944.875838123869</v>
          </cell>
          <cell r="GC275">
            <v>0</v>
          </cell>
          <cell r="GD275">
            <v>0</v>
          </cell>
          <cell r="GE275">
            <v>0</v>
          </cell>
          <cell r="GF275">
            <v>3.9707154838225946</v>
          </cell>
          <cell r="GG275">
            <v>22341.613690071848</v>
          </cell>
          <cell r="GH275">
            <v>0</v>
          </cell>
        </row>
        <row r="276">
          <cell r="A276" t="str">
            <v>amortization</v>
          </cell>
          <cell r="G276">
            <v>0</v>
          </cell>
          <cell r="I276">
            <v>0</v>
          </cell>
          <cell r="M276" t="str">
            <v xml:space="preserve"> </v>
          </cell>
          <cell r="Q276">
            <v>453.87200000000001</v>
          </cell>
          <cell r="U276">
            <v>453.87200000000001</v>
          </cell>
          <cell r="X276">
            <v>-440</v>
          </cell>
          <cell r="Z276">
            <v>51</v>
          </cell>
          <cell r="AD276">
            <v>64.872000000000014</v>
          </cell>
          <cell r="AJ276">
            <v>0</v>
          </cell>
          <cell r="AP276">
            <v>0</v>
          </cell>
          <cell r="AT276">
            <v>64.872000000000014</v>
          </cell>
          <cell r="AX276">
            <v>64.872000000000014</v>
          </cell>
          <cell r="AZ276" t="str">
            <v>amortization</v>
          </cell>
          <cell r="BI276">
            <v>0</v>
          </cell>
          <cell r="BQ276">
            <v>1345.364</v>
          </cell>
          <cell r="BU276">
            <v>1345.364</v>
          </cell>
          <cell r="BX276">
            <v>-1043</v>
          </cell>
          <cell r="BZ276">
            <v>157</v>
          </cell>
          <cell r="CD276">
            <v>459.36400000000003</v>
          </cell>
          <cell r="CJ276">
            <v>0</v>
          </cell>
          <cell r="CP276">
            <v>0</v>
          </cell>
          <cell r="CQ276">
            <v>0</v>
          </cell>
          <cell r="CT276">
            <v>459.36400000000003</v>
          </cell>
          <cell r="CU276">
            <v>0</v>
          </cell>
          <cell r="CV276">
            <v>0</v>
          </cell>
          <cell r="CX276">
            <v>459.36400000000003</v>
          </cell>
          <cell r="FE276">
            <v>0</v>
          </cell>
          <cell r="FI276">
            <v>2095.4290000000001</v>
          </cell>
          <cell r="FL276">
            <v>189</v>
          </cell>
          <cell r="FN276">
            <v>2284.4290000000001</v>
          </cell>
          <cell r="FO276">
            <v>0</v>
          </cell>
          <cell r="FS276">
            <v>0</v>
          </cell>
          <cell r="FT276">
            <v>2284.4290000000001</v>
          </cell>
          <cell r="FU276">
            <v>0</v>
          </cell>
          <cell r="FV276">
            <v>2284.4290000000001</v>
          </cell>
          <cell r="FW276" t="str">
            <v>amortization</v>
          </cell>
          <cell r="FX276">
            <v>2284.4290000000001</v>
          </cell>
          <cell r="FY276">
            <v>0</v>
          </cell>
          <cell r="GA276">
            <v>2284.4290000000001</v>
          </cell>
          <cell r="GB276">
            <v>2315.0620527360193</v>
          </cell>
          <cell r="GC276">
            <v>0</v>
          </cell>
          <cell r="GD276">
            <v>0</v>
          </cell>
          <cell r="GE276">
            <v>0</v>
          </cell>
          <cell r="GF276">
            <v>35.214406831915149</v>
          </cell>
          <cell r="GG276">
            <v>2131.3653213585894</v>
          </cell>
          <cell r="GH276">
            <v>0</v>
          </cell>
        </row>
        <row r="277">
          <cell r="A277" t="str">
            <v>depreciation</v>
          </cell>
          <cell r="I277">
            <v>0</v>
          </cell>
          <cell r="M277" t="str">
            <v xml:space="preserve"> </v>
          </cell>
          <cell r="Q277">
            <v>8813.1020000000008</v>
          </cell>
          <cell r="U277">
            <v>8813.1020000000008</v>
          </cell>
          <cell r="X277">
            <v>3586</v>
          </cell>
          <cell r="Z277">
            <v>211.18100000000001</v>
          </cell>
          <cell r="AD277">
            <v>12610.283000000001</v>
          </cell>
          <cell r="AJ277">
            <v>0</v>
          </cell>
          <cell r="AL277">
            <v>7578.7849999999999</v>
          </cell>
          <cell r="AP277">
            <v>7578.7849999999999</v>
          </cell>
          <cell r="AR277">
            <v>933.54600000000005</v>
          </cell>
          <cell r="AT277">
            <v>21122.614000000001</v>
          </cell>
          <cell r="AV277">
            <v>0</v>
          </cell>
          <cell r="AX277">
            <v>21122.614000000001</v>
          </cell>
          <cell r="AZ277" t="str">
            <v>depreciation</v>
          </cell>
          <cell r="BI277">
            <v>0</v>
          </cell>
          <cell r="BQ277">
            <v>23584.705999999998</v>
          </cell>
          <cell r="BU277">
            <v>23584.705999999998</v>
          </cell>
          <cell r="BX277">
            <v>9552</v>
          </cell>
          <cell r="BZ277">
            <v>662.89300000000003</v>
          </cell>
          <cell r="CD277">
            <v>33799.599000000002</v>
          </cell>
          <cell r="CJ277">
            <v>0</v>
          </cell>
          <cell r="CL277">
            <v>22035</v>
          </cell>
          <cell r="CP277">
            <v>22035</v>
          </cell>
          <cell r="CQ277">
            <v>0</v>
          </cell>
          <cell r="CR277">
            <v>3239.473</v>
          </cell>
          <cell r="CT277">
            <v>59074.072</v>
          </cell>
          <cell r="CU277">
            <v>0</v>
          </cell>
          <cell r="CV277">
            <v>0</v>
          </cell>
          <cell r="CX277">
            <v>59074.072</v>
          </cell>
          <cell r="FI277">
            <v>39088.328000000001</v>
          </cell>
          <cell r="FK277">
            <v>13536</v>
          </cell>
          <cell r="FL277">
            <v>809.23500000000001</v>
          </cell>
          <cell r="FN277">
            <v>53433.563000000002</v>
          </cell>
          <cell r="FO277">
            <v>0</v>
          </cell>
          <cell r="FP277">
            <v>32523</v>
          </cell>
          <cell r="FR277">
            <v>32523</v>
          </cell>
          <cell r="FS277">
            <v>3396.384</v>
          </cell>
          <cell r="FT277">
            <v>89352.947</v>
          </cell>
          <cell r="FU277">
            <v>0</v>
          </cell>
          <cell r="FV277">
            <v>89352.947</v>
          </cell>
          <cell r="FW277" t="str">
            <v>depreciation</v>
          </cell>
          <cell r="FX277">
            <v>53433.563000000002</v>
          </cell>
          <cell r="FY277">
            <v>32523</v>
          </cell>
          <cell r="GA277">
            <v>85956.562999999995</v>
          </cell>
          <cell r="GB277">
            <v>87109.197609079973</v>
          </cell>
          <cell r="GC277">
            <v>3396.3840000000055</v>
          </cell>
          <cell r="GD277">
            <v>3441.9278143114907</v>
          </cell>
          <cell r="GE277">
            <v>3396.3840000000055</v>
          </cell>
          <cell r="GF277">
            <v>4.2302030894471674</v>
          </cell>
          <cell r="GG277">
            <v>70922.782072305694</v>
          </cell>
          <cell r="GH277">
            <v>0</v>
          </cell>
        </row>
        <row r="278">
          <cell r="A278" t="str">
            <v>loss of converters</v>
          </cell>
          <cell r="I278">
            <v>0</v>
          </cell>
          <cell r="M278" t="str">
            <v xml:space="preserve"> </v>
          </cell>
          <cell r="Q278">
            <v>357.05500000000001</v>
          </cell>
          <cell r="U278">
            <v>357.05500000000001</v>
          </cell>
          <cell r="AD278">
            <v>357.05500000000001</v>
          </cell>
          <cell r="AJ278">
            <v>0</v>
          </cell>
          <cell r="AL278">
            <v>212.87799999999999</v>
          </cell>
          <cell r="AP278">
            <v>212.87799999999999</v>
          </cell>
          <cell r="AT278">
            <v>569.93299999999999</v>
          </cell>
          <cell r="AV278">
            <v>0</v>
          </cell>
          <cell r="AX278">
            <v>569.93299999999999</v>
          </cell>
          <cell r="AZ278" t="str">
            <v>loss of converters</v>
          </cell>
          <cell r="BI278">
            <v>0</v>
          </cell>
          <cell r="BQ278">
            <v>1216.1489999999999</v>
          </cell>
          <cell r="BU278">
            <v>1216.1489999999999</v>
          </cell>
          <cell r="CD278">
            <v>1216.1489999999999</v>
          </cell>
          <cell r="CJ278">
            <v>0</v>
          </cell>
          <cell r="CL278">
            <v>746</v>
          </cell>
          <cell r="CP278">
            <v>746</v>
          </cell>
          <cell r="CQ278">
            <v>0</v>
          </cell>
          <cell r="CT278">
            <v>1962.1489999999999</v>
          </cell>
          <cell r="CU278">
            <v>0</v>
          </cell>
          <cell r="CV278">
            <v>0</v>
          </cell>
          <cell r="CX278">
            <v>1962.1489999999999</v>
          </cell>
          <cell r="FI278">
            <v>1459.374</v>
          </cell>
          <cell r="FN278">
            <v>1459.374</v>
          </cell>
          <cell r="FO278">
            <v>0</v>
          </cell>
          <cell r="FP278">
            <v>875</v>
          </cell>
          <cell r="FR278">
            <v>875</v>
          </cell>
          <cell r="FS278">
            <v>0</v>
          </cell>
          <cell r="FT278">
            <v>2334.3739999999998</v>
          </cell>
          <cell r="FU278">
            <v>0</v>
          </cell>
          <cell r="FV278">
            <v>2334.3739999999998</v>
          </cell>
          <cell r="FW278" t="str">
            <v>loss of converters</v>
          </cell>
          <cell r="FX278">
            <v>1459.374</v>
          </cell>
          <cell r="FY278">
            <v>875</v>
          </cell>
          <cell r="GA278">
            <v>2334.3739999999998</v>
          </cell>
          <cell r="GB278">
            <v>2365.6767902585684</v>
          </cell>
          <cell r="GC278">
            <v>0</v>
          </cell>
          <cell r="GD278">
            <v>0</v>
          </cell>
          <cell r="GE278">
            <v>0</v>
          </cell>
          <cell r="GF278">
            <v>4.0958744273449685</v>
          </cell>
          <cell r="GG278">
            <v>5337.538079033312</v>
          </cell>
          <cell r="GH278">
            <v>0</v>
          </cell>
        </row>
        <row r="279">
          <cell r="A279" t="str">
            <v>cost of maintanance of building leased out</v>
          </cell>
          <cell r="AT279">
            <v>0</v>
          </cell>
          <cell r="AV279">
            <v>410.89499999999998</v>
          </cell>
          <cell r="AX279">
            <v>410.89499999999998</v>
          </cell>
          <cell r="AZ279" t="str">
            <v>cost of maintanance of building leased out</v>
          </cell>
          <cell r="FT279">
            <v>0</v>
          </cell>
          <cell r="FU279">
            <v>1657.2869999999998</v>
          </cell>
          <cell r="FV279">
            <v>1657.2869999999998</v>
          </cell>
          <cell r="FX279">
            <v>0</v>
          </cell>
          <cell r="FY279">
            <v>0</v>
          </cell>
          <cell r="GA279">
            <v>0</v>
          </cell>
          <cell r="GB279">
            <v>0</v>
          </cell>
          <cell r="GC279">
            <v>1657.2869999999998</v>
          </cell>
          <cell r="GD279">
            <v>1679.5103915213465</v>
          </cell>
          <cell r="GE279">
            <v>1657.2869999999998</v>
          </cell>
          <cell r="GF279">
            <v>4.0333588873069761</v>
          </cell>
        </row>
        <row r="280">
          <cell r="A280" t="str">
            <v>Cost of publication of CATV guides</v>
          </cell>
          <cell r="M280">
            <v>1912</v>
          </cell>
          <cell r="AT280">
            <v>1912</v>
          </cell>
          <cell r="AV280">
            <v>0</v>
          </cell>
          <cell r="AX280">
            <v>1912</v>
          </cell>
          <cell r="AZ280" t="str">
            <v>Cost of publication of CATV guides</v>
          </cell>
          <cell r="FG280">
            <v>7955.0390000000007</v>
          </cell>
          <cell r="FT280">
            <v>7955.0390000000007</v>
          </cell>
          <cell r="FV280">
            <v>7955.0390000000007</v>
          </cell>
          <cell r="FX280">
            <v>0</v>
          </cell>
          <cell r="FY280">
            <v>0</v>
          </cell>
          <cell r="GA280">
            <v>0</v>
          </cell>
          <cell r="GB280">
            <v>0</v>
          </cell>
          <cell r="GC280">
            <v>7955.0390000000007</v>
          </cell>
          <cell r="GD280">
            <v>8061.7121026458208</v>
          </cell>
          <cell r="GE280">
            <v>7955.0390000000007</v>
          </cell>
          <cell r="GF280">
            <v>4.1605852510460251</v>
          </cell>
        </row>
        <row r="281">
          <cell r="A281" t="str">
            <v>part.in exp. others</v>
          </cell>
          <cell r="I281">
            <v>0</v>
          </cell>
          <cell r="M281" t="str">
            <v xml:space="preserve"> </v>
          </cell>
          <cell r="S281">
            <v>-253.27500000000001</v>
          </cell>
          <cell r="U281">
            <v>-253.27500000000001</v>
          </cell>
          <cell r="AD281">
            <v>-253.27500000000001</v>
          </cell>
          <cell r="AJ281">
            <v>0</v>
          </cell>
          <cell r="AP281">
            <v>0</v>
          </cell>
          <cell r="AT281">
            <v>-253.27500000000001</v>
          </cell>
          <cell r="AV281">
            <v>253.27500000000001</v>
          </cell>
          <cell r="AX281">
            <v>0</v>
          </cell>
          <cell r="AZ281" t="str">
            <v>part.in exp. others</v>
          </cell>
          <cell r="BU281">
            <v>0</v>
          </cell>
          <cell r="CD281">
            <v>0</v>
          </cell>
          <cell r="CJ281">
            <v>0</v>
          </cell>
          <cell r="CP281">
            <v>0</v>
          </cell>
          <cell r="CQ281">
            <v>0</v>
          </cell>
          <cell r="CT281">
            <v>0</v>
          </cell>
          <cell r="CU281">
            <v>0</v>
          </cell>
          <cell r="CV281">
            <v>0</v>
          </cell>
          <cell r="CX281">
            <v>0</v>
          </cell>
          <cell r="FI281">
            <v>-1050</v>
          </cell>
          <cell r="FN281">
            <v>-1050</v>
          </cell>
          <cell r="FO281">
            <v>0</v>
          </cell>
          <cell r="FR281">
            <v>0</v>
          </cell>
          <cell r="FS281">
            <v>0</v>
          </cell>
          <cell r="FT281">
            <v>-1050</v>
          </cell>
          <cell r="FU281">
            <v>1050</v>
          </cell>
          <cell r="FV281">
            <v>0</v>
          </cell>
          <cell r="FW281" t="str">
            <v>part.in exp. others</v>
          </cell>
          <cell r="FX281">
            <v>-1050</v>
          </cell>
          <cell r="FY281">
            <v>0</v>
          </cell>
          <cell r="GA281">
            <v>-1050</v>
          </cell>
          <cell r="GB281">
            <v>-1064.0799759470835</v>
          </cell>
          <cell r="GC281">
            <v>1050</v>
          </cell>
          <cell r="GD281">
            <v>1064.0799759470835</v>
          </cell>
          <cell r="GE281">
            <v>1050</v>
          </cell>
          <cell r="GF281" t="e">
            <v>#DIV/0!</v>
          </cell>
          <cell r="GG281">
            <v>0</v>
          </cell>
          <cell r="GH281">
            <v>0</v>
          </cell>
        </row>
        <row r="282">
          <cell r="A282" t="str">
            <v>part.in exp.</v>
          </cell>
          <cell r="I282">
            <v>0</v>
          </cell>
          <cell r="M282" t="str">
            <v xml:space="preserve"> </v>
          </cell>
          <cell r="Q282">
            <v>-2373.4639999999999</v>
          </cell>
          <cell r="U282">
            <v>-2373.4639999999999</v>
          </cell>
          <cell r="X282">
            <v>68.5</v>
          </cell>
          <cell r="AD282">
            <v>-2304.9639999999999</v>
          </cell>
          <cell r="AJ282">
            <v>0</v>
          </cell>
          <cell r="AL282">
            <v>2574.4450000000002</v>
          </cell>
          <cell r="AN282">
            <v>0</v>
          </cell>
          <cell r="AP282">
            <v>2574.4450000000002</v>
          </cell>
          <cell r="AT282">
            <v>269.48100000000022</v>
          </cell>
          <cell r="AV282">
            <v>-269.48100000000022</v>
          </cell>
          <cell r="AX282">
            <v>0</v>
          </cell>
          <cell r="AZ282" t="str">
            <v>part.in exp.</v>
          </cell>
          <cell r="BI282">
            <v>0</v>
          </cell>
          <cell r="BQ282">
            <v>-9094.2039999999997</v>
          </cell>
          <cell r="BU282">
            <v>-9094.2039999999997</v>
          </cell>
          <cell r="BX282">
            <v>266.5</v>
          </cell>
          <cell r="CD282">
            <v>-8827.7039999999997</v>
          </cell>
          <cell r="CH282">
            <v>0</v>
          </cell>
          <cell r="CJ282">
            <v>0</v>
          </cell>
          <cell r="CL282">
            <v>9899</v>
          </cell>
          <cell r="CN282">
            <v>0</v>
          </cell>
          <cell r="CP282">
            <v>9899</v>
          </cell>
          <cell r="CQ282">
            <v>0</v>
          </cell>
          <cell r="CT282">
            <v>1071.2960000000003</v>
          </cell>
          <cell r="CU282">
            <v>0</v>
          </cell>
          <cell r="CV282">
            <v>-1071.2960000000003</v>
          </cell>
          <cell r="CX282">
            <v>0</v>
          </cell>
          <cell r="FI282">
            <v>-9539.5969999999998</v>
          </cell>
          <cell r="FK282">
            <v>280.5</v>
          </cell>
          <cell r="FN282">
            <v>-9259.0969999999998</v>
          </cell>
          <cell r="FO282">
            <v>0</v>
          </cell>
          <cell r="FP282">
            <v>10356.4</v>
          </cell>
          <cell r="FQ282">
            <v>0</v>
          </cell>
          <cell r="FR282">
            <v>10356.4</v>
          </cell>
          <cell r="FS282">
            <v>0</v>
          </cell>
          <cell r="FT282">
            <v>1097.3029999999999</v>
          </cell>
          <cell r="FU282">
            <v>-1097.3029999999999</v>
          </cell>
          <cell r="FV282">
            <v>0</v>
          </cell>
          <cell r="FW282" t="str">
            <v>part.in exp.</v>
          </cell>
          <cell r="FX282">
            <v>-9259.0969999999998</v>
          </cell>
          <cell r="FY282">
            <v>10356.4</v>
          </cell>
          <cell r="GA282">
            <v>1097.3029999999999</v>
          </cell>
          <cell r="GB282">
            <v>1112.0172855682499</v>
          </cell>
          <cell r="GC282">
            <v>-1097.3029999999999</v>
          </cell>
          <cell r="GD282">
            <v>-1112.0172855682499</v>
          </cell>
          <cell r="GE282">
            <v>-1097.3029999999999</v>
          </cell>
          <cell r="GF282" t="e">
            <v>#DIV/0!</v>
          </cell>
          <cell r="GG282">
            <v>-993.19443500979753</v>
          </cell>
          <cell r="GH282">
            <v>0</v>
          </cell>
        </row>
        <row r="283">
          <cell r="C283">
            <v>-9.7430000000000003</v>
          </cell>
          <cell r="E283">
            <v>0</v>
          </cell>
          <cell r="G283">
            <v>0</v>
          </cell>
          <cell r="I283">
            <v>-9.7430000000000003</v>
          </cell>
          <cell r="M283">
            <v>2279.1801682692308</v>
          </cell>
          <cell r="O283">
            <v>8842</v>
          </cell>
          <cell r="Q283">
            <v>40705.576000000001</v>
          </cell>
          <cell r="S283">
            <v>-253.27500000000001</v>
          </cell>
          <cell r="U283">
            <v>40452.300999999999</v>
          </cell>
          <cell r="W283">
            <v>0</v>
          </cell>
          <cell r="X283">
            <v>9098</v>
          </cell>
          <cell r="Z283">
            <v>1000.9240000000001</v>
          </cell>
          <cell r="AB283">
            <v>0</v>
          </cell>
          <cell r="AD283">
            <v>50551.225000000006</v>
          </cell>
          <cell r="AF283">
            <v>0</v>
          </cell>
          <cell r="AH283">
            <v>0</v>
          </cell>
          <cell r="AJ283">
            <v>0</v>
          </cell>
          <cell r="AL283">
            <v>21211.31</v>
          </cell>
          <cell r="AN283">
            <v>0</v>
          </cell>
          <cell r="AP283">
            <v>21211.31</v>
          </cell>
          <cell r="AR283">
            <v>1344.441</v>
          </cell>
          <cell r="AT283">
            <v>84218.413168269253</v>
          </cell>
          <cell r="AV283">
            <v>-713.38750000000005</v>
          </cell>
          <cell r="AX283">
            <v>83505.025668269256</v>
          </cell>
          <cell r="BC283">
            <v>-27.184999999999999</v>
          </cell>
          <cell r="BE283">
            <v>0</v>
          </cell>
          <cell r="BG283">
            <v>0</v>
          </cell>
          <cell r="BI283">
            <v>-27.184999999999999</v>
          </cell>
          <cell r="BM283">
            <v>9027.259</v>
          </cell>
          <cell r="BO283">
            <v>30964.5</v>
          </cell>
          <cell r="BQ283">
            <v>146207.90400000001</v>
          </cell>
          <cell r="BS283">
            <v>0</v>
          </cell>
          <cell r="BU283">
            <v>146207.90400000001</v>
          </cell>
          <cell r="BW283">
            <v>0</v>
          </cell>
          <cell r="BX283">
            <v>31516</v>
          </cell>
          <cell r="BZ283">
            <v>3662.6179999999999</v>
          </cell>
          <cell r="CB283">
            <v>0</v>
          </cell>
          <cell r="CD283">
            <v>181386.522</v>
          </cell>
          <cell r="CF283">
            <v>0</v>
          </cell>
          <cell r="CH283">
            <v>0</v>
          </cell>
          <cell r="CJ283">
            <v>0</v>
          </cell>
          <cell r="CL283">
            <v>74417</v>
          </cell>
          <cell r="CN283">
            <v>0</v>
          </cell>
          <cell r="CP283">
            <v>74417</v>
          </cell>
          <cell r="CQ283">
            <v>0</v>
          </cell>
          <cell r="CR283">
            <v>4838</v>
          </cell>
          <cell r="CT283">
            <v>300605.89</v>
          </cell>
          <cell r="CU283">
            <v>0.2060000000637956</v>
          </cell>
          <cell r="CV283">
            <v>-3798.3440000000001</v>
          </cell>
          <cell r="CX283">
            <v>296807.54599999997</v>
          </cell>
          <cell r="FC283">
            <v>-28.384</v>
          </cell>
          <cell r="FD283">
            <v>0</v>
          </cell>
          <cell r="FE283">
            <v>0</v>
          </cell>
          <cell r="FF283">
            <v>-28.384</v>
          </cell>
          <cell r="FG283">
            <v>9482.5084999999999</v>
          </cell>
          <cell r="FH283">
            <v>34487</v>
          </cell>
          <cell r="FI283">
            <v>166640.35</v>
          </cell>
          <cell r="FJ283">
            <v>0</v>
          </cell>
          <cell r="FK283">
            <v>38014.5</v>
          </cell>
          <cell r="FL283">
            <v>3973.1280000000002</v>
          </cell>
          <cell r="FM283">
            <v>0</v>
          </cell>
          <cell r="FN283">
            <v>208627.978</v>
          </cell>
          <cell r="FO283">
            <v>0</v>
          </cell>
          <cell r="FP283">
            <v>87138.4</v>
          </cell>
          <cell r="FQ283">
            <v>0</v>
          </cell>
          <cell r="FR283">
            <v>87138.4</v>
          </cell>
          <cell r="FS283">
            <v>5053.6710000000003</v>
          </cell>
          <cell r="FT283">
            <v>344761.17349999998</v>
          </cell>
          <cell r="FU283">
            <v>-2727.9658674999996</v>
          </cell>
          <cell r="FV283">
            <v>342033.20763250004</v>
          </cell>
          <cell r="FX283">
            <v>208627.978</v>
          </cell>
          <cell r="FY283">
            <v>87138.4</v>
          </cell>
          <cell r="FZ283">
            <v>-1120.4368449999999</v>
          </cell>
          <cell r="GA283">
            <v>294645.94115500001</v>
          </cell>
          <cell r="GB283">
            <v>298596.99616868392</v>
          </cell>
          <cell r="GC283">
            <v>47387.266477500001</v>
          </cell>
          <cell r="GD283">
            <v>48022.706070072614</v>
          </cell>
          <cell r="GE283">
            <v>47387.26647750003</v>
          </cell>
          <cell r="GF283">
            <v>4.0959595532759403</v>
          </cell>
          <cell r="GG283">
            <v>276719.28250214393</v>
          </cell>
          <cell r="GH283">
            <v>0</v>
          </cell>
        </row>
        <row r="284">
          <cell r="A284" t="str">
            <v>OPER. LOSS(PROFIT)</v>
          </cell>
          <cell r="C284">
            <v>-3308.6470000000004</v>
          </cell>
          <cell r="E284">
            <v>-104.727</v>
          </cell>
          <cell r="G284">
            <v>-1009.615</v>
          </cell>
          <cell r="I284">
            <v>-4422.9890000000005</v>
          </cell>
          <cell r="M284">
            <v>-641.15024038461524</v>
          </cell>
          <cell r="O284">
            <v>-3364</v>
          </cell>
          <cell r="Q284">
            <v>-37239.828999999998</v>
          </cell>
          <cell r="S284">
            <v>0</v>
          </cell>
          <cell r="U284">
            <v>-37239.829000000005</v>
          </cell>
          <cell r="W284">
            <v>0</v>
          </cell>
          <cell r="X284">
            <v>-6895.5</v>
          </cell>
          <cell r="Z284">
            <v>-542.01300000000003</v>
          </cell>
          <cell r="AB284">
            <v>0</v>
          </cell>
          <cell r="AD284">
            <v>-44677.342000000019</v>
          </cell>
          <cell r="AF284">
            <v>-26.103999999999999</v>
          </cell>
          <cell r="AH284">
            <v>0</v>
          </cell>
          <cell r="AJ284">
            <v>-26.103999999999999</v>
          </cell>
          <cell r="AL284">
            <v>-22829.317999999996</v>
          </cell>
          <cell r="AN284">
            <v>26.103999999999999</v>
          </cell>
          <cell r="AP284">
            <v>-22829.317999999996</v>
          </cell>
          <cell r="AR284">
            <v>-498.16399999999999</v>
          </cell>
          <cell r="AT284">
            <v>-76432.963240384663</v>
          </cell>
          <cell r="AV284">
            <v>4397.04</v>
          </cell>
          <cell r="AX284">
            <v>-72035.923240384611</v>
          </cell>
          <cell r="AZ284" t="str">
            <v>OPER. LOSS(PROFIT)</v>
          </cell>
          <cell r="BC284">
            <v>-13752.192999999999</v>
          </cell>
          <cell r="BE284">
            <v>-367</v>
          </cell>
          <cell r="BG284">
            <v>-4200</v>
          </cell>
          <cell r="BI284">
            <v>-18319.193000000003</v>
          </cell>
          <cell r="BM284">
            <v>-2526.5694999999996</v>
          </cell>
          <cell r="BO284">
            <v>-15574.5</v>
          </cell>
          <cell r="BQ284">
            <v>-146881.85</v>
          </cell>
          <cell r="BS284">
            <v>0</v>
          </cell>
          <cell r="BU284">
            <v>-146881.85</v>
          </cell>
          <cell r="BW284">
            <v>0</v>
          </cell>
          <cell r="BX284">
            <v>-29997.5</v>
          </cell>
          <cell r="BZ284">
            <v>-2150.967000000001</v>
          </cell>
          <cell r="CB284">
            <v>0</v>
          </cell>
          <cell r="CD284">
            <v>-179030.31700000001</v>
          </cell>
          <cell r="CF284">
            <v>-108.59399999999999</v>
          </cell>
          <cell r="CH284">
            <v>0</v>
          </cell>
          <cell r="CJ284">
            <v>-108.59399999999999</v>
          </cell>
          <cell r="CL284">
            <v>-89409</v>
          </cell>
          <cell r="CN284">
            <v>108.59399999999999</v>
          </cell>
          <cell r="CP284">
            <v>-89409</v>
          </cell>
          <cell r="CQ284">
            <v>0</v>
          </cell>
          <cell r="CR284">
            <v>-2146.34</v>
          </cell>
          <cell r="CT284">
            <v>-307006.12550000002</v>
          </cell>
          <cell r="CU284">
            <v>0.2060000000637956</v>
          </cell>
          <cell r="CV284">
            <v>28774.54050000001</v>
          </cell>
          <cell r="CX284">
            <v>-278231.58499999996</v>
          </cell>
          <cell r="FC284">
            <v>-17953.392</v>
          </cell>
          <cell r="FD284">
            <v>-397.33695539999997</v>
          </cell>
          <cell r="FE284">
            <v>0</v>
          </cell>
          <cell r="FF284">
            <v>-18350.728955399998</v>
          </cell>
          <cell r="FG284">
            <v>-2666.0660000000007</v>
          </cell>
          <cell r="FH284">
            <v>-14286</v>
          </cell>
          <cell r="FI284">
            <v>-141298.31899999993</v>
          </cell>
          <cell r="FJ284">
            <v>0</v>
          </cell>
          <cell r="FK284">
            <v>-28020.5</v>
          </cell>
          <cell r="FL284">
            <v>-2140.4509999999996</v>
          </cell>
          <cell r="FM284">
            <v>0</v>
          </cell>
          <cell r="FN284">
            <v>-171459.27</v>
          </cell>
          <cell r="FO284">
            <v>-108.59399999999999</v>
          </cell>
          <cell r="FP284">
            <v>-86733.6</v>
          </cell>
          <cell r="FQ284">
            <v>108.59399999999999</v>
          </cell>
          <cell r="FR284">
            <v>-86733.6</v>
          </cell>
          <cell r="FS284">
            <v>-2242.3049999999998</v>
          </cell>
          <cell r="FT284">
            <v>-295737.96995539992</v>
          </cell>
          <cell r="FU284">
            <v>18275.0419554</v>
          </cell>
          <cell r="FV284">
            <v>-277462.9279999999</v>
          </cell>
          <cell r="FW284" t="str">
            <v>OPER. LOSS(PROFIT)</v>
          </cell>
          <cell r="FX284">
            <v>-171459.27</v>
          </cell>
          <cell r="FY284">
            <v>-86733.6</v>
          </cell>
          <cell r="FZ284">
            <v>18321.9081104</v>
          </cell>
          <cell r="GA284">
            <v>-239870.96188959992</v>
          </cell>
          <cell r="GB284">
            <v>-243087.51176941831</v>
          </cell>
          <cell r="GC284">
            <v>-37591.966110399997</v>
          </cell>
          <cell r="GD284">
            <v>-38096.055613864766</v>
          </cell>
          <cell r="GE284">
            <v>-37591.966110399982</v>
          </cell>
          <cell r="GF284">
            <v>3.8517300191198114</v>
          </cell>
          <cell r="GG284">
            <v>-234245.63011417654</v>
          </cell>
          <cell r="GH284">
            <v>0</v>
          </cell>
        </row>
        <row r="285">
          <cell r="A285" t="str">
            <v>MARKETING</v>
          </cell>
          <cell r="AT285">
            <v>0</v>
          </cell>
          <cell r="AZ285" t="str">
            <v>MARKETING</v>
          </cell>
          <cell r="CD285">
            <v>0</v>
          </cell>
          <cell r="CQ285">
            <v>0</v>
          </cell>
          <cell r="CT285">
            <v>0</v>
          </cell>
          <cell r="CU285">
            <v>0</v>
          </cell>
          <cell r="FW285" t="str">
            <v>MARKETING</v>
          </cell>
          <cell r="FX285">
            <v>0</v>
          </cell>
          <cell r="FY285">
            <v>0</v>
          </cell>
          <cell r="GA285">
            <v>0</v>
          </cell>
          <cell r="GB285">
            <v>0</v>
          </cell>
          <cell r="GC285">
            <v>0</v>
          </cell>
          <cell r="GD285">
            <v>0</v>
          </cell>
          <cell r="GE285">
            <v>0</v>
          </cell>
          <cell r="GF285" t="e">
            <v>#DIV/0!</v>
          </cell>
          <cell r="GH285">
            <v>0</v>
          </cell>
        </row>
        <row r="286">
          <cell r="A286" t="str">
            <v>salaries</v>
          </cell>
          <cell r="I286">
            <v>0</v>
          </cell>
          <cell r="M286" t="str">
            <v xml:space="preserve"> </v>
          </cell>
          <cell r="O286">
            <v>1387</v>
          </cell>
          <cell r="Q286">
            <v>3339.7649999999999</v>
          </cell>
          <cell r="U286">
            <v>3339.7649999999999</v>
          </cell>
          <cell r="X286">
            <v>512</v>
          </cell>
          <cell r="AD286">
            <v>3851.7649999999999</v>
          </cell>
          <cell r="AJ286">
            <v>0</v>
          </cell>
          <cell r="AL286">
            <v>91.644000000000005</v>
          </cell>
          <cell r="AN286">
            <v>0</v>
          </cell>
          <cell r="AP286">
            <v>91.644000000000005</v>
          </cell>
          <cell r="AT286">
            <v>5330.4089999999997</v>
          </cell>
          <cell r="AV286">
            <v>0</v>
          </cell>
          <cell r="AX286">
            <v>5330.4089999999997</v>
          </cell>
          <cell r="AZ286" t="str">
            <v>salaries</v>
          </cell>
          <cell r="BG286">
            <v>0</v>
          </cell>
          <cell r="BI286">
            <v>0</v>
          </cell>
          <cell r="BO286">
            <v>5379.5</v>
          </cell>
          <cell r="BQ286">
            <v>12854.347</v>
          </cell>
          <cell r="BU286">
            <v>12854.347</v>
          </cell>
          <cell r="BX286">
            <v>1966.5</v>
          </cell>
          <cell r="CD286">
            <v>14820.847</v>
          </cell>
          <cell r="CJ286">
            <v>0</v>
          </cell>
          <cell r="CL286">
            <v>373</v>
          </cell>
          <cell r="CN286">
            <v>0</v>
          </cell>
          <cell r="CP286">
            <v>373</v>
          </cell>
          <cell r="CQ286">
            <v>0</v>
          </cell>
          <cell r="CT286">
            <v>20573.347000000002</v>
          </cell>
          <cell r="CU286">
            <v>0</v>
          </cell>
          <cell r="CX286">
            <v>20573.347000000002</v>
          </cell>
          <cell r="FH286">
            <v>5608</v>
          </cell>
          <cell r="FI286">
            <v>13307.933000000001</v>
          </cell>
          <cell r="FK286">
            <v>2087.5</v>
          </cell>
          <cell r="FN286">
            <v>15395.433000000001</v>
          </cell>
          <cell r="FO286">
            <v>0</v>
          </cell>
          <cell r="FP286">
            <v>377</v>
          </cell>
          <cell r="FQ286">
            <v>0</v>
          </cell>
          <cell r="FR286">
            <v>377</v>
          </cell>
          <cell r="FS286">
            <v>0</v>
          </cell>
          <cell r="FT286">
            <v>21380.433000000001</v>
          </cell>
          <cell r="FV286">
            <v>21380.433000000001</v>
          </cell>
          <cell r="FW286" t="str">
            <v>salaries</v>
          </cell>
          <cell r="FX286">
            <v>15395.433000000001</v>
          </cell>
          <cell r="FY286">
            <v>377</v>
          </cell>
          <cell r="GA286">
            <v>15772.433000000001</v>
          </cell>
          <cell r="GB286">
            <v>15983.933454539989</v>
          </cell>
          <cell r="GC286">
            <v>5608</v>
          </cell>
          <cell r="GD286">
            <v>5683.2004810583276</v>
          </cell>
          <cell r="GE286">
            <v>5608</v>
          </cell>
          <cell r="GF286">
            <v>4.0110304856531656</v>
          </cell>
          <cell r="GG286">
            <v>19749.031992161985</v>
          </cell>
          <cell r="GH286">
            <v>0</v>
          </cell>
        </row>
        <row r="287">
          <cell r="A287" t="str">
            <v>part.in exp.</v>
          </cell>
          <cell r="I287">
            <v>0</v>
          </cell>
          <cell r="M287" t="str">
            <v xml:space="preserve"> </v>
          </cell>
          <cell r="Q287">
            <v>-1451.694</v>
          </cell>
          <cell r="U287">
            <v>-1451.694</v>
          </cell>
          <cell r="AD287">
            <v>-1451.694</v>
          </cell>
          <cell r="AJ287">
            <v>0</v>
          </cell>
          <cell r="AL287">
            <v>1158.748</v>
          </cell>
          <cell r="AN287">
            <v>0</v>
          </cell>
          <cell r="AP287">
            <v>1158.748</v>
          </cell>
          <cell r="AT287">
            <v>-292.94599999999991</v>
          </cell>
          <cell r="AV287">
            <v>292.94599999999991</v>
          </cell>
          <cell r="AX287">
            <v>0</v>
          </cell>
          <cell r="AZ287" t="str">
            <v>part.in exp.</v>
          </cell>
          <cell r="BI287">
            <v>0</v>
          </cell>
          <cell r="BQ287">
            <v>-5565.2939999999999</v>
          </cell>
          <cell r="BU287">
            <v>-5565.2939999999999</v>
          </cell>
          <cell r="CD287">
            <v>-5565.2939999999999</v>
          </cell>
          <cell r="CJ287">
            <v>0</v>
          </cell>
          <cell r="CL287">
            <v>4503</v>
          </cell>
          <cell r="CN287">
            <v>0</v>
          </cell>
          <cell r="CP287">
            <v>4503</v>
          </cell>
          <cell r="CQ287">
            <v>0</v>
          </cell>
          <cell r="CT287">
            <v>-1062.2939999999999</v>
          </cell>
          <cell r="CU287">
            <v>0</v>
          </cell>
          <cell r="CV287">
            <v>1062.2939999999999</v>
          </cell>
          <cell r="CX287">
            <v>0</v>
          </cell>
          <cell r="FI287">
            <v>-5812.299</v>
          </cell>
          <cell r="FN287">
            <v>-5812.299</v>
          </cell>
          <cell r="FO287">
            <v>0</v>
          </cell>
          <cell r="FP287">
            <v>4660.6000000000004</v>
          </cell>
          <cell r="FQ287">
            <v>0</v>
          </cell>
          <cell r="FR287">
            <v>4660.6000000000004</v>
          </cell>
          <cell r="FS287">
            <v>0</v>
          </cell>
          <cell r="FT287">
            <v>-1151.6989999999996</v>
          </cell>
          <cell r="FU287">
            <v>133.30299999999988</v>
          </cell>
          <cell r="FV287">
            <v>-1018.3959999999997</v>
          </cell>
          <cell r="FW287" t="str">
            <v>part.in exp.</v>
          </cell>
          <cell r="FX287">
            <v>-5812.299</v>
          </cell>
          <cell r="FY287">
            <v>4660.6000000000004</v>
          </cell>
          <cell r="GA287">
            <v>-1151.6989999999996</v>
          </cell>
          <cell r="GB287">
            <v>-1167.142708779314</v>
          </cell>
          <cell r="GC287">
            <v>133.30299999999988</v>
          </cell>
          <cell r="GD287">
            <v>135.09052669873711</v>
          </cell>
          <cell r="GE287">
            <v>133.30299999999988</v>
          </cell>
          <cell r="GF287" t="e">
            <v>#DIV/0!</v>
          </cell>
          <cell r="GG287">
            <v>-0.56700587851077733</v>
          </cell>
          <cell r="GH287">
            <v>0</v>
          </cell>
        </row>
        <row r="288">
          <cell r="A288" t="str">
            <v>bad debts</v>
          </cell>
          <cell r="I288">
            <v>0</v>
          </cell>
          <cell r="M288">
            <v>52.435817307692311</v>
          </cell>
          <cell r="Q288">
            <v>220.20099999999999</v>
          </cell>
          <cell r="U288">
            <v>220.20099999999999</v>
          </cell>
          <cell r="X288">
            <v>193.5</v>
          </cell>
          <cell r="Z288">
            <v>4.5069999999999997</v>
          </cell>
          <cell r="AD288">
            <v>418.20800000000003</v>
          </cell>
          <cell r="AJ288">
            <v>0</v>
          </cell>
          <cell r="AL288">
            <v>137.91800000000001</v>
          </cell>
          <cell r="AP288">
            <v>137.91800000000001</v>
          </cell>
          <cell r="AT288">
            <v>608.56181730769231</v>
          </cell>
          <cell r="AX288">
            <v>608.56181730769231</v>
          </cell>
          <cell r="AZ288" t="str">
            <v>bad debts</v>
          </cell>
          <cell r="BI288">
            <v>0</v>
          </cell>
          <cell r="BM288">
            <v>242.07149999999999</v>
          </cell>
          <cell r="BQ288">
            <v>923.55700000000002</v>
          </cell>
          <cell r="BU288">
            <v>923.55700000000002</v>
          </cell>
          <cell r="BX288">
            <v>762.5</v>
          </cell>
          <cell r="BZ288">
            <v>20.782</v>
          </cell>
          <cell r="CD288">
            <v>1706.8389999999999</v>
          </cell>
          <cell r="CJ288">
            <v>0</v>
          </cell>
          <cell r="CL288">
            <v>587</v>
          </cell>
          <cell r="CP288">
            <v>587</v>
          </cell>
          <cell r="CQ288">
            <v>0</v>
          </cell>
          <cell r="CT288">
            <v>2535.9105</v>
          </cell>
          <cell r="CU288">
            <v>0</v>
          </cell>
          <cell r="CX288">
            <v>2535.9105</v>
          </cell>
          <cell r="FG288">
            <v>218.13300000000001</v>
          </cell>
          <cell r="FI288">
            <v>918.75</v>
          </cell>
          <cell r="FK288">
            <v>774</v>
          </cell>
          <cell r="FL288">
            <v>19.78</v>
          </cell>
          <cell r="FN288">
            <v>1712.53</v>
          </cell>
          <cell r="FO288">
            <v>0</v>
          </cell>
          <cell r="FP288">
            <v>589</v>
          </cell>
          <cell r="FR288">
            <v>589</v>
          </cell>
          <cell r="FS288">
            <v>0</v>
          </cell>
          <cell r="FT288">
            <v>2519.663</v>
          </cell>
          <cell r="FV288">
            <v>2519.663</v>
          </cell>
          <cell r="FW288" t="str">
            <v>bad debts</v>
          </cell>
          <cell r="FX288">
            <v>1712.53</v>
          </cell>
          <cell r="FY288">
            <v>589</v>
          </cell>
          <cell r="GA288">
            <v>2301.5300000000002</v>
          </cell>
          <cell r="GB288">
            <v>2332.3923686109438</v>
          </cell>
          <cell r="GC288">
            <v>218.13300000000027</v>
          </cell>
          <cell r="GD288">
            <v>221.05805466025282</v>
          </cell>
          <cell r="GE288">
            <v>218.13300000000027</v>
          </cell>
          <cell r="GF288">
            <v>4.1403567038548594</v>
          </cell>
          <cell r="GG288">
            <v>1763.4523690398432</v>
          </cell>
          <cell r="GH288">
            <v>0</v>
          </cell>
        </row>
        <row r="289">
          <cell r="A289" t="str">
            <v>office maint.</v>
          </cell>
          <cell r="I289">
            <v>0</v>
          </cell>
          <cell r="M289" t="str">
            <v xml:space="preserve"> </v>
          </cell>
          <cell r="Q289">
            <v>90.584999999999994</v>
          </cell>
          <cell r="U289">
            <v>90.584999999999994</v>
          </cell>
          <cell r="AD289">
            <v>90.584999999999994</v>
          </cell>
          <cell r="AJ289">
            <v>0</v>
          </cell>
          <cell r="AP289">
            <v>0</v>
          </cell>
          <cell r="AT289">
            <v>90.584999999999994</v>
          </cell>
          <cell r="AX289">
            <v>90.584999999999994</v>
          </cell>
          <cell r="AZ289" t="str">
            <v>office maint.</v>
          </cell>
          <cell r="BI289">
            <v>0</v>
          </cell>
          <cell r="BQ289">
            <v>339.74400000000003</v>
          </cell>
          <cell r="BU289">
            <v>339.74400000000003</v>
          </cell>
          <cell r="CD289">
            <v>339.74400000000003</v>
          </cell>
          <cell r="CJ289">
            <v>0</v>
          </cell>
          <cell r="CP289">
            <v>0</v>
          </cell>
          <cell r="CQ289">
            <v>0</v>
          </cell>
          <cell r="CT289">
            <v>339.74400000000003</v>
          </cell>
          <cell r="CU289">
            <v>0</v>
          </cell>
          <cell r="CX289">
            <v>339.74400000000003</v>
          </cell>
          <cell r="FI289">
            <v>354.73700000000002</v>
          </cell>
          <cell r="FN289">
            <v>354.73700000000002</v>
          </cell>
          <cell r="FO289">
            <v>0</v>
          </cell>
          <cell r="FR289">
            <v>0</v>
          </cell>
          <cell r="FS289">
            <v>0</v>
          </cell>
          <cell r="FT289">
            <v>354.73700000000002</v>
          </cell>
          <cell r="FV289">
            <v>354.73700000000002</v>
          </cell>
          <cell r="FW289" t="str">
            <v>office maint.</v>
          </cell>
          <cell r="FX289">
            <v>354.73700000000002</v>
          </cell>
          <cell r="FY289">
            <v>0</v>
          </cell>
          <cell r="GA289">
            <v>354.73700000000002</v>
          </cell>
          <cell r="GB289">
            <v>359.49384612146724</v>
          </cell>
          <cell r="GC289">
            <v>0</v>
          </cell>
          <cell r="GD289">
            <v>0</v>
          </cell>
          <cell r="GE289">
            <v>0</v>
          </cell>
          <cell r="GF289">
            <v>3.9160677816415528</v>
          </cell>
          <cell r="GG289">
            <v>1550.0593807968648</v>
          </cell>
          <cell r="GH289">
            <v>0</v>
          </cell>
        </row>
        <row r="290">
          <cell r="A290" t="str">
            <v>car &amp; travel</v>
          </cell>
          <cell r="I290">
            <v>0</v>
          </cell>
          <cell r="M290" t="str">
            <v xml:space="preserve"> </v>
          </cell>
          <cell r="O290">
            <v>126.5</v>
          </cell>
          <cell r="Q290">
            <v>47.6</v>
          </cell>
          <cell r="U290">
            <v>47.6</v>
          </cell>
          <cell r="AD290">
            <v>47.6</v>
          </cell>
          <cell r="AJ290">
            <v>0</v>
          </cell>
          <cell r="AP290">
            <v>0</v>
          </cell>
          <cell r="AT290">
            <v>174.1</v>
          </cell>
          <cell r="AX290">
            <v>174.1</v>
          </cell>
          <cell r="AZ290" t="str">
            <v>car &amp; travel</v>
          </cell>
          <cell r="BG290">
            <v>0</v>
          </cell>
          <cell r="BI290">
            <v>0</v>
          </cell>
          <cell r="BO290">
            <v>477</v>
          </cell>
          <cell r="BQ290">
            <v>180.64</v>
          </cell>
          <cell r="BU290">
            <v>180.64</v>
          </cell>
          <cell r="CD290">
            <v>180.64</v>
          </cell>
          <cell r="CJ290">
            <v>0</v>
          </cell>
          <cell r="CP290">
            <v>0</v>
          </cell>
          <cell r="CQ290">
            <v>0</v>
          </cell>
          <cell r="CT290">
            <v>657.64</v>
          </cell>
          <cell r="CU290">
            <v>0</v>
          </cell>
          <cell r="CX290">
            <v>657.64</v>
          </cell>
          <cell r="FH290">
            <v>503</v>
          </cell>
          <cell r="FI290">
            <v>191.417</v>
          </cell>
          <cell r="FN290">
            <v>191.417</v>
          </cell>
          <cell r="FO290">
            <v>0</v>
          </cell>
          <cell r="FR290">
            <v>0</v>
          </cell>
          <cell r="FS290">
            <v>0</v>
          </cell>
          <cell r="FT290">
            <v>694.41700000000003</v>
          </cell>
          <cell r="FV290">
            <v>694.41700000000003</v>
          </cell>
          <cell r="FW290" t="str">
            <v>car &amp; travel</v>
          </cell>
          <cell r="FX290">
            <v>191.417</v>
          </cell>
          <cell r="FY290">
            <v>0</v>
          </cell>
          <cell r="GA290">
            <v>191.417</v>
          </cell>
          <cell r="GB290">
            <v>193.98380643415513</v>
          </cell>
          <cell r="GC290">
            <v>503</v>
          </cell>
          <cell r="GD290">
            <v>509.74497895369808</v>
          </cell>
          <cell r="GE290">
            <v>503</v>
          </cell>
          <cell r="GF290">
            <v>3.988609994256175</v>
          </cell>
          <cell r="GG290">
            <v>641.15004376224704</v>
          </cell>
          <cell r="GH290">
            <v>0</v>
          </cell>
        </row>
        <row r="291">
          <cell r="A291" t="str">
            <v>amortization</v>
          </cell>
          <cell r="I291">
            <v>0</v>
          </cell>
          <cell r="M291" t="str">
            <v xml:space="preserve"> </v>
          </cell>
          <cell r="Q291">
            <v>0.89900000000000002</v>
          </cell>
          <cell r="U291">
            <v>0.89900000000000002</v>
          </cell>
          <cell r="AD291">
            <v>0.89900000000000002</v>
          </cell>
          <cell r="AJ291">
            <v>0</v>
          </cell>
          <cell r="AP291">
            <v>0</v>
          </cell>
          <cell r="AT291">
            <v>0.89900000000000002</v>
          </cell>
          <cell r="AX291">
            <v>0.89900000000000002</v>
          </cell>
          <cell r="AZ291" t="str">
            <v>amortization</v>
          </cell>
          <cell r="BQ291">
            <v>2.823</v>
          </cell>
          <cell r="BU291">
            <v>2.823</v>
          </cell>
          <cell r="CD291">
            <v>2.823</v>
          </cell>
          <cell r="CJ291">
            <v>0</v>
          </cell>
          <cell r="CP291">
            <v>0</v>
          </cell>
          <cell r="CQ291">
            <v>0</v>
          </cell>
          <cell r="CT291">
            <v>2.823</v>
          </cell>
          <cell r="CU291">
            <v>0</v>
          </cell>
          <cell r="CX291">
            <v>2.823</v>
          </cell>
          <cell r="FI291">
            <v>1.8560000000000001</v>
          </cell>
          <cell r="FN291">
            <v>1.8560000000000001</v>
          </cell>
          <cell r="FO291">
            <v>0</v>
          </cell>
          <cell r="FR291">
            <v>0</v>
          </cell>
          <cell r="FS291">
            <v>0</v>
          </cell>
          <cell r="FT291">
            <v>1.8560000000000001</v>
          </cell>
          <cell r="FV291">
            <v>1.8560000000000001</v>
          </cell>
          <cell r="FW291" t="str">
            <v>amortization</v>
          </cell>
          <cell r="FX291">
            <v>1.8560000000000001</v>
          </cell>
          <cell r="FY291">
            <v>0</v>
          </cell>
          <cell r="GA291">
            <v>1.8560000000000001</v>
          </cell>
          <cell r="GB291">
            <v>1.8808880336740832</v>
          </cell>
          <cell r="GC291">
            <v>0</v>
          </cell>
          <cell r="GD291">
            <v>0</v>
          </cell>
          <cell r="GE291">
            <v>0</v>
          </cell>
          <cell r="GF291">
            <v>2.064516129032258</v>
          </cell>
          <cell r="GG291">
            <v>119.61108491182236</v>
          </cell>
          <cell r="GH291">
            <v>0</v>
          </cell>
        </row>
        <row r="292">
          <cell r="A292" t="str">
            <v>advertizment</v>
          </cell>
          <cell r="C292">
            <v>0.67900000000000005</v>
          </cell>
          <cell r="I292">
            <v>0.67900000000000005</v>
          </cell>
          <cell r="M292">
            <v>88.676562500000003</v>
          </cell>
          <cell r="O292">
            <v>231.5</v>
          </cell>
          <cell r="Q292">
            <v>985.21600000000001</v>
          </cell>
          <cell r="U292">
            <v>985.21600000000001</v>
          </cell>
          <cell r="X292">
            <v>103.5</v>
          </cell>
          <cell r="AD292">
            <v>1088.7159999999999</v>
          </cell>
          <cell r="AJ292">
            <v>0</v>
          </cell>
          <cell r="AL292">
            <v>157.83199999999999</v>
          </cell>
          <cell r="AP292">
            <v>157.83199999999999</v>
          </cell>
          <cell r="AT292">
            <v>1567.4035624999999</v>
          </cell>
          <cell r="AX292">
            <v>1567.4035624999999</v>
          </cell>
          <cell r="AZ292" t="str">
            <v>advertizment</v>
          </cell>
          <cell r="BC292">
            <v>2.5</v>
          </cell>
          <cell r="BI292">
            <v>2.5</v>
          </cell>
          <cell r="BM292">
            <v>351.81599999999997</v>
          </cell>
          <cell r="BO292">
            <v>1286.5</v>
          </cell>
          <cell r="BQ292">
            <v>3847.4969999999998</v>
          </cell>
          <cell r="BU292">
            <v>3847.4969999999998</v>
          </cell>
          <cell r="BX292">
            <v>407.5</v>
          </cell>
          <cell r="CD292">
            <v>4254.9969999999994</v>
          </cell>
          <cell r="CJ292">
            <v>0</v>
          </cell>
          <cell r="CL292">
            <v>620</v>
          </cell>
          <cell r="CP292">
            <v>620</v>
          </cell>
          <cell r="CQ292">
            <v>0</v>
          </cell>
          <cell r="CT292">
            <v>6515.8129999999992</v>
          </cell>
          <cell r="CU292">
            <v>0</v>
          </cell>
          <cell r="CX292">
            <v>6515.8129999999992</v>
          </cell>
          <cell r="FC292">
            <v>2.6459999999999999</v>
          </cell>
          <cell r="FF292">
            <v>2.6459999999999999</v>
          </cell>
          <cell r="FG292">
            <v>368.89449999999999</v>
          </cell>
          <cell r="FH292">
            <v>919</v>
          </cell>
          <cell r="FI292">
            <v>3961.39</v>
          </cell>
          <cell r="FK292">
            <v>433</v>
          </cell>
          <cell r="FN292">
            <v>4394.3900000000003</v>
          </cell>
          <cell r="FO292">
            <v>0</v>
          </cell>
          <cell r="FP292">
            <v>640</v>
          </cell>
          <cell r="FR292">
            <v>640</v>
          </cell>
          <cell r="FS292">
            <v>0</v>
          </cell>
          <cell r="FT292">
            <v>6324.9305000000004</v>
          </cell>
          <cell r="FV292">
            <v>6324.9305000000004</v>
          </cell>
          <cell r="FW292" t="str">
            <v>advertizment</v>
          </cell>
          <cell r="FX292">
            <v>4394.3900000000003</v>
          </cell>
          <cell r="FY292">
            <v>640</v>
          </cell>
          <cell r="GA292">
            <v>5034.3900000000003</v>
          </cell>
          <cell r="GB292">
            <v>5101.8986572459407</v>
          </cell>
          <cell r="GC292">
            <v>1290.5405000000001</v>
          </cell>
          <cell r="GD292">
            <v>1307.8460039987972</v>
          </cell>
          <cell r="GE292">
            <v>1290.5405000000001</v>
          </cell>
          <cell r="GF292">
            <v>4.035291644936529</v>
          </cell>
          <cell r="GG292">
            <v>3927.3792521227956</v>
          </cell>
          <cell r="GH292">
            <v>0</v>
          </cell>
        </row>
        <row r="293">
          <cell r="C293">
            <v>0.67900000000000005</v>
          </cell>
          <cell r="E293">
            <v>0</v>
          </cell>
          <cell r="G293">
            <v>0</v>
          </cell>
          <cell r="I293">
            <v>0.67900000000000005</v>
          </cell>
          <cell r="M293">
            <v>141.11237980769229</v>
          </cell>
          <cell r="O293">
            <v>1745</v>
          </cell>
          <cell r="Q293">
            <v>3232.5719999999997</v>
          </cell>
          <cell r="S293">
            <v>0</v>
          </cell>
          <cell r="U293">
            <v>3232.5719999999997</v>
          </cell>
          <cell r="W293">
            <v>0</v>
          </cell>
          <cell r="X293">
            <v>809</v>
          </cell>
          <cell r="Z293">
            <v>4.5069999999999997</v>
          </cell>
          <cell r="AB293">
            <v>0</v>
          </cell>
          <cell r="AD293">
            <v>4046.0789999999997</v>
          </cell>
          <cell r="AF293">
            <v>0</v>
          </cell>
          <cell r="AH293">
            <v>0</v>
          </cell>
          <cell r="AJ293">
            <v>0</v>
          </cell>
          <cell r="AL293">
            <v>1546.1419999999998</v>
          </cell>
          <cell r="AN293">
            <v>0</v>
          </cell>
          <cell r="AP293">
            <v>1546.1419999999998</v>
          </cell>
          <cell r="AR293">
            <v>0</v>
          </cell>
          <cell r="AT293">
            <v>7479.0123798076929</v>
          </cell>
          <cell r="AV293">
            <v>292.94599999999991</v>
          </cell>
          <cell r="AX293">
            <v>7771.9583798076928</v>
          </cell>
          <cell r="BC293">
            <v>2.5</v>
          </cell>
          <cell r="BE293">
            <v>0</v>
          </cell>
          <cell r="BG293">
            <v>0</v>
          </cell>
          <cell r="BI293">
            <v>2.5</v>
          </cell>
          <cell r="BM293">
            <v>593.88750000000005</v>
          </cell>
          <cell r="BO293">
            <v>7143</v>
          </cell>
          <cell r="BQ293">
            <v>12583.314</v>
          </cell>
          <cell r="BS293">
            <v>0</v>
          </cell>
          <cell r="BU293">
            <v>12583.314</v>
          </cell>
          <cell r="BW293">
            <v>0</v>
          </cell>
          <cell r="BX293">
            <v>3136.5</v>
          </cell>
          <cell r="BZ293">
            <v>20.782</v>
          </cell>
          <cell r="CB293">
            <v>0</v>
          </cell>
          <cell r="CD293">
            <v>15740.596</v>
          </cell>
          <cell r="CF293">
            <v>0</v>
          </cell>
          <cell r="CH293">
            <v>0</v>
          </cell>
          <cell r="CJ293">
            <v>0</v>
          </cell>
          <cell r="CL293">
            <v>6083</v>
          </cell>
          <cell r="CN293">
            <v>0</v>
          </cell>
          <cell r="CP293">
            <v>6083</v>
          </cell>
          <cell r="CQ293">
            <v>0</v>
          </cell>
          <cell r="CR293">
            <v>0</v>
          </cell>
          <cell r="CT293">
            <v>29562.983499999995</v>
          </cell>
          <cell r="CU293">
            <v>0</v>
          </cell>
          <cell r="CV293">
            <v>1062.2939999999999</v>
          </cell>
          <cell r="CX293">
            <v>30625.277499999997</v>
          </cell>
          <cell r="FC293">
            <v>2.6459999999999999</v>
          </cell>
          <cell r="FD293">
            <v>0</v>
          </cell>
          <cell r="FE293">
            <v>0</v>
          </cell>
          <cell r="FF293">
            <v>2.6459999999999999</v>
          </cell>
          <cell r="FG293">
            <v>587.02750000000003</v>
          </cell>
          <cell r="FH293">
            <v>7030</v>
          </cell>
          <cell r="FI293">
            <v>12923.784</v>
          </cell>
          <cell r="FJ293">
            <v>0</v>
          </cell>
          <cell r="FK293">
            <v>3294.5</v>
          </cell>
          <cell r="FL293">
            <v>19.78</v>
          </cell>
          <cell r="FM293">
            <v>0</v>
          </cell>
          <cell r="FN293">
            <v>16238.064000000002</v>
          </cell>
          <cell r="FO293">
            <v>0</v>
          </cell>
          <cell r="FP293">
            <v>6266.6</v>
          </cell>
          <cell r="FQ293">
            <v>0</v>
          </cell>
          <cell r="FR293">
            <v>6266.6</v>
          </cell>
          <cell r="FS293">
            <v>0</v>
          </cell>
          <cell r="FT293">
            <v>30124.337500000001</v>
          </cell>
          <cell r="FU293">
            <v>133.30299999999988</v>
          </cell>
          <cell r="FV293">
            <v>30257.640500000001</v>
          </cell>
          <cell r="FX293">
            <v>16238.064000000002</v>
          </cell>
          <cell r="FY293">
            <v>6266.6</v>
          </cell>
          <cell r="FZ293">
            <v>0</v>
          </cell>
          <cell r="GA293">
            <v>22504.664000000001</v>
          </cell>
          <cell r="GB293">
            <v>22806.440312206854</v>
          </cell>
          <cell r="GC293">
            <v>7752.9764999999998</v>
          </cell>
          <cell r="GD293">
            <v>7856.9400453698127</v>
          </cell>
          <cell r="GE293">
            <v>7752.9765000000007</v>
          </cell>
          <cell r="GF293">
            <v>3.8931809746449888</v>
          </cell>
          <cell r="GG293">
            <v>27750.117116917052</v>
          </cell>
          <cell r="GH293">
            <v>0</v>
          </cell>
        </row>
        <row r="294">
          <cell r="A294" t="str">
            <v>ADM. &amp;GENERAL</v>
          </cell>
          <cell r="AT294">
            <v>0</v>
          </cell>
          <cell r="AZ294" t="str">
            <v>ADM. &amp;GENERAL</v>
          </cell>
          <cell r="CD294">
            <v>0</v>
          </cell>
          <cell r="CQ294">
            <v>0</v>
          </cell>
          <cell r="CT294">
            <v>0</v>
          </cell>
          <cell r="CU294">
            <v>0</v>
          </cell>
          <cell r="FS294">
            <v>0</v>
          </cell>
          <cell r="FW294" t="str">
            <v>ADM. &amp;GENERAL</v>
          </cell>
          <cell r="FX294">
            <v>0</v>
          </cell>
          <cell r="FY294">
            <v>0</v>
          </cell>
          <cell r="GA294">
            <v>0</v>
          </cell>
          <cell r="GB294">
            <v>0</v>
          </cell>
          <cell r="GC294">
            <v>0</v>
          </cell>
          <cell r="GD294">
            <v>0</v>
          </cell>
          <cell r="GE294">
            <v>0</v>
          </cell>
          <cell r="GF294" t="e">
            <v>#DIV/0!</v>
          </cell>
          <cell r="GH294">
            <v>0</v>
          </cell>
        </row>
        <row r="295">
          <cell r="A295" t="str">
            <v>salaries</v>
          </cell>
          <cell r="I295">
            <v>0</v>
          </cell>
          <cell r="M295">
            <v>48.925240384615385</v>
          </cell>
          <cell r="O295">
            <v>434.5</v>
          </cell>
          <cell r="Q295">
            <v>3124.01</v>
          </cell>
          <cell r="U295">
            <v>3124.01</v>
          </cell>
          <cell r="X295">
            <v>39</v>
          </cell>
          <cell r="AD295">
            <v>3163.01</v>
          </cell>
          <cell r="AH295">
            <v>0</v>
          </cell>
          <cell r="AJ295">
            <v>0</v>
          </cell>
          <cell r="AL295">
            <v>73.483000000000004</v>
          </cell>
          <cell r="AN295">
            <v>0</v>
          </cell>
          <cell r="AP295">
            <v>73.483000000000004</v>
          </cell>
          <cell r="AT295">
            <v>3719.9182403846157</v>
          </cell>
          <cell r="AX295">
            <v>3719.9182403846157</v>
          </cell>
          <cell r="AZ295" t="str">
            <v>salaries</v>
          </cell>
          <cell r="BI295">
            <v>0</v>
          </cell>
          <cell r="BM295">
            <v>194.01400000000001</v>
          </cell>
          <cell r="BO295">
            <v>1699.5</v>
          </cell>
          <cell r="BQ295">
            <v>12198.977000000001</v>
          </cell>
          <cell r="BU295">
            <v>12198.977000000001</v>
          </cell>
          <cell r="BX295">
            <v>205.5</v>
          </cell>
          <cell r="CD295">
            <v>12404.477000000001</v>
          </cell>
          <cell r="CH295">
            <v>0</v>
          </cell>
          <cell r="CJ295">
            <v>0</v>
          </cell>
          <cell r="CL295">
            <v>274</v>
          </cell>
          <cell r="CN295">
            <v>0</v>
          </cell>
          <cell r="CP295">
            <v>274</v>
          </cell>
          <cell r="CQ295">
            <v>0</v>
          </cell>
          <cell r="CT295">
            <v>14571.991</v>
          </cell>
          <cell r="CU295">
            <v>0</v>
          </cell>
          <cell r="CX295">
            <v>14571.991</v>
          </cell>
          <cell r="FG295">
            <v>203.529</v>
          </cell>
          <cell r="FH295">
            <v>1759</v>
          </cell>
          <cell r="FI295">
            <v>12911.478999999999</v>
          </cell>
          <cell r="FK295">
            <v>267.5</v>
          </cell>
          <cell r="FN295">
            <v>13178.978999999999</v>
          </cell>
          <cell r="FO295">
            <v>0</v>
          </cell>
          <cell r="FP295">
            <v>291</v>
          </cell>
          <cell r="FQ295">
            <v>0</v>
          </cell>
          <cell r="FR295">
            <v>291</v>
          </cell>
          <cell r="FS295">
            <v>0</v>
          </cell>
          <cell r="FT295">
            <v>15432.508</v>
          </cell>
          <cell r="FV295">
            <v>15432.508</v>
          </cell>
          <cell r="FW295" t="str">
            <v>salaries</v>
          </cell>
          <cell r="FX295">
            <v>13178.978999999999</v>
          </cell>
          <cell r="FY295">
            <v>291</v>
          </cell>
          <cell r="GA295">
            <v>13469.978999999999</v>
          </cell>
          <cell r="GB295">
            <v>13650.604695550208</v>
          </cell>
          <cell r="GC295">
            <v>1962.5290000000005</v>
          </cell>
          <cell r="GD295">
            <v>1988.8455343956707</v>
          </cell>
          <cell r="GE295">
            <v>1962.5290000000005</v>
          </cell>
          <cell r="GF295">
            <v>4.1486148357939117</v>
          </cell>
          <cell r="GG295">
            <v>16071.170438477417</v>
          </cell>
          <cell r="GH295">
            <v>0</v>
          </cell>
        </row>
        <row r="296">
          <cell r="A296" t="str">
            <v>management fees</v>
          </cell>
          <cell r="C296">
            <v>2000</v>
          </cell>
          <cell r="G296">
            <v>0</v>
          </cell>
          <cell r="I296">
            <v>2000</v>
          </cell>
          <cell r="M296" t="str">
            <v xml:space="preserve"> </v>
          </cell>
          <cell r="Q296">
            <v>3414.0410000000002</v>
          </cell>
          <cell r="U296">
            <v>3414.0410000000002</v>
          </cell>
          <cell r="X296">
            <v>1251</v>
          </cell>
          <cell r="Z296">
            <v>253.06</v>
          </cell>
          <cell r="AD296">
            <v>4918.1010000000006</v>
          </cell>
          <cell r="AJ296">
            <v>0</v>
          </cell>
          <cell r="AL296">
            <v>1964.895</v>
          </cell>
          <cell r="AN296">
            <v>-26.103999999999999</v>
          </cell>
          <cell r="AP296">
            <v>1938.7909999999999</v>
          </cell>
          <cell r="AT296">
            <v>8856.8919999999998</v>
          </cell>
          <cell r="AV296">
            <v>-4666.5209999999997</v>
          </cell>
          <cell r="AX296">
            <v>4190.3710000000001</v>
          </cell>
          <cell r="AZ296" t="str">
            <v>management fees</v>
          </cell>
          <cell r="BC296">
            <v>7601</v>
          </cell>
          <cell r="BI296">
            <v>7601</v>
          </cell>
          <cell r="BQ296">
            <v>14202.41</v>
          </cell>
          <cell r="BU296">
            <v>14202.41</v>
          </cell>
          <cell r="BX296">
            <v>5001</v>
          </cell>
          <cell r="CD296">
            <v>19203.41</v>
          </cell>
          <cell r="CH296">
            <v>0</v>
          </cell>
          <cell r="CJ296">
            <v>0</v>
          </cell>
          <cell r="CL296">
            <v>8174</v>
          </cell>
          <cell r="CN296">
            <v>-108.59399999999999</v>
          </cell>
          <cell r="CP296">
            <v>8065.4059999999999</v>
          </cell>
          <cell r="CQ296">
            <v>0</v>
          </cell>
          <cell r="CT296">
            <v>34869.815999999999</v>
          </cell>
          <cell r="CU296">
            <v>0</v>
          </cell>
          <cell r="CV296">
            <v>-29845.836500000001</v>
          </cell>
          <cell r="CX296">
            <v>5023.9794999999976</v>
          </cell>
          <cell r="FC296">
            <v>7986.7030000000004</v>
          </cell>
          <cell r="FE296">
            <v>0</v>
          </cell>
          <cell r="FF296">
            <v>7986.7030000000004</v>
          </cell>
          <cell r="FI296">
            <v>14202.41</v>
          </cell>
          <cell r="FK296">
            <v>5175.5</v>
          </cell>
          <cell r="FL296">
            <v>1014.394</v>
          </cell>
          <cell r="FN296">
            <v>20392.304</v>
          </cell>
          <cell r="FO296">
            <v>0</v>
          </cell>
          <cell r="FP296">
            <v>8174</v>
          </cell>
          <cell r="FQ296">
            <v>-108.59399999999999</v>
          </cell>
          <cell r="FR296">
            <v>8065.4059999999999</v>
          </cell>
          <cell r="FS296">
            <v>0</v>
          </cell>
          <cell r="FT296">
            <v>36444.413</v>
          </cell>
          <cell r="FU296">
            <v>-18322.3449554</v>
          </cell>
          <cell r="FV296">
            <v>18122.068044600001</v>
          </cell>
          <cell r="FW296" t="str">
            <v>management fees</v>
          </cell>
          <cell r="FX296">
            <v>20392.304</v>
          </cell>
          <cell r="FY296">
            <v>8065.4059999999999</v>
          </cell>
          <cell r="FZ296">
            <v>-18322.3449554</v>
          </cell>
          <cell r="GA296">
            <v>10135.365044599999</v>
          </cell>
          <cell r="GB296">
            <v>10271.275231307503</v>
          </cell>
          <cell r="GC296">
            <v>7986.7030000000013</v>
          </cell>
          <cell r="GD296">
            <v>8093.8007010823821</v>
          </cell>
          <cell r="GE296">
            <v>7986.7030000000013</v>
          </cell>
          <cell r="GF296">
            <v>4.3246929793567208</v>
          </cell>
          <cell r="GG296">
            <v>15820.448124101897</v>
          </cell>
          <cell r="GH296">
            <v>0</v>
          </cell>
        </row>
        <row r="297">
          <cell r="A297" t="str">
            <v>part.in exp.</v>
          </cell>
          <cell r="G297">
            <v>0</v>
          </cell>
          <cell r="I297">
            <v>0</v>
          </cell>
          <cell r="M297" t="str">
            <v xml:space="preserve"> </v>
          </cell>
          <cell r="Q297">
            <v>-2469</v>
          </cell>
          <cell r="U297">
            <v>-2469</v>
          </cell>
          <cell r="AD297">
            <v>-2469</v>
          </cell>
          <cell r="AJ297">
            <v>0</v>
          </cell>
          <cell r="AL297">
            <v>2468.7919999999999</v>
          </cell>
          <cell r="AN297">
            <v>0</v>
          </cell>
          <cell r="AP297">
            <v>2468.7919999999999</v>
          </cell>
          <cell r="AT297">
            <v>-0.20800000000008367</v>
          </cell>
          <cell r="AV297">
            <v>0</v>
          </cell>
          <cell r="AX297">
            <v>-0.20800000000008367</v>
          </cell>
          <cell r="AZ297" t="str">
            <v>part.in exp.</v>
          </cell>
          <cell r="BI297">
            <v>0</v>
          </cell>
          <cell r="BU297">
            <v>0</v>
          </cell>
          <cell r="BX297">
            <v>2473</v>
          </cell>
          <cell r="CD297">
            <v>2473</v>
          </cell>
          <cell r="CJ297">
            <v>0</v>
          </cell>
          <cell r="CL297">
            <v>9461</v>
          </cell>
          <cell r="CN297">
            <v>0</v>
          </cell>
          <cell r="CP297">
            <v>9461</v>
          </cell>
          <cell r="CQ297">
            <v>0</v>
          </cell>
          <cell r="CT297">
            <v>11934</v>
          </cell>
          <cell r="CU297">
            <v>0</v>
          </cell>
          <cell r="CV297">
            <v>0</v>
          </cell>
          <cell r="CX297">
            <v>11934</v>
          </cell>
          <cell r="FE297">
            <v>0</v>
          </cell>
          <cell r="FI297">
            <v>-9797</v>
          </cell>
          <cell r="FN297">
            <v>-9797</v>
          </cell>
          <cell r="FO297">
            <v>0</v>
          </cell>
          <cell r="FP297">
            <v>9883</v>
          </cell>
          <cell r="FQ297">
            <v>0</v>
          </cell>
          <cell r="FR297">
            <v>9883</v>
          </cell>
          <cell r="FS297">
            <v>0</v>
          </cell>
          <cell r="FT297">
            <v>86</v>
          </cell>
          <cell r="FU297">
            <v>-86</v>
          </cell>
          <cell r="FV297">
            <v>0</v>
          </cell>
          <cell r="FW297" t="str">
            <v>part.in exp.</v>
          </cell>
          <cell r="FX297">
            <v>-9797</v>
          </cell>
          <cell r="FY297">
            <v>9883</v>
          </cell>
          <cell r="GA297">
            <v>86</v>
          </cell>
          <cell r="GB297">
            <v>87.153217077570645</v>
          </cell>
          <cell r="GC297">
            <v>-86</v>
          </cell>
          <cell r="GD297">
            <v>-87.153217077570645</v>
          </cell>
          <cell r="GE297">
            <v>-86</v>
          </cell>
          <cell r="GF297">
            <v>0</v>
          </cell>
          <cell r="GG297">
            <v>-20.109156760287398</v>
          </cell>
          <cell r="GH297">
            <v>0</v>
          </cell>
        </row>
        <row r="298">
          <cell r="A298" t="str">
            <v>computer&amp;bookkeeping</v>
          </cell>
          <cell r="C298">
            <v>16.603999999999999</v>
          </cell>
          <cell r="I298">
            <v>16.603999999999999</v>
          </cell>
          <cell r="M298" t="str">
            <v xml:space="preserve"> </v>
          </cell>
          <cell r="Q298">
            <v>559.50400000000002</v>
          </cell>
          <cell r="U298">
            <v>559.50400000000002</v>
          </cell>
          <cell r="AD298">
            <v>559.50400000000002</v>
          </cell>
          <cell r="AJ298">
            <v>0</v>
          </cell>
          <cell r="AP298">
            <v>0</v>
          </cell>
          <cell r="AR298">
            <v>8.0350000000000001</v>
          </cell>
          <cell r="AT298">
            <v>584.14300000000003</v>
          </cell>
          <cell r="AX298">
            <v>584.14300000000003</v>
          </cell>
          <cell r="AZ298" t="str">
            <v>computer&amp;bookkeeping</v>
          </cell>
          <cell r="BC298">
            <v>67.92</v>
          </cell>
          <cell r="BI298">
            <v>67.92</v>
          </cell>
          <cell r="BQ298">
            <v>2209.35</v>
          </cell>
          <cell r="BU298">
            <v>2209.35</v>
          </cell>
          <cell r="CD298">
            <v>2209.35</v>
          </cell>
          <cell r="CJ298">
            <v>0</v>
          </cell>
          <cell r="CP298">
            <v>0</v>
          </cell>
          <cell r="CQ298">
            <v>0</v>
          </cell>
          <cell r="CR298">
            <v>30</v>
          </cell>
          <cell r="CT298">
            <v>2307.27</v>
          </cell>
          <cell r="CU298">
            <v>0</v>
          </cell>
          <cell r="CX298">
            <v>2307.27</v>
          </cell>
          <cell r="FC298">
            <v>68.847000000000008</v>
          </cell>
          <cell r="FF298">
            <v>68.847000000000008</v>
          </cell>
          <cell r="FI298">
            <v>2295.8829999999998</v>
          </cell>
          <cell r="FN298">
            <v>2295.8829999999998</v>
          </cell>
          <cell r="FO298">
            <v>0</v>
          </cell>
          <cell r="FR298">
            <v>0</v>
          </cell>
          <cell r="FS298">
            <v>31.581</v>
          </cell>
          <cell r="FT298">
            <v>2396.3110000000001</v>
          </cell>
          <cell r="FV298">
            <v>2396.3110000000001</v>
          </cell>
          <cell r="FW298" t="str">
            <v>computer&amp;bookkeeping</v>
          </cell>
          <cell r="FX298">
            <v>2295.8829999999998</v>
          </cell>
          <cell r="FY298">
            <v>0</v>
          </cell>
          <cell r="GA298">
            <v>2295.8829999999998</v>
          </cell>
          <cell r="GB298">
            <v>2326.6696451593502</v>
          </cell>
          <cell r="GC298">
            <v>100.42800000000034</v>
          </cell>
          <cell r="GD298">
            <v>101.77468935658482</v>
          </cell>
          <cell r="GE298">
            <v>100.42800000000034</v>
          </cell>
          <cell r="GF298">
            <v>4.102267766625638</v>
          </cell>
          <cell r="GG298">
            <v>1668.198401454712</v>
          </cell>
          <cell r="GH298">
            <v>0</v>
          </cell>
        </row>
        <row r="299">
          <cell r="A299" t="str">
            <v>office maint.&amp;other</v>
          </cell>
          <cell r="C299">
            <v>50</v>
          </cell>
          <cell r="I299">
            <v>50</v>
          </cell>
          <cell r="M299">
            <v>152.00901442307693</v>
          </cell>
          <cell r="O299">
            <v>274</v>
          </cell>
          <cell r="Q299">
            <v>2120.7580000000003</v>
          </cell>
          <cell r="U299">
            <v>2120.7580000000003</v>
          </cell>
          <cell r="X299">
            <v>-20.5</v>
          </cell>
          <cell r="AD299">
            <v>2100.2580000000003</v>
          </cell>
          <cell r="AJ299">
            <v>0</v>
          </cell>
          <cell r="AL299">
            <v>214.654</v>
          </cell>
          <cell r="AP299">
            <v>214.654</v>
          </cell>
          <cell r="AR299">
            <v>23.381</v>
          </cell>
          <cell r="AT299">
            <v>2814.3020144230773</v>
          </cell>
          <cell r="AX299">
            <v>2814.3020144230773</v>
          </cell>
          <cell r="AZ299" t="str">
            <v>office maint.&amp;other</v>
          </cell>
          <cell r="BI299">
            <v>0</v>
          </cell>
          <cell r="BM299">
            <v>401.9325</v>
          </cell>
          <cell r="BO299">
            <v>1153</v>
          </cell>
          <cell r="BQ299">
            <v>9334.0609999999997</v>
          </cell>
          <cell r="BU299">
            <v>9334.0609999999997</v>
          </cell>
          <cell r="BX299">
            <v>-71.5</v>
          </cell>
          <cell r="BZ299">
            <v>1.5489999999999999</v>
          </cell>
          <cell r="CD299">
            <v>9264.11</v>
          </cell>
          <cell r="CJ299">
            <v>0</v>
          </cell>
          <cell r="CL299">
            <v>765</v>
          </cell>
          <cell r="CP299">
            <v>765</v>
          </cell>
          <cell r="CQ299">
            <v>0</v>
          </cell>
          <cell r="CR299">
            <v>83.45</v>
          </cell>
          <cell r="CT299">
            <v>11667.492500000002</v>
          </cell>
          <cell r="CU299">
            <v>0</v>
          </cell>
          <cell r="CX299">
            <v>11667.492500000002</v>
          </cell>
          <cell r="FC299">
            <v>208.125</v>
          </cell>
          <cell r="FF299">
            <v>208.125</v>
          </cell>
          <cell r="FG299">
            <v>632.35749999999996</v>
          </cell>
          <cell r="FH299">
            <v>1208</v>
          </cell>
          <cell r="FI299">
            <v>9883.6530000000002</v>
          </cell>
          <cell r="FK299">
            <v>-68.5</v>
          </cell>
          <cell r="FN299">
            <v>9815.1530000000002</v>
          </cell>
          <cell r="FO299">
            <v>0</v>
          </cell>
          <cell r="FP299">
            <v>824.04</v>
          </cell>
          <cell r="FR299">
            <v>824.04</v>
          </cell>
          <cell r="FS299">
            <v>84.736999999999995</v>
          </cell>
          <cell r="FT299">
            <v>12772.4125</v>
          </cell>
          <cell r="FV299">
            <v>12772.4125</v>
          </cell>
          <cell r="FW299" t="str">
            <v>office maint.&amp;other</v>
          </cell>
          <cell r="FX299">
            <v>9815.1530000000002</v>
          </cell>
          <cell r="FY299">
            <v>824.04</v>
          </cell>
          <cell r="GA299">
            <v>10639.192999999999</v>
          </cell>
          <cell r="GB299">
            <v>10781.859268129885</v>
          </cell>
          <cell r="GC299">
            <v>2133.2195000000011</v>
          </cell>
          <cell r="GD299">
            <v>2161.8249088093817</v>
          </cell>
          <cell r="GE299">
            <v>2133.2195000000011</v>
          </cell>
          <cell r="GF299">
            <v>4.5383943992302136</v>
          </cell>
          <cell r="GG299">
            <v>7683.178266160252</v>
          </cell>
          <cell r="GH299">
            <v>0</v>
          </cell>
        </row>
        <row r="300">
          <cell r="A300" t="str">
            <v>car &amp; travel</v>
          </cell>
          <cell r="C300">
            <v>13.955</v>
          </cell>
          <cell r="I300">
            <v>13.955</v>
          </cell>
          <cell r="M300">
            <v>5.7054086538461535</v>
          </cell>
          <cell r="O300">
            <v>41</v>
          </cell>
          <cell r="Q300">
            <v>209.95699999999999</v>
          </cell>
          <cell r="U300">
            <v>209.95699999999999</v>
          </cell>
          <cell r="X300">
            <v>108</v>
          </cell>
          <cell r="AD300">
            <v>317.95699999999999</v>
          </cell>
          <cell r="AJ300">
            <v>0</v>
          </cell>
          <cell r="AL300">
            <v>2.1539999999999999</v>
          </cell>
          <cell r="AP300">
            <v>2.1539999999999999</v>
          </cell>
          <cell r="AT300">
            <v>380.77140865384615</v>
          </cell>
          <cell r="AX300">
            <v>380.77140865384615</v>
          </cell>
          <cell r="AZ300" t="str">
            <v>car &amp; travel</v>
          </cell>
          <cell r="BC300">
            <v>56.04</v>
          </cell>
          <cell r="BI300">
            <v>56.04</v>
          </cell>
          <cell r="BM300">
            <v>22.380500000000001</v>
          </cell>
          <cell r="BO300">
            <v>155</v>
          </cell>
          <cell r="BQ300">
            <v>762.74599999999998</v>
          </cell>
          <cell r="BU300">
            <v>762.74599999999998</v>
          </cell>
          <cell r="CD300">
            <v>762.74599999999998</v>
          </cell>
          <cell r="CJ300">
            <v>0</v>
          </cell>
          <cell r="CL300">
            <v>8</v>
          </cell>
          <cell r="CP300">
            <v>8</v>
          </cell>
          <cell r="CQ300">
            <v>0</v>
          </cell>
          <cell r="CT300">
            <v>1004.1664999999999</v>
          </cell>
          <cell r="CU300">
            <v>0</v>
          </cell>
          <cell r="CX300">
            <v>1004.1664999999999</v>
          </cell>
          <cell r="FC300">
            <v>56.04</v>
          </cell>
          <cell r="FF300">
            <v>56.04</v>
          </cell>
          <cell r="FG300">
            <v>23.734500000000001</v>
          </cell>
          <cell r="FH300">
            <v>163</v>
          </cell>
          <cell r="FI300">
            <v>846.62400000000002</v>
          </cell>
          <cell r="FK300">
            <v>496.5</v>
          </cell>
          <cell r="FN300">
            <v>1343.124</v>
          </cell>
          <cell r="FO300">
            <v>0</v>
          </cell>
          <cell r="FP300">
            <v>8.26</v>
          </cell>
          <cell r="FR300">
            <v>8.26</v>
          </cell>
          <cell r="FS300">
            <v>0</v>
          </cell>
          <cell r="FT300">
            <v>1594.1585</v>
          </cell>
          <cell r="FV300">
            <v>1594.1585</v>
          </cell>
          <cell r="FW300" t="str">
            <v>car &amp; travel</v>
          </cell>
          <cell r="FX300">
            <v>1343.124</v>
          </cell>
          <cell r="FY300">
            <v>8.26</v>
          </cell>
          <cell r="GA300">
            <v>1351.384</v>
          </cell>
          <cell r="GB300">
            <v>1369.5053849669271</v>
          </cell>
          <cell r="GC300">
            <v>242.77449999999999</v>
          </cell>
          <cell r="GD300">
            <v>246.02998487672878</v>
          </cell>
          <cell r="GE300">
            <v>242.77449999999999</v>
          </cell>
          <cell r="GF300">
            <v>4.1866549424913009</v>
          </cell>
          <cell r="GG300">
            <v>1608.7137005064444</v>
          </cell>
          <cell r="GH300">
            <v>0</v>
          </cell>
        </row>
        <row r="301">
          <cell r="A301" t="str">
            <v>amortization</v>
          </cell>
          <cell r="C301">
            <v>47.606999999999999</v>
          </cell>
          <cell r="G301">
            <v>-44.594999999999999</v>
          </cell>
          <cell r="I301">
            <v>3.0120000000000005</v>
          </cell>
          <cell r="M301" t="str">
            <v xml:space="preserve"> </v>
          </cell>
          <cell r="Q301">
            <v>345.161</v>
          </cell>
          <cell r="U301">
            <v>345.161</v>
          </cell>
          <cell r="W301">
            <v>3013</v>
          </cell>
          <cell r="X301">
            <v>34</v>
          </cell>
          <cell r="AB301">
            <v>-80.430000000000007</v>
          </cell>
          <cell r="AD301">
            <v>3311.7310000000002</v>
          </cell>
          <cell r="AJ301">
            <v>0</v>
          </cell>
          <cell r="AN301">
            <v>44.588000000000001</v>
          </cell>
          <cell r="AP301">
            <v>44.588000000000001</v>
          </cell>
          <cell r="AT301">
            <v>3359.3310000000006</v>
          </cell>
          <cell r="AV301">
            <v>167.05199999999999</v>
          </cell>
          <cell r="AX301">
            <v>3526.3830000000007</v>
          </cell>
          <cell r="AZ301" t="str">
            <v>amortization</v>
          </cell>
          <cell r="BC301">
            <v>117.58499999999999</v>
          </cell>
          <cell r="BG301">
            <v>-112.69</v>
          </cell>
          <cell r="BI301">
            <v>4.8949999999999996</v>
          </cell>
          <cell r="BQ301">
            <v>1139.7090000000001</v>
          </cell>
          <cell r="BU301">
            <v>1139.7090000000001</v>
          </cell>
          <cell r="BW301">
            <v>14599</v>
          </cell>
          <cell r="BX301">
            <v>101.5</v>
          </cell>
          <cell r="CD301">
            <v>15840.209000000001</v>
          </cell>
          <cell r="CH301">
            <v>0</v>
          </cell>
          <cell r="CJ301">
            <v>0</v>
          </cell>
          <cell r="CP301">
            <v>0</v>
          </cell>
          <cell r="CQ301">
            <v>0</v>
          </cell>
          <cell r="CT301">
            <v>15845.104000000001</v>
          </cell>
          <cell r="CU301">
            <v>0</v>
          </cell>
          <cell r="CV301">
            <v>582.15800000000002</v>
          </cell>
          <cell r="CX301">
            <v>16427.262000000002</v>
          </cell>
          <cell r="FC301">
            <v>237.04599999999999</v>
          </cell>
          <cell r="FE301">
            <v>-223.90199999999999</v>
          </cell>
          <cell r="FF301">
            <v>13.144000000000005</v>
          </cell>
          <cell r="FI301">
            <v>1196.809</v>
          </cell>
          <cell r="FJ301">
            <v>11433</v>
          </cell>
          <cell r="FK301">
            <v>206.5</v>
          </cell>
          <cell r="FN301">
            <v>12836.308999999999</v>
          </cell>
          <cell r="FO301">
            <v>0</v>
          </cell>
          <cell r="FR301">
            <v>0</v>
          </cell>
          <cell r="FS301">
            <v>0</v>
          </cell>
          <cell r="FT301">
            <v>12849.453</v>
          </cell>
          <cell r="FU301">
            <v>664.178</v>
          </cell>
          <cell r="FV301">
            <v>13513.630999999999</v>
          </cell>
          <cell r="FW301" t="str">
            <v>amortization</v>
          </cell>
          <cell r="FX301">
            <v>12836.308999999999</v>
          </cell>
          <cell r="FY301">
            <v>0</v>
          </cell>
          <cell r="GA301">
            <v>12836.308999999999</v>
          </cell>
          <cell r="GB301">
            <v>13008.437497113649</v>
          </cell>
          <cell r="GC301">
            <v>677.32200000000012</v>
          </cell>
          <cell r="GD301">
            <v>686.4045499699339</v>
          </cell>
          <cell r="GE301">
            <v>677.32200000000012</v>
          </cell>
          <cell r="GF301">
            <v>3.832150676769936</v>
          </cell>
          <cell r="GG301">
            <v>1738.0468125408231</v>
          </cell>
          <cell r="GH301">
            <v>0</v>
          </cell>
        </row>
        <row r="302">
          <cell r="A302" t="str">
            <v>depreciation</v>
          </cell>
          <cell r="I302">
            <v>0</v>
          </cell>
          <cell r="M302">
            <v>3.0771634615384613</v>
          </cell>
          <cell r="O302">
            <v>193</v>
          </cell>
          <cell r="Q302">
            <v>557.11800000000005</v>
          </cell>
          <cell r="U302">
            <v>557.11800000000005</v>
          </cell>
          <cell r="X302">
            <v>75</v>
          </cell>
          <cell r="Z302">
            <v>0.17299999999999999</v>
          </cell>
          <cell r="AB302">
            <v>80.430000000000007</v>
          </cell>
          <cell r="AD302">
            <v>712.721</v>
          </cell>
          <cell r="AJ302">
            <v>0</v>
          </cell>
          <cell r="AL302">
            <v>51.137999999999998</v>
          </cell>
          <cell r="AP302">
            <v>51.137999999999998</v>
          </cell>
          <cell r="AT302">
            <v>959.93616346153851</v>
          </cell>
          <cell r="AV302">
            <v>0</v>
          </cell>
          <cell r="AX302">
            <v>959.93616346153851</v>
          </cell>
          <cell r="AZ302" t="str">
            <v>depreciation</v>
          </cell>
          <cell r="BI302">
            <v>0</v>
          </cell>
          <cell r="BM302">
            <v>11.743499999999999</v>
          </cell>
          <cell r="BO302">
            <v>265</v>
          </cell>
          <cell r="BQ302">
            <v>1749.434</v>
          </cell>
          <cell r="BU302">
            <v>1749.434</v>
          </cell>
          <cell r="BX302">
            <v>260</v>
          </cell>
          <cell r="BZ302">
            <v>0.62</v>
          </cell>
          <cell r="CD302">
            <v>2010.0539999999999</v>
          </cell>
          <cell r="CJ302">
            <v>0</v>
          </cell>
          <cell r="CL302">
            <v>144</v>
          </cell>
          <cell r="CN302">
            <v>103</v>
          </cell>
          <cell r="CP302">
            <v>247</v>
          </cell>
          <cell r="CQ302">
            <v>0</v>
          </cell>
          <cell r="CT302">
            <v>2533.7975000000001</v>
          </cell>
          <cell r="CU302">
            <v>0</v>
          </cell>
          <cell r="CV302">
            <v>0</v>
          </cell>
          <cell r="CX302">
            <v>2533.7975000000001</v>
          </cell>
          <cell r="FG302">
            <v>12.801</v>
          </cell>
          <cell r="FH302">
            <v>765</v>
          </cell>
          <cell r="FI302">
            <v>2287.357</v>
          </cell>
          <cell r="FK302">
            <v>408</v>
          </cell>
          <cell r="FL302">
            <v>0.68600000000000005</v>
          </cell>
          <cell r="FN302">
            <v>2696.0430000000001</v>
          </cell>
          <cell r="FO302">
            <v>0</v>
          </cell>
          <cell r="FP302">
            <v>200</v>
          </cell>
          <cell r="FQ302">
            <v>194</v>
          </cell>
          <cell r="FR302">
            <v>394</v>
          </cell>
          <cell r="FS302">
            <v>0</v>
          </cell>
          <cell r="FT302">
            <v>3867.8440000000001</v>
          </cell>
          <cell r="FU302">
            <v>0</v>
          </cell>
          <cell r="FV302">
            <v>3867.8440000000001</v>
          </cell>
          <cell r="FW302" t="str">
            <v>depreciation</v>
          </cell>
          <cell r="FX302">
            <v>2696.0430000000001</v>
          </cell>
          <cell r="FY302">
            <v>394</v>
          </cell>
          <cell r="GA302">
            <v>3090.0430000000001</v>
          </cell>
          <cell r="GB302">
            <v>3131.4789343956704</v>
          </cell>
          <cell r="GC302">
            <v>777.80099999999993</v>
          </cell>
          <cell r="GD302">
            <v>788.23092321106424</v>
          </cell>
          <cell r="GE302">
            <v>777.80099999999993</v>
          </cell>
          <cell r="GF302">
            <v>4.0292720987326067</v>
          </cell>
          <cell r="GG302">
            <v>2539.2511655341327</v>
          </cell>
          <cell r="GH302">
            <v>0</v>
          </cell>
        </row>
        <row r="303">
          <cell r="A303" t="str">
            <v>professional fees</v>
          </cell>
          <cell r="C303">
            <v>141.12100000000001</v>
          </cell>
          <cell r="G303">
            <v>0</v>
          </cell>
          <cell r="I303">
            <v>141.12100000000001</v>
          </cell>
          <cell r="M303">
            <v>17.377524038461537</v>
          </cell>
          <cell r="O303">
            <v>113.5</v>
          </cell>
          <cell r="Q303">
            <v>1036.577</v>
          </cell>
          <cell r="U303">
            <v>1036.577</v>
          </cell>
          <cell r="X303">
            <v>106</v>
          </cell>
          <cell r="Z303">
            <v>6.4989999999999997</v>
          </cell>
          <cell r="AD303">
            <v>1149.076</v>
          </cell>
          <cell r="AF303">
            <v>8.9980000000000011</v>
          </cell>
          <cell r="AJ303">
            <v>8.9980000000000011</v>
          </cell>
          <cell r="AL303">
            <v>75.766000000000005</v>
          </cell>
          <cell r="AP303">
            <v>84.76400000000001</v>
          </cell>
          <cell r="AR303">
            <v>38.293999999999997</v>
          </cell>
          <cell r="AT303">
            <v>1544.1325240384617</v>
          </cell>
          <cell r="AV303">
            <v>0</v>
          </cell>
          <cell r="AX303">
            <v>1544.1325240384617</v>
          </cell>
          <cell r="AZ303" t="str">
            <v>professional fees</v>
          </cell>
          <cell r="BC303">
            <v>565.29399999999998</v>
          </cell>
          <cell r="BI303">
            <v>565.29399999999998</v>
          </cell>
          <cell r="BM303">
            <v>68.572500000000005</v>
          </cell>
          <cell r="BO303">
            <v>445.5</v>
          </cell>
          <cell r="BQ303">
            <v>4017.7750000000001</v>
          </cell>
          <cell r="BU303">
            <v>4017.7750000000001</v>
          </cell>
          <cell r="BX303">
            <v>414</v>
          </cell>
          <cell r="BZ303">
            <v>24.5</v>
          </cell>
          <cell r="CD303">
            <v>4456.2749999999996</v>
          </cell>
          <cell r="CF303">
            <v>37.417999999999999</v>
          </cell>
          <cell r="CH303">
            <v>0</v>
          </cell>
          <cell r="CJ303">
            <v>37.417999999999999</v>
          </cell>
          <cell r="CL303">
            <v>313</v>
          </cell>
          <cell r="CP303">
            <v>350.41800000000001</v>
          </cell>
          <cell r="CQ303">
            <v>0</v>
          </cell>
          <cell r="CR303">
            <v>151.845</v>
          </cell>
          <cell r="CT303">
            <v>6037.9044999999996</v>
          </cell>
          <cell r="CU303">
            <v>0</v>
          </cell>
          <cell r="CV303">
            <v>0</v>
          </cell>
          <cell r="CX303">
            <v>6037.9044999999996</v>
          </cell>
          <cell r="FC303">
            <v>568.76400000000001</v>
          </cell>
          <cell r="FE303">
            <v>0</v>
          </cell>
          <cell r="FF303">
            <v>568.76400000000001</v>
          </cell>
          <cell r="FG303">
            <v>72.290499999999994</v>
          </cell>
          <cell r="FH303">
            <v>460</v>
          </cell>
          <cell r="FI303">
            <v>4165.6379999999999</v>
          </cell>
          <cell r="FK303">
            <v>447</v>
          </cell>
          <cell r="FL303">
            <v>25.898</v>
          </cell>
          <cell r="FN303">
            <v>4638.5360000000001</v>
          </cell>
          <cell r="FO303">
            <v>39.358000000000004</v>
          </cell>
          <cell r="FP303">
            <v>290.7</v>
          </cell>
          <cell r="FR303">
            <v>330.05799999999999</v>
          </cell>
          <cell r="FS303">
            <v>158.06300000000002</v>
          </cell>
          <cell r="FT303">
            <v>6227.7115000000003</v>
          </cell>
          <cell r="FU303">
            <v>0</v>
          </cell>
          <cell r="FV303">
            <v>6227.7115000000003</v>
          </cell>
          <cell r="FW303" t="str">
            <v>professional fees</v>
          </cell>
          <cell r="FX303">
            <v>4638.5360000000001</v>
          </cell>
          <cell r="FY303">
            <v>330.05799999999999</v>
          </cell>
          <cell r="GA303">
            <v>4968.5940000000001</v>
          </cell>
          <cell r="GB303">
            <v>5035.2203657245936</v>
          </cell>
          <cell r="GC303">
            <v>1259.1175000000001</v>
          </cell>
          <cell r="GD303">
            <v>1276.0016372519544</v>
          </cell>
          <cell r="GE303">
            <v>1259.1175000000001</v>
          </cell>
          <cell r="GF303">
            <v>4.0331457326682658</v>
          </cell>
          <cell r="GG303">
            <v>3093.5960215545397</v>
          </cell>
          <cell r="GH303">
            <v>0</v>
          </cell>
        </row>
        <row r="304">
          <cell r="A304" t="str">
            <v>other</v>
          </cell>
          <cell r="I304">
            <v>0</v>
          </cell>
          <cell r="U304">
            <v>0</v>
          </cell>
          <cell r="AD304">
            <v>0</v>
          </cell>
          <cell r="AJ304">
            <v>0</v>
          </cell>
          <cell r="AP304">
            <v>0</v>
          </cell>
          <cell r="AT304">
            <v>0</v>
          </cell>
          <cell r="AX304">
            <v>0</v>
          </cell>
          <cell r="AZ304" t="str">
            <v>other</v>
          </cell>
          <cell r="BC304">
            <v>208</v>
          </cell>
          <cell r="BI304">
            <v>208</v>
          </cell>
          <cell r="BM304">
            <v>200.072</v>
          </cell>
          <cell r="BO304">
            <v>1043</v>
          </cell>
          <cell r="BU304">
            <v>0</v>
          </cell>
          <cell r="BX304">
            <v>443</v>
          </cell>
          <cell r="CD304">
            <v>443</v>
          </cell>
          <cell r="CJ304">
            <v>0</v>
          </cell>
          <cell r="CL304">
            <v>22</v>
          </cell>
          <cell r="CP304">
            <v>22</v>
          </cell>
          <cell r="CQ304">
            <v>0</v>
          </cell>
          <cell r="CR304">
            <v>5.7780000000000005</v>
          </cell>
          <cell r="CT304">
            <v>1921.85</v>
          </cell>
          <cell r="CU304">
            <v>0</v>
          </cell>
          <cell r="CX304">
            <v>1921.85</v>
          </cell>
          <cell r="FF304">
            <v>0</v>
          </cell>
          <cell r="FN304">
            <v>0</v>
          </cell>
          <cell r="FO304">
            <v>0</v>
          </cell>
          <cell r="FR304">
            <v>0</v>
          </cell>
          <cell r="FS304">
            <v>5.9809999999999999</v>
          </cell>
          <cell r="FT304">
            <v>5.9809999999999999</v>
          </cell>
          <cell r="FV304">
            <v>5.9809999999999999</v>
          </cell>
          <cell r="FW304" t="str">
            <v>other</v>
          </cell>
          <cell r="FX304">
            <v>0</v>
          </cell>
          <cell r="FY304">
            <v>0</v>
          </cell>
          <cell r="GA304">
            <v>0</v>
          </cell>
          <cell r="GB304">
            <v>0</v>
          </cell>
          <cell r="GC304">
            <v>5.9809999999999999</v>
          </cell>
          <cell r="GD304">
            <v>6.0612022248947683</v>
          </cell>
          <cell r="GE304">
            <v>5.9809999999999999</v>
          </cell>
          <cell r="GF304" t="e">
            <v>#DIV/0!</v>
          </cell>
          <cell r="GG304">
            <v>1949.5964213137113</v>
          </cell>
          <cell r="GH304">
            <v>0</v>
          </cell>
        </row>
        <row r="305">
          <cell r="A305" t="str">
            <v>part.in exp. others</v>
          </cell>
          <cell r="C305">
            <v>0</v>
          </cell>
          <cell r="G305">
            <v>0</v>
          </cell>
          <cell r="I305">
            <v>0</v>
          </cell>
          <cell r="M305" t="str">
            <v xml:space="preserve"> </v>
          </cell>
          <cell r="Q305">
            <v>-1397.8729999999996</v>
          </cell>
          <cell r="S305" t="str">
            <v xml:space="preserve"> </v>
          </cell>
          <cell r="U305">
            <v>-1397.8729999999996</v>
          </cell>
          <cell r="X305">
            <v>643</v>
          </cell>
          <cell r="AD305">
            <v>-754.87299999999959</v>
          </cell>
          <cell r="AJ305">
            <v>0</v>
          </cell>
          <cell r="AP305">
            <v>0</v>
          </cell>
          <cell r="AT305">
            <v>-754.87299999999959</v>
          </cell>
          <cell r="AV305">
            <v>-23.464999999999691</v>
          </cell>
          <cell r="AX305">
            <v>-778.33799999999928</v>
          </cell>
          <cell r="AZ305" t="str">
            <v>part.in exp. others</v>
          </cell>
          <cell r="BQ305">
            <v>-14922.218000000001</v>
          </cell>
          <cell r="BU305">
            <v>-14922.218000000001</v>
          </cell>
          <cell r="BZ305">
            <v>964.30399999999997</v>
          </cell>
          <cell r="CD305">
            <v>-13957.914000000001</v>
          </cell>
          <cell r="CJ305">
            <v>0</v>
          </cell>
          <cell r="CP305">
            <v>0</v>
          </cell>
          <cell r="CQ305">
            <v>0</v>
          </cell>
          <cell r="CT305">
            <v>-13957.914000000001</v>
          </cell>
          <cell r="CU305">
            <v>0</v>
          </cell>
          <cell r="CV305">
            <v>9.0020000000004075</v>
          </cell>
          <cell r="CX305">
            <v>-13948.912</v>
          </cell>
          <cell r="FE305">
            <v>0</v>
          </cell>
          <cell r="FI305">
            <v>-5547.25</v>
          </cell>
          <cell r="FK305">
            <v>2602</v>
          </cell>
          <cell r="FN305">
            <v>-2945.25</v>
          </cell>
          <cell r="FO305">
            <v>0</v>
          </cell>
          <cell r="FS305">
            <v>0</v>
          </cell>
          <cell r="FT305">
            <v>-2945.25</v>
          </cell>
          <cell r="FV305">
            <v>-2945.25</v>
          </cell>
          <cell r="FW305" t="str">
            <v>part.in exp. others</v>
          </cell>
          <cell r="FX305">
            <v>-2945.25</v>
          </cell>
          <cell r="FY305">
            <v>0</v>
          </cell>
          <cell r="GA305">
            <v>-2945.25</v>
          </cell>
          <cell r="GB305">
            <v>-2984.7443325315689</v>
          </cell>
          <cell r="GC305">
            <v>0</v>
          </cell>
          <cell r="GD305">
            <v>0</v>
          </cell>
          <cell r="GE305">
            <v>0</v>
          </cell>
          <cell r="GF305">
            <v>3.7840244212668566</v>
          </cell>
          <cell r="GG305">
            <v>0</v>
          </cell>
          <cell r="GH305">
            <v>0</v>
          </cell>
        </row>
        <row r="306">
          <cell r="C306">
            <v>2269.2870000000003</v>
          </cell>
          <cell r="E306">
            <v>0</v>
          </cell>
          <cell r="G306">
            <v>-44.594999999999999</v>
          </cell>
          <cell r="I306">
            <v>2224.6920000000005</v>
          </cell>
          <cell r="M306">
            <v>227.09435096153848</v>
          </cell>
          <cell r="O306">
            <v>1056</v>
          </cell>
          <cell r="Q306">
            <v>7500.2530000000006</v>
          </cell>
          <cell r="S306">
            <v>0</v>
          </cell>
          <cell r="U306">
            <v>7500.2530000000006</v>
          </cell>
          <cell r="W306">
            <v>3013</v>
          </cell>
          <cell r="X306">
            <v>2235.5</v>
          </cell>
          <cell r="Z306">
            <v>259.73200000000003</v>
          </cell>
          <cell r="AB306">
            <v>0</v>
          </cell>
          <cell r="AD306">
            <v>13008.485000000001</v>
          </cell>
          <cell r="AF306">
            <v>8.9980000000000011</v>
          </cell>
          <cell r="AH306">
            <v>0</v>
          </cell>
          <cell r="AJ306">
            <v>8.9980000000000011</v>
          </cell>
          <cell r="AL306">
            <v>4850.8820000000005</v>
          </cell>
          <cell r="AN306">
            <v>18.484000000000002</v>
          </cell>
          <cell r="AP306">
            <v>4878.3639999999996</v>
          </cell>
          <cell r="AR306">
            <v>69.709999999999994</v>
          </cell>
          <cell r="AT306">
            <v>21464.345350961539</v>
          </cell>
          <cell r="AV306">
            <v>-4522.9339999999993</v>
          </cell>
          <cell r="AX306">
            <v>16941.411350961538</v>
          </cell>
          <cell r="BC306">
            <v>8615.8389999999999</v>
          </cell>
          <cell r="BE306">
            <v>0</v>
          </cell>
          <cell r="BG306">
            <v>-112.69</v>
          </cell>
          <cell r="BI306">
            <v>8503.1490000000013</v>
          </cell>
          <cell r="BM306">
            <v>898.71500000000003</v>
          </cell>
          <cell r="BO306">
            <v>4761</v>
          </cell>
          <cell r="BQ306">
            <v>30692.244000000006</v>
          </cell>
          <cell r="BS306">
            <v>0</v>
          </cell>
          <cell r="BU306">
            <v>30692.244000000006</v>
          </cell>
          <cell r="BW306">
            <v>14599</v>
          </cell>
          <cell r="BX306">
            <v>8826.5</v>
          </cell>
          <cell r="BZ306">
            <v>990.97299999999996</v>
          </cell>
          <cell r="CB306">
            <v>0</v>
          </cell>
          <cell r="CD306">
            <v>55108.717000000004</v>
          </cell>
          <cell r="CF306">
            <v>37.417999999999999</v>
          </cell>
          <cell r="CH306">
            <v>0</v>
          </cell>
          <cell r="CJ306">
            <v>37.417999999999999</v>
          </cell>
          <cell r="CL306">
            <v>19161</v>
          </cell>
          <cell r="CN306">
            <v>-5.5939999999999941</v>
          </cell>
          <cell r="CP306">
            <v>19192.824000000001</v>
          </cell>
          <cell r="CQ306">
            <v>0</v>
          </cell>
          <cell r="CR306">
            <v>271</v>
          </cell>
          <cell r="CT306">
            <v>88735.478000000017</v>
          </cell>
          <cell r="CU306">
            <v>-7.3000000018510036E-2</v>
          </cell>
          <cell r="CV306">
            <v>-29254.676500000001</v>
          </cell>
          <cell r="CX306">
            <v>59480.801500000001</v>
          </cell>
          <cell r="FC306">
            <v>9125.5249999999996</v>
          </cell>
          <cell r="FD306">
            <v>0</v>
          </cell>
          <cell r="FE306">
            <v>-223.90199999999999</v>
          </cell>
          <cell r="FF306">
            <v>8901.6229999999996</v>
          </cell>
          <cell r="FG306">
            <v>944.71249999999998</v>
          </cell>
          <cell r="FH306">
            <v>4355</v>
          </cell>
          <cell r="FI306">
            <v>32445.602999999996</v>
          </cell>
          <cell r="FJ306">
            <v>11433</v>
          </cell>
          <cell r="FK306">
            <v>9534.5</v>
          </cell>
          <cell r="FL306">
            <v>1040.9780000000001</v>
          </cell>
          <cell r="FM306">
            <v>0</v>
          </cell>
          <cell r="FN306">
            <v>54454.080999999998</v>
          </cell>
          <cell r="FO306">
            <v>39.358000000000004</v>
          </cell>
          <cell r="FP306">
            <v>19671</v>
          </cell>
          <cell r="FQ306">
            <v>85.406000000000006</v>
          </cell>
          <cell r="FR306">
            <v>19795.763999999999</v>
          </cell>
          <cell r="FS306">
            <v>280.36200000000002</v>
          </cell>
          <cell r="FT306">
            <v>88731.54250000001</v>
          </cell>
          <cell r="FU306">
            <v>-17744.1669554</v>
          </cell>
          <cell r="FV306">
            <v>70987.3755446</v>
          </cell>
          <cell r="FX306">
            <v>54454.080999999998</v>
          </cell>
          <cell r="FY306">
            <v>19795.763999999999</v>
          </cell>
          <cell r="FZ306">
            <v>-18322.3449554</v>
          </cell>
          <cell r="GA306">
            <v>55927.50004459999</v>
          </cell>
          <cell r="GB306">
            <v>56677.45990689379</v>
          </cell>
          <cell r="GC306">
            <v>15059.875500000002</v>
          </cell>
          <cell r="GD306">
            <v>15261.820914101025</v>
          </cell>
          <cell r="GE306">
            <v>15059.875500000009</v>
          </cell>
          <cell r="GF306">
            <v>4.1901689342175725</v>
          </cell>
          <cell r="GG306">
            <v>52152.090194883647</v>
          </cell>
          <cell r="GH306">
            <v>0</v>
          </cell>
        </row>
        <row r="307">
          <cell r="A307" t="str">
            <v>FINANCING</v>
          </cell>
          <cell r="AT307">
            <v>0</v>
          </cell>
          <cell r="AZ307" t="str">
            <v>FINANCING</v>
          </cell>
          <cell r="CD307">
            <v>0</v>
          </cell>
          <cell r="CQ307">
            <v>0</v>
          </cell>
          <cell r="CR307" t="str">
            <v xml:space="preserve"> </v>
          </cell>
          <cell r="CT307">
            <v>0</v>
          </cell>
          <cell r="CU307">
            <v>0</v>
          </cell>
          <cell r="FS307">
            <v>0</v>
          </cell>
          <cell r="FW307" t="str">
            <v>FINANCING</v>
          </cell>
          <cell r="FX307">
            <v>0</v>
          </cell>
          <cell r="FY307">
            <v>0</v>
          </cell>
          <cell r="GA307">
            <v>0</v>
          </cell>
          <cell r="GB307">
            <v>0</v>
          </cell>
          <cell r="GC307">
            <v>0</v>
          </cell>
          <cell r="GD307">
            <v>0</v>
          </cell>
          <cell r="GE307">
            <v>0</v>
          </cell>
          <cell r="GF307" t="e">
            <v>#DIV/0!</v>
          </cell>
          <cell r="GH307">
            <v>0</v>
          </cell>
        </row>
        <row r="308">
          <cell r="A308" t="str">
            <v>income from others</v>
          </cell>
          <cell r="E308">
            <v>0</v>
          </cell>
          <cell r="G308">
            <v>0</v>
          </cell>
          <cell r="I308">
            <v>0</v>
          </cell>
          <cell r="Q308">
            <v>-264.50800000000004</v>
          </cell>
          <cell r="U308">
            <v>-264.50800000000004</v>
          </cell>
          <cell r="Z308">
            <v>-1.496</v>
          </cell>
          <cell r="AD308">
            <v>-266.00400000000002</v>
          </cell>
          <cell r="AJ308">
            <v>0</v>
          </cell>
          <cell r="AL308">
            <v>107</v>
          </cell>
          <cell r="AP308">
            <v>107</v>
          </cell>
          <cell r="AT308">
            <v>-159.00400000000002</v>
          </cell>
          <cell r="AX308">
            <v>-159.00400000000002</v>
          </cell>
          <cell r="AZ308" t="str">
            <v>income from others</v>
          </cell>
          <cell r="BI308">
            <v>0</v>
          </cell>
          <cell r="BQ308">
            <v>-324.72000000000003</v>
          </cell>
          <cell r="BU308">
            <v>-324.72000000000003</v>
          </cell>
          <cell r="BZ308">
            <v>-5.7670000000000003</v>
          </cell>
          <cell r="CD308">
            <v>-330.48700000000002</v>
          </cell>
          <cell r="CJ308">
            <v>0</v>
          </cell>
          <cell r="CL308">
            <v>-1794</v>
          </cell>
          <cell r="CP308">
            <v>-1794</v>
          </cell>
          <cell r="CQ308">
            <v>0</v>
          </cell>
          <cell r="CT308">
            <v>-2124.4870000000001</v>
          </cell>
          <cell r="CU308">
            <v>0</v>
          </cell>
          <cell r="CV308">
            <v>0</v>
          </cell>
          <cell r="CX308">
            <v>-2124.4870000000001</v>
          </cell>
          <cell r="FE308">
            <v>0</v>
          </cell>
          <cell r="FI308">
            <v>-1019.6020000000001</v>
          </cell>
          <cell r="FL308">
            <v>-24.073</v>
          </cell>
          <cell r="FN308">
            <v>-1043.675</v>
          </cell>
          <cell r="FO308">
            <v>0</v>
          </cell>
          <cell r="FP308">
            <v>-426</v>
          </cell>
          <cell r="FR308">
            <v>-426</v>
          </cell>
          <cell r="FS308">
            <v>0</v>
          </cell>
          <cell r="FT308">
            <v>-1469.675</v>
          </cell>
          <cell r="FU308">
            <v>0</v>
          </cell>
          <cell r="FV308">
            <v>-1469.675</v>
          </cell>
          <cell r="FW308" t="str">
            <v>income from others</v>
          </cell>
          <cell r="FX308">
            <v>-1043.675</v>
          </cell>
          <cell r="FY308">
            <v>-426</v>
          </cell>
          <cell r="GA308">
            <v>-1469.675</v>
          </cell>
          <cell r="GB308">
            <v>-1489.382608238124</v>
          </cell>
          <cell r="GC308">
            <v>0</v>
          </cell>
          <cell r="GD308">
            <v>0</v>
          </cell>
          <cell r="GE308">
            <v>0</v>
          </cell>
          <cell r="GF308">
            <v>9.2430064652461574</v>
          </cell>
          <cell r="GG308">
            <v>-51.734398432397136</v>
          </cell>
          <cell r="GH308">
            <v>0</v>
          </cell>
        </row>
        <row r="309">
          <cell r="A309" t="str">
            <v>Affiliated(Icp&amp;GL)</v>
          </cell>
          <cell r="C309">
            <v>0</v>
          </cell>
          <cell r="E309">
            <v>0</v>
          </cell>
          <cell r="I309">
            <v>0</v>
          </cell>
          <cell r="Q309">
            <v>-24.128</v>
          </cell>
          <cell r="U309">
            <v>-24.128</v>
          </cell>
          <cell r="AD309">
            <v>-24.128</v>
          </cell>
          <cell r="AJ309">
            <v>0</v>
          </cell>
          <cell r="AP309">
            <v>0</v>
          </cell>
          <cell r="AT309">
            <v>-24.128</v>
          </cell>
          <cell r="AV309">
            <v>0</v>
          </cell>
          <cell r="AX309">
            <v>-24.128</v>
          </cell>
          <cell r="AZ309" t="str">
            <v>Affiliated(I.C.P.)</v>
          </cell>
          <cell r="BI309">
            <v>0</v>
          </cell>
          <cell r="BQ309">
            <v>-242.65700000000001</v>
          </cell>
          <cell r="BU309">
            <v>-242.65700000000001</v>
          </cell>
          <cell r="CD309">
            <v>-242.65700000000001</v>
          </cell>
          <cell r="CJ309">
            <v>0</v>
          </cell>
          <cell r="CP309">
            <v>0</v>
          </cell>
          <cell r="CQ309">
            <v>0</v>
          </cell>
          <cell r="CT309">
            <v>-242.65700000000001</v>
          </cell>
          <cell r="CU309">
            <v>0</v>
          </cell>
          <cell r="CV309">
            <v>0</v>
          </cell>
          <cell r="CX309">
            <v>-242.65700000000001</v>
          </cell>
          <cell r="FI309">
            <v>-281.99400000000003</v>
          </cell>
          <cell r="FN309">
            <v>-281.99400000000003</v>
          </cell>
          <cell r="FO309">
            <v>0</v>
          </cell>
          <cell r="FR309">
            <v>0</v>
          </cell>
          <cell r="FS309">
            <v>0</v>
          </cell>
          <cell r="FT309">
            <v>-281.99400000000003</v>
          </cell>
          <cell r="FU309">
            <v>0</v>
          </cell>
          <cell r="FV309">
            <v>-281.99400000000003</v>
          </cell>
          <cell r="FW309" t="str">
            <v>Affiliated(Icp&amp;GL)</v>
          </cell>
          <cell r="FX309">
            <v>-281.99400000000003</v>
          </cell>
          <cell r="FY309">
            <v>0</v>
          </cell>
          <cell r="GA309">
            <v>-281.99400000000003</v>
          </cell>
          <cell r="GB309">
            <v>-285.77539879735417</v>
          </cell>
          <cell r="GC309">
            <v>0</v>
          </cell>
          <cell r="GD309">
            <v>0</v>
          </cell>
          <cell r="GE309">
            <v>0</v>
          </cell>
          <cell r="GF309">
            <v>11.687417108753317</v>
          </cell>
          <cell r="GG309">
            <v>-1551.5159993468324</v>
          </cell>
          <cell r="GH309">
            <v>0</v>
          </cell>
        </row>
        <row r="310">
          <cell r="A310" t="str">
            <v>income tax</v>
          </cell>
          <cell r="C310">
            <v>37.737000000000002</v>
          </cell>
          <cell r="E310">
            <v>0</v>
          </cell>
          <cell r="G310">
            <v>5.3665775279637842</v>
          </cell>
          <cell r="I310">
            <v>43.103577527963786</v>
          </cell>
          <cell r="M310" t="str">
            <v xml:space="preserve"> </v>
          </cell>
          <cell r="U310">
            <v>0</v>
          </cell>
          <cell r="X310">
            <v>4</v>
          </cell>
          <cell r="Z310">
            <v>-1</v>
          </cell>
          <cell r="AD310">
            <v>3</v>
          </cell>
          <cell r="AJ310">
            <v>0</v>
          </cell>
          <cell r="AL310">
            <v>-54</v>
          </cell>
          <cell r="AP310">
            <v>-54</v>
          </cell>
          <cell r="AT310">
            <v>-7.8964224720362139</v>
          </cell>
          <cell r="AV310">
            <v>0</v>
          </cell>
          <cell r="AX310">
            <v>-7.8964224720362139</v>
          </cell>
          <cell r="AZ310" t="str">
            <v>income tax</v>
          </cell>
          <cell r="BC310">
            <v>-29.710999999999999</v>
          </cell>
          <cell r="BE310">
            <v>0</v>
          </cell>
          <cell r="BG310">
            <v>-2095.827593584715</v>
          </cell>
          <cell r="BI310">
            <v>-2125.5385935847148</v>
          </cell>
          <cell r="BU310">
            <v>0</v>
          </cell>
          <cell r="CD310">
            <v>0</v>
          </cell>
          <cell r="CJ310">
            <v>0</v>
          </cell>
          <cell r="CL310">
            <v>-220</v>
          </cell>
          <cell r="CP310">
            <v>-220</v>
          </cell>
          <cell r="CQ310">
            <v>0</v>
          </cell>
          <cell r="CT310">
            <v>-2345.5385935847148</v>
          </cell>
          <cell r="CU310">
            <v>0</v>
          </cell>
          <cell r="CV310">
            <v>0</v>
          </cell>
          <cell r="CX310">
            <v>-2345.5385935847148</v>
          </cell>
          <cell r="FC310">
            <v>-32.189</v>
          </cell>
          <cell r="FE310">
            <v>-1179.2836854547563</v>
          </cell>
          <cell r="FF310">
            <v>-1211.4726854547564</v>
          </cell>
          <cell r="FN310">
            <v>0</v>
          </cell>
          <cell r="FO310">
            <v>0</v>
          </cell>
          <cell r="FP310">
            <v>-220</v>
          </cell>
          <cell r="FR310">
            <v>-220</v>
          </cell>
          <cell r="FS310">
            <v>0</v>
          </cell>
          <cell r="FT310">
            <v>-1431.4726854547564</v>
          </cell>
          <cell r="FU310">
            <v>0</v>
          </cell>
          <cell r="FV310">
            <v>-1431.4726854547564</v>
          </cell>
          <cell r="FW310" t="str">
            <v>income tax</v>
          </cell>
          <cell r="FX310">
            <v>0</v>
          </cell>
          <cell r="FY310">
            <v>-220</v>
          </cell>
          <cell r="GA310">
            <v>-220</v>
          </cell>
          <cell r="GB310">
            <v>-222.95009019843653</v>
          </cell>
          <cell r="GC310">
            <v>-1211.4726854547564</v>
          </cell>
          <cell r="GD310">
            <v>-1227.7179295230915</v>
          </cell>
          <cell r="GE310">
            <v>-1211.4726854547564</v>
          </cell>
          <cell r="GF310">
            <v>181.28116758241649</v>
          </cell>
          <cell r="GG310">
            <v>0</v>
          </cell>
          <cell r="GH310">
            <v>0</v>
          </cell>
        </row>
        <row r="311">
          <cell r="A311" t="str">
            <v>capital notes/loans</v>
          </cell>
          <cell r="C311">
            <v>0</v>
          </cell>
          <cell r="E311">
            <v>0</v>
          </cell>
          <cell r="G311">
            <v>0</v>
          </cell>
          <cell r="I311">
            <v>0</v>
          </cell>
          <cell r="M311" t="str">
            <v xml:space="preserve"> </v>
          </cell>
          <cell r="U311">
            <v>0</v>
          </cell>
          <cell r="AD311">
            <v>0</v>
          </cell>
          <cell r="AJ311">
            <v>0</v>
          </cell>
          <cell r="AL311">
            <v>-1749</v>
          </cell>
          <cell r="AP311">
            <v>-1749</v>
          </cell>
          <cell r="AT311">
            <v>-1749</v>
          </cell>
          <cell r="AV311">
            <v>0</v>
          </cell>
          <cell r="AX311">
            <v>-1749</v>
          </cell>
          <cell r="AZ311" t="str">
            <v>capital notes/loans</v>
          </cell>
          <cell r="BI311">
            <v>0</v>
          </cell>
          <cell r="BU311">
            <v>0</v>
          </cell>
          <cell r="CD311">
            <v>0</v>
          </cell>
          <cell r="CJ311">
            <v>0</v>
          </cell>
          <cell r="CL311">
            <v>14758</v>
          </cell>
          <cell r="CP311">
            <v>14758</v>
          </cell>
          <cell r="CQ311">
            <v>0</v>
          </cell>
          <cell r="CT311">
            <v>14758</v>
          </cell>
          <cell r="CU311">
            <v>0</v>
          </cell>
          <cell r="CV311">
            <v>0</v>
          </cell>
          <cell r="CX311">
            <v>14758</v>
          </cell>
          <cell r="FE311">
            <v>0</v>
          </cell>
          <cell r="FN311">
            <v>0</v>
          </cell>
          <cell r="FO311">
            <v>0</v>
          </cell>
          <cell r="FP311">
            <v>4993</v>
          </cell>
          <cell r="FR311">
            <v>4993</v>
          </cell>
          <cell r="FS311">
            <v>0</v>
          </cell>
          <cell r="FT311">
            <v>4993</v>
          </cell>
          <cell r="FU311">
            <v>0</v>
          </cell>
          <cell r="FV311">
            <v>4993</v>
          </cell>
          <cell r="FW311" t="str">
            <v>capital notes/loans</v>
          </cell>
          <cell r="FX311">
            <v>0</v>
          </cell>
          <cell r="FY311">
            <v>4993</v>
          </cell>
          <cell r="GA311">
            <v>4993</v>
          </cell>
          <cell r="GB311">
            <v>5059.9536380036079</v>
          </cell>
          <cell r="GC311">
            <v>0</v>
          </cell>
          <cell r="GD311">
            <v>0</v>
          </cell>
          <cell r="GE311">
            <v>0</v>
          </cell>
          <cell r="GF311">
            <v>-2.854774156660949</v>
          </cell>
          <cell r="GG311">
            <v>0</v>
          </cell>
          <cell r="GH311">
            <v>0</v>
          </cell>
        </row>
        <row r="312">
          <cell r="A312" t="str">
            <v>aurec\stlm\dapim+other</v>
          </cell>
          <cell r="C312">
            <v>-3875.116</v>
          </cell>
          <cell r="E312">
            <v>-794.78599999999994</v>
          </cell>
          <cell r="G312">
            <v>2308.62806</v>
          </cell>
          <cell r="I312">
            <v>-2361.27394</v>
          </cell>
          <cell r="M312" t="str">
            <v xml:space="preserve"> </v>
          </cell>
          <cell r="Q312">
            <v>85.874000000000009</v>
          </cell>
          <cell r="S312">
            <v>202.167</v>
          </cell>
          <cell r="U312">
            <v>288.041</v>
          </cell>
          <cell r="Z312">
            <v>-130.46600000000001</v>
          </cell>
          <cell r="AD312">
            <v>157.57499999999999</v>
          </cell>
          <cell r="AF312">
            <v>-11.190999999999999</v>
          </cell>
          <cell r="AJ312">
            <v>-11.190999999999999</v>
          </cell>
          <cell r="AL312">
            <v>133.61799999999999</v>
          </cell>
          <cell r="AP312">
            <v>122.42699999999999</v>
          </cell>
          <cell r="AR312">
            <v>-987.38</v>
          </cell>
          <cell r="AT312">
            <v>-3068.6519400000002</v>
          </cell>
          <cell r="AV312">
            <v>0</v>
          </cell>
          <cell r="AX312">
            <v>-3068.6519400000002</v>
          </cell>
          <cell r="AZ312" t="str">
            <v>aurec\stlm\dapim+other</v>
          </cell>
          <cell r="BC312">
            <v>-10439.168129999998</v>
          </cell>
          <cell r="BE312">
            <v>-5917.6279999999997</v>
          </cell>
          <cell r="BG312">
            <v>-6192.7148700000034</v>
          </cell>
          <cell r="BI312">
            <v>-22549.511000000002</v>
          </cell>
          <cell r="BM312">
            <v>0</v>
          </cell>
          <cell r="BQ312">
            <v>30873.603999999999</v>
          </cell>
          <cell r="BU312">
            <v>30873.603999999999</v>
          </cell>
          <cell r="BZ312">
            <v>501.17500000000001</v>
          </cell>
          <cell r="CD312">
            <v>31374.778999999999</v>
          </cell>
          <cell r="CF312">
            <v>194.21100000000004</v>
          </cell>
          <cell r="CJ312">
            <v>194.21100000000004</v>
          </cell>
          <cell r="CL312">
            <v>-1716</v>
          </cell>
          <cell r="CP312">
            <v>-1521.789</v>
          </cell>
          <cell r="CQ312">
            <v>0</v>
          </cell>
          <cell r="CR312">
            <v>9093.4089999999997</v>
          </cell>
          <cell r="CT312">
            <v>16396.887999999992</v>
          </cell>
          <cell r="CU312">
            <v>0</v>
          </cell>
          <cell r="CV312">
            <v>0</v>
          </cell>
          <cell r="CX312">
            <v>16396.887999999992</v>
          </cell>
          <cell r="FC312">
            <v>-19199</v>
          </cell>
          <cell r="FD312">
            <v>-643</v>
          </cell>
          <cell r="FE312">
            <v>2939</v>
          </cell>
          <cell r="FF312">
            <v>-16903</v>
          </cell>
          <cell r="FI312">
            <v>16970.569000000003</v>
          </cell>
          <cell r="FL312">
            <v>-11</v>
          </cell>
          <cell r="FN312">
            <v>16959.569000000003</v>
          </cell>
          <cell r="FO312">
            <v>75.816000000000003</v>
          </cell>
          <cell r="FP312">
            <v>-651.26199999999994</v>
          </cell>
          <cell r="FR312">
            <v>-575.44599999999991</v>
          </cell>
          <cell r="FS312">
            <v>2432.1190000000001</v>
          </cell>
          <cell r="FT312">
            <v>1913.2420000000034</v>
          </cell>
          <cell r="FU312">
            <v>0</v>
          </cell>
          <cell r="FV312">
            <v>1913.2420000000034</v>
          </cell>
          <cell r="FW312" t="str">
            <v>aurec\stlm\dapim+other</v>
          </cell>
          <cell r="FX312">
            <v>16959.569000000003</v>
          </cell>
          <cell r="FY312">
            <v>-575.44599999999991</v>
          </cell>
          <cell r="GA312">
            <v>16384.123000000003</v>
          </cell>
          <cell r="GB312">
            <v>16603.825912146724</v>
          </cell>
          <cell r="GC312">
            <v>-14470.880999999999</v>
          </cell>
          <cell r="GD312">
            <v>-14664.928291822009</v>
          </cell>
          <cell r="GE312">
            <v>-14470.880999999999</v>
          </cell>
          <cell r="GF312">
            <v>-0.62347963777214932</v>
          </cell>
          <cell r="GG312">
            <v>7349.9809777922928</v>
          </cell>
          <cell r="GH312">
            <v>0</v>
          </cell>
        </row>
        <row r="313">
          <cell r="A313" t="str">
            <v>capitalization</v>
          </cell>
          <cell r="C313">
            <v>0</v>
          </cell>
          <cell r="G313">
            <v>0</v>
          </cell>
          <cell r="I313">
            <v>0</v>
          </cell>
          <cell r="M313" t="str">
            <v xml:space="preserve"> </v>
          </cell>
          <cell r="U313">
            <v>0</v>
          </cell>
          <cell r="AD313">
            <v>0</v>
          </cell>
          <cell r="AJ313">
            <v>0</v>
          </cell>
          <cell r="AP313">
            <v>0</v>
          </cell>
          <cell r="AT313">
            <v>0</v>
          </cell>
          <cell r="AV313">
            <v>0</v>
          </cell>
          <cell r="AX313">
            <v>0</v>
          </cell>
          <cell r="AZ313" t="str">
            <v>capitalization</v>
          </cell>
          <cell r="BI313">
            <v>0</v>
          </cell>
          <cell r="BU313">
            <v>0</v>
          </cell>
          <cell r="CD313">
            <v>0</v>
          </cell>
          <cell r="CH313">
            <v>0</v>
          </cell>
          <cell r="CJ313">
            <v>0</v>
          </cell>
          <cell r="CP313">
            <v>0</v>
          </cell>
          <cell r="CQ313">
            <v>0</v>
          </cell>
          <cell r="CR313">
            <v>0</v>
          </cell>
          <cell r="CT313">
            <v>0</v>
          </cell>
          <cell r="CU313">
            <v>0</v>
          </cell>
          <cell r="CV313">
            <v>0</v>
          </cell>
          <cell r="CX313">
            <v>0</v>
          </cell>
          <cell r="FE313">
            <v>0</v>
          </cell>
          <cell r="FN313">
            <v>0</v>
          </cell>
          <cell r="FO313">
            <v>0</v>
          </cell>
          <cell r="FR313">
            <v>0</v>
          </cell>
          <cell r="FS313">
            <v>0</v>
          </cell>
          <cell r="FT313">
            <v>0</v>
          </cell>
          <cell r="FU313">
            <v>0</v>
          </cell>
          <cell r="FV313">
            <v>0</v>
          </cell>
          <cell r="FW313" t="str">
            <v>capitalization</v>
          </cell>
          <cell r="FX313">
            <v>0</v>
          </cell>
          <cell r="FY313">
            <v>0</v>
          </cell>
          <cell r="GA313">
            <v>0</v>
          </cell>
          <cell r="GB313">
            <v>0</v>
          </cell>
          <cell r="GC313">
            <v>0</v>
          </cell>
          <cell r="GD313">
            <v>0</v>
          </cell>
          <cell r="GE313">
            <v>0</v>
          </cell>
          <cell r="GF313" t="e">
            <v>#DIV/0!</v>
          </cell>
          <cell r="GG313">
            <v>0</v>
          </cell>
          <cell r="GH313">
            <v>0</v>
          </cell>
        </row>
        <row r="314">
          <cell r="A314" t="str">
            <v>expenses(customs&amp;other</v>
          </cell>
          <cell r="B314" t="str">
            <v>PLUG</v>
          </cell>
          <cell r="E314">
            <v>0</v>
          </cell>
          <cell r="G314">
            <v>0</v>
          </cell>
          <cell r="I314">
            <v>0</v>
          </cell>
          <cell r="M314">
            <v>29.911000000000001</v>
          </cell>
          <cell r="Q314">
            <v>52.155000000000001</v>
          </cell>
          <cell r="U314">
            <v>52.155000000000001</v>
          </cell>
          <cell r="AD314">
            <v>52.155000000000001</v>
          </cell>
          <cell r="AJ314">
            <v>0</v>
          </cell>
          <cell r="AN314">
            <v>0</v>
          </cell>
          <cell r="AP314">
            <v>0</v>
          </cell>
          <cell r="AT314">
            <v>82.066000000000003</v>
          </cell>
          <cell r="AV314">
            <v>0</v>
          </cell>
          <cell r="AX314">
            <v>82.066000000000003</v>
          </cell>
          <cell r="AZ314" t="str">
            <v>expenses(customs&amp;other</v>
          </cell>
          <cell r="BI314">
            <v>0</v>
          </cell>
          <cell r="BQ314">
            <v>-3</v>
          </cell>
          <cell r="BU314">
            <v>-3</v>
          </cell>
          <cell r="CD314">
            <v>-3</v>
          </cell>
          <cell r="CH314">
            <v>0</v>
          </cell>
          <cell r="CJ314">
            <v>0</v>
          </cell>
          <cell r="CL314">
            <v>0</v>
          </cell>
          <cell r="CN314">
            <v>0</v>
          </cell>
          <cell r="CP314">
            <v>0</v>
          </cell>
          <cell r="CQ314">
            <v>0</v>
          </cell>
          <cell r="CR314">
            <v>-628.35400000000004</v>
          </cell>
          <cell r="CT314">
            <v>-631.35400000000004</v>
          </cell>
          <cell r="CU314">
            <v>0</v>
          </cell>
          <cell r="CV314">
            <v>0</v>
          </cell>
          <cell r="CX314">
            <v>-631.35400000000004</v>
          </cell>
          <cell r="FG314">
            <v>124.428</v>
          </cell>
          <cell r="FI314">
            <v>-6.9939999999999998</v>
          </cell>
          <cell r="FN314">
            <v>-6.9939999999999998</v>
          </cell>
          <cell r="FO314">
            <v>0</v>
          </cell>
          <cell r="FQ314">
            <v>0</v>
          </cell>
          <cell r="FR314">
            <v>0</v>
          </cell>
          <cell r="FS314">
            <v>-240.66200000000001</v>
          </cell>
          <cell r="FT314">
            <v>-123.22800000000001</v>
          </cell>
          <cell r="FU314">
            <v>0</v>
          </cell>
          <cell r="FV314">
            <v>-123.22800000000001</v>
          </cell>
          <cell r="FW314" t="str">
            <v>expenses(customs&amp;other)</v>
          </cell>
          <cell r="FX314">
            <v>-6.9939999999999998</v>
          </cell>
          <cell r="FY314">
            <v>0</v>
          </cell>
          <cell r="GA314">
            <v>-6.9939999999999998</v>
          </cell>
          <cell r="GB314">
            <v>-7.0877860493084786</v>
          </cell>
          <cell r="GC314">
            <v>-116.23400000000001</v>
          </cell>
          <cell r="GD314">
            <v>-117.79263992784125</v>
          </cell>
          <cell r="GE314">
            <v>-116.23400000000001</v>
          </cell>
          <cell r="GF314">
            <v>-1.5015719055394439</v>
          </cell>
          <cell r="GG314">
            <v>10171.941296481245</v>
          </cell>
          <cell r="GH314">
            <v>0</v>
          </cell>
        </row>
        <row r="315">
          <cell r="A315" t="str">
            <v>expenses-banks,net</v>
          </cell>
          <cell r="C315">
            <v>-372.26099999999997</v>
          </cell>
          <cell r="E315">
            <v>0</v>
          </cell>
          <cell r="G315">
            <v>0</v>
          </cell>
          <cell r="I315">
            <v>-372.26099999999997</v>
          </cell>
          <cell r="M315" t="str">
            <v xml:space="preserve"> </v>
          </cell>
          <cell r="O315">
            <v>469.5</v>
          </cell>
          <cell r="Q315">
            <v>-277.75800000000004</v>
          </cell>
          <cell r="U315">
            <v>-277.75800000000004</v>
          </cell>
          <cell r="X315">
            <v>-558</v>
          </cell>
          <cell r="Z315">
            <v>26.71</v>
          </cell>
          <cell r="AD315">
            <v>-809.048</v>
          </cell>
          <cell r="AF315">
            <v>4.5979999999999999</v>
          </cell>
          <cell r="AJ315">
            <v>4.5979999999999999</v>
          </cell>
          <cell r="AL315">
            <v>25</v>
          </cell>
          <cell r="AP315">
            <v>29.597999999999999</v>
          </cell>
          <cell r="AR315">
            <v>-31</v>
          </cell>
          <cell r="AT315">
            <v>-713.21100000000001</v>
          </cell>
          <cell r="AV315">
            <v>0</v>
          </cell>
          <cell r="AX315">
            <v>-713.21100000000001</v>
          </cell>
          <cell r="AZ315" t="str">
            <v>expenses-banks,net</v>
          </cell>
          <cell r="BC315">
            <v>4698.7640000000001</v>
          </cell>
          <cell r="BE315">
            <v>0</v>
          </cell>
          <cell r="BG315">
            <v>0</v>
          </cell>
          <cell r="BI315">
            <v>4698.7640000000001</v>
          </cell>
          <cell r="BO315">
            <v>1581.2249999999999</v>
          </cell>
          <cell r="BQ315">
            <v>23681.727000000003</v>
          </cell>
          <cell r="BU315">
            <v>23681.727000000003</v>
          </cell>
          <cell r="BX315">
            <v>3345.5</v>
          </cell>
          <cell r="BZ315">
            <v>-205.262</v>
          </cell>
          <cell r="CD315">
            <v>26821.965000000004</v>
          </cell>
          <cell r="CF315">
            <v>8.4320000000000004</v>
          </cell>
          <cell r="CH315">
            <v>0</v>
          </cell>
          <cell r="CJ315">
            <v>8.4320000000000004</v>
          </cell>
          <cell r="CL315">
            <v>93</v>
          </cell>
          <cell r="CP315">
            <v>101.432</v>
          </cell>
          <cell r="CQ315">
            <v>0</v>
          </cell>
          <cell r="CR315">
            <v>-107.104</v>
          </cell>
          <cell r="CT315">
            <v>33096.282000000007</v>
          </cell>
          <cell r="CU315">
            <v>0</v>
          </cell>
          <cell r="CV315">
            <v>0</v>
          </cell>
          <cell r="CX315">
            <v>33096.282000000007</v>
          </cell>
          <cell r="FC315">
            <v>1653</v>
          </cell>
          <cell r="FD315">
            <v>-2</v>
          </cell>
          <cell r="FE315">
            <v>0</v>
          </cell>
          <cell r="FF315">
            <v>1651</v>
          </cell>
          <cell r="FH315">
            <v>1823.5</v>
          </cell>
          <cell r="FI315">
            <v>10220.337</v>
          </cell>
          <cell r="FK315">
            <v>504.5</v>
          </cell>
          <cell r="FL315">
            <v>-64.048000000000002</v>
          </cell>
          <cell r="FN315">
            <v>10660.788999999999</v>
          </cell>
          <cell r="FO315">
            <v>12.9</v>
          </cell>
          <cell r="FP315">
            <v>98</v>
          </cell>
          <cell r="FR315">
            <v>110.9</v>
          </cell>
          <cell r="FS315">
            <v>-88.51</v>
          </cell>
          <cell r="FT315">
            <v>14157.678999999998</v>
          </cell>
          <cell r="FU315">
            <v>0</v>
          </cell>
          <cell r="FV315">
            <v>14157.678999999998</v>
          </cell>
          <cell r="FW315" t="str">
            <v>expenses-banks,net</v>
          </cell>
          <cell r="FX315">
            <v>10660.788999999999</v>
          </cell>
          <cell r="FY315">
            <v>110.9</v>
          </cell>
          <cell r="GA315">
            <v>10771.688999999998</v>
          </cell>
          <cell r="GB315">
            <v>10916.131973361393</v>
          </cell>
          <cell r="GC315">
            <v>3385.99</v>
          </cell>
          <cell r="GD315">
            <v>3431.3944359591096</v>
          </cell>
          <cell r="GE315">
            <v>3385.99</v>
          </cell>
          <cell r="GF315">
            <v>-19.850617839601462</v>
          </cell>
          <cell r="GG315">
            <v>480.39301502286099</v>
          </cell>
          <cell r="GH315">
            <v>0</v>
          </cell>
        </row>
        <row r="316">
          <cell r="C316">
            <v>-4209.6400000000003</v>
          </cell>
          <cell r="E316">
            <v>-794.78599999999994</v>
          </cell>
          <cell r="G316">
            <v>2313.9946375279637</v>
          </cell>
          <cell r="I316">
            <v>-2690.4313624720362</v>
          </cell>
          <cell r="M316">
            <v>29.911000000000001</v>
          </cell>
          <cell r="O316">
            <v>469.5</v>
          </cell>
          <cell r="Q316">
            <v>-428.36500000000001</v>
          </cell>
          <cell r="S316">
            <v>202.167</v>
          </cell>
          <cell r="U316">
            <v>-226.19800000000006</v>
          </cell>
          <cell r="W316">
            <v>0</v>
          </cell>
          <cell r="X316">
            <v>-554</v>
          </cell>
          <cell r="Z316">
            <v>-106.25200000000001</v>
          </cell>
          <cell r="AB316">
            <v>0</v>
          </cell>
          <cell r="AD316">
            <v>-886.45</v>
          </cell>
          <cell r="AF316">
            <v>-6.5929999999999991</v>
          </cell>
          <cell r="AH316">
            <v>0</v>
          </cell>
          <cell r="AJ316">
            <v>-6.5929999999999991</v>
          </cell>
          <cell r="AL316">
            <v>-1537.3820000000001</v>
          </cell>
          <cell r="AN316">
            <v>0</v>
          </cell>
          <cell r="AP316">
            <v>-1543.9749999999999</v>
          </cell>
          <cell r="AR316">
            <v>-1018.38</v>
          </cell>
          <cell r="AT316">
            <v>-5639.8253624720364</v>
          </cell>
          <cell r="AV316">
            <v>0</v>
          </cell>
          <cell r="AX316">
            <v>-5639.8253624720364</v>
          </cell>
          <cell r="BC316">
            <v>-5770.1151299999974</v>
          </cell>
          <cell r="BE316">
            <v>-5917.6279999999997</v>
          </cell>
          <cell r="BG316">
            <v>-8288.5424635847194</v>
          </cell>
          <cell r="BI316">
            <v>-19976.285593584718</v>
          </cell>
          <cell r="BM316">
            <v>0</v>
          </cell>
          <cell r="BO316">
            <v>1581.2249999999999</v>
          </cell>
          <cell r="BQ316">
            <v>53984.953999999998</v>
          </cell>
          <cell r="BS316">
            <v>0</v>
          </cell>
          <cell r="BU316">
            <v>53984.953999999998</v>
          </cell>
          <cell r="BW316">
            <v>0</v>
          </cell>
          <cell r="BX316">
            <v>3345.5</v>
          </cell>
          <cell r="BZ316">
            <v>290.14600000000002</v>
          </cell>
          <cell r="CB316">
            <v>0</v>
          </cell>
          <cell r="CD316">
            <v>57620.6</v>
          </cell>
          <cell r="CF316">
            <v>202.64300000000003</v>
          </cell>
          <cell r="CH316">
            <v>0</v>
          </cell>
          <cell r="CJ316">
            <v>202.64300000000003</v>
          </cell>
          <cell r="CL316">
            <v>11121</v>
          </cell>
          <cell r="CN316">
            <v>0</v>
          </cell>
          <cell r="CP316">
            <v>11323.643</v>
          </cell>
          <cell r="CQ316">
            <v>0</v>
          </cell>
          <cell r="CR316">
            <v>8358</v>
          </cell>
          <cell r="CT316">
            <v>58907.133406415283</v>
          </cell>
          <cell r="CU316">
            <v>4.8999999999068677E-2</v>
          </cell>
          <cell r="CV316">
            <v>0</v>
          </cell>
          <cell r="CX316">
            <v>58907.133406415283</v>
          </cell>
          <cell r="FC316">
            <v>-17578.188999999998</v>
          </cell>
          <cell r="FD316">
            <v>-645</v>
          </cell>
          <cell r="FE316">
            <v>1759.7163145452437</v>
          </cell>
          <cell r="FF316">
            <v>-16463.472685454755</v>
          </cell>
          <cell r="FG316">
            <v>124.428</v>
          </cell>
          <cell r="FH316">
            <v>1823.5</v>
          </cell>
          <cell r="FI316">
            <v>25882.316000000003</v>
          </cell>
          <cell r="FJ316">
            <v>0</v>
          </cell>
          <cell r="FK316">
            <v>504.5</v>
          </cell>
          <cell r="FL316">
            <v>-99.121000000000009</v>
          </cell>
          <cell r="FM316">
            <v>0</v>
          </cell>
          <cell r="FN316">
            <v>26287.695</v>
          </cell>
          <cell r="FO316">
            <v>88.716000000000008</v>
          </cell>
          <cell r="FP316">
            <v>3793.7380000000003</v>
          </cell>
          <cell r="FQ316">
            <v>0</v>
          </cell>
          <cell r="FR316">
            <v>3882.4540000000002</v>
          </cell>
          <cell r="FS316">
            <v>2102.9470000000001</v>
          </cell>
          <cell r="FT316">
            <v>17757.551314545246</v>
          </cell>
          <cell r="FU316">
            <v>0</v>
          </cell>
          <cell r="FV316">
            <v>17757.551314545246</v>
          </cell>
          <cell r="FX316">
            <v>26287.695</v>
          </cell>
          <cell r="FY316">
            <v>3882.4540000000002</v>
          </cell>
          <cell r="FZ316">
            <v>0</v>
          </cell>
          <cell r="GA316">
            <v>30170.149000000001</v>
          </cell>
          <cell r="GB316">
            <v>30574.7156402285</v>
          </cell>
          <cell r="GC316">
            <v>-12412.597685454757</v>
          </cell>
          <cell r="GD316">
            <v>-12579.04442531383</v>
          </cell>
          <cell r="GE316">
            <v>-12412.597685454755</v>
          </cell>
          <cell r="GF316">
            <v>-3.1485994996770241</v>
          </cell>
          <cell r="GG316">
            <v>16399.06489151717</v>
          </cell>
          <cell r="GH316">
            <v>0</v>
          </cell>
        </row>
        <row r="317">
          <cell r="A317" t="str">
            <v>CAPITAL GAINS</v>
          </cell>
          <cell r="E317">
            <v>-0.75</v>
          </cell>
          <cell r="I317">
            <v>-0.75</v>
          </cell>
          <cell r="O317">
            <v>-13.5</v>
          </cell>
          <cell r="Q317">
            <v>-2.747000000000007</v>
          </cell>
          <cell r="U317">
            <v>-2.747000000000007</v>
          </cell>
          <cell r="X317">
            <v>5</v>
          </cell>
          <cell r="AD317">
            <v>2.252999999999993</v>
          </cell>
          <cell r="AJ317">
            <v>0</v>
          </cell>
          <cell r="AL317">
            <v>-18.626999999999999</v>
          </cell>
          <cell r="AP317">
            <v>-18.626999999999999</v>
          </cell>
          <cell r="AT317">
            <v>-30.624000000000006</v>
          </cell>
          <cell r="AV317">
            <v>0</v>
          </cell>
          <cell r="AX317">
            <v>-30.624000000000006</v>
          </cell>
          <cell r="AZ317" t="str">
            <v>CAPITAL GAINS</v>
          </cell>
          <cell r="BE317">
            <v>-194.22300000000001</v>
          </cell>
          <cell r="BI317">
            <v>-194.22300000000001</v>
          </cell>
          <cell r="BQ317">
            <v>37.99799999999999</v>
          </cell>
          <cell r="BS317">
            <v>-571</v>
          </cell>
          <cell r="BU317">
            <v>-533.00199999999995</v>
          </cell>
          <cell r="BX317">
            <v>-18</v>
          </cell>
          <cell r="BZ317">
            <v>0</v>
          </cell>
          <cell r="CD317">
            <v>-551.00199999999995</v>
          </cell>
          <cell r="CF317">
            <v>0</v>
          </cell>
          <cell r="CJ317">
            <v>0</v>
          </cell>
          <cell r="CL317">
            <v>-104</v>
          </cell>
          <cell r="CP317">
            <v>-104</v>
          </cell>
          <cell r="CQ317">
            <v>0</v>
          </cell>
          <cell r="CT317">
            <v>-849.22500000000002</v>
          </cell>
          <cell r="CU317">
            <v>0</v>
          </cell>
          <cell r="CX317">
            <v>-849.22500000000002</v>
          </cell>
          <cell r="FD317">
            <v>18.3702288</v>
          </cell>
          <cell r="FF317">
            <v>18.3702288</v>
          </cell>
          <cell r="FH317">
            <v>-53.5</v>
          </cell>
          <cell r="FI317">
            <v>-100.605</v>
          </cell>
          <cell r="FK317">
            <v>18.5</v>
          </cell>
          <cell r="FN317">
            <v>-82.105000000000004</v>
          </cell>
          <cell r="FO317">
            <v>0</v>
          </cell>
          <cell r="FR317">
            <v>0</v>
          </cell>
          <cell r="FS317">
            <v>0</v>
          </cell>
          <cell r="FT317">
            <v>-117.23477119999995</v>
          </cell>
          <cell r="FV317">
            <v>-117.23477119999995</v>
          </cell>
          <cell r="FW317" t="str">
            <v>CAPITAL GAINS</v>
          </cell>
          <cell r="FX317">
            <v>-82.105000000000004</v>
          </cell>
          <cell r="FY317">
            <v>0</v>
          </cell>
          <cell r="GA317">
            <v>-82.105000000000004</v>
          </cell>
          <cell r="GB317">
            <v>-83.205987071557374</v>
          </cell>
          <cell r="GC317">
            <v>-35.129771199999993</v>
          </cell>
          <cell r="GD317">
            <v>-35.600843898592892</v>
          </cell>
          <cell r="GE317">
            <v>-35.129771199999993</v>
          </cell>
          <cell r="GF317">
            <v>3.8281991640543342</v>
          </cell>
          <cell r="GG317">
            <v>865.63440561724371</v>
          </cell>
          <cell r="GH317">
            <v>0</v>
          </cell>
        </row>
        <row r="318">
          <cell r="A318" t="str">
            <v>OTHER INCOME</v>
          </cell>
          <cell r="U318">
            <v>0</v>
          </cell>
          <cell r="AD318">
            <v>0</v>
          </cell>
          <cell r="AJ318">
            <v>0</v>
          </cell>
          <cell r="AT318">
            <v>0</v>
          </cell>
          <cell r="AX318">
            <v>0</v>
          </cell>
          <cell r="BO318">
            <v>-59</v>
          </cell>
          <cell r="CD318">
            <v>0</v>
          </cell>
          <cell r="CQ318">
            <v>0</v>
          </cell>
          <cell r="CT318">
            <v>-59</v>
          </cell>
          <cell r="CU318">
            <v>0</v>
          </cell>
          <cell r="CX318">
            <v>-59</v>
          </cell>
          <cell r="FS318">
            <v>0</v>
          </cell>
          <cell r="FT318">
            <v>0</v>
          </cell>
          <cell r="FW318" t="str">
            <v>OTHER INCOME</v>
          </cell>
          <cell r="FX318">
            <v>0</v>
          </cell>
          <cell r="FY318">
            <v>0</v>
          </cell>
          <cell r="GA318">
            <v>0</v>
          </cell>
          <cell r="GB318">
            <v>0</v>
          </cell>
          <cell r="GC318">
            <v>0</v>
          </cell>
          <cell r="GD318">
            <v>0</v>
          </cell>
          <cell r="GE318">
            <v>0</v>
          </cell>
          <cell r="GF318" t="e">
            <v>#DIV/0!</v>
          </cell>
          <cell r="GG318">
            <v>0</v>
          </cell>
          <cell r="GH318">
            <v>0</v>
          </cell>
        </row>
        <row r="319">
          <cell r="A319" t="str">
            <v>profit BEF. TAXES</v>
          </cell>
          <cell r="C319">
            <v>-5248.3209999999999</v>
          </cell>
          <cell r="E319">
            <v>-900.26299999999992</v>
          </cell>
          <cell r="G319">
            <v>1259.7846375279639</v>
          </cell>
          <cell r="I319">
            <v>-4888.7993624720366</v>
          </cell>
          <cell r="K319">
            <v>0</v>
          </cell>
          <cell r="M319">
            <v>-243.03250961538447</v>
          </cell>
          <cell r="O319">
            <v>-107</v>
          </cell>
          <cell r="Q319">
            <v>-26938.115999999998</v>
          </cell>
          <cell r="S319">
            <v>202.167</v>
          </cell>
          <cell r="U319">
            <v>-26735.949000000004</v>
          </cell>
          <cell r="W319">
            <v>3013</v>
          </cell>
          <cell r="X319">
            <v>-4400</v>
          </cell>
          <cell r="Z319">
            <v>-384.02600000000001</v>
          </cell>
          <cell r="AD319">
            <v>-28506.97500000002</v>
          </cell>
          <cell r="AF319">
            <v>-23.698999999999998</v>
          </cell>
          <cell r="AH319">
            <v>0</v>
          </cell>
          <cell r="AJ319">
            <v>-23.698999999999998</v>
          </cell>
          <cell r="AL319">
            <v>-17988.302999999996</v>
          </cell>
          <cell r="AN319">
            <v>44.588000000000001</v>
          </cell>
          <cell r="AP319">
            <v>-17967.413999999997</v>
          </cell>
          <cell r="AR319">
            <v>-1446.8339999999998</v>
          </cell>
          <cell r="AT319">
            <v>-53160.054872087465</v>
          </cell>
          <cell r="AV319">
            <v>167.0520000000015</v>
          </cell>
          <cell r="AX319">
            <v>-52993.002872087418</v>
          </cell>
          <cell r="AZ319" t="str">
            <v>profit BEF. TAXES</v>
          </cell>
          <cell r="BC319">
            <v>-10903.969129999998</v>
          </cell>
          <cell r="BE319">
            <v>-6478.8509999999997</v>
          </cell>
          <cell r="BG319">
            <v>-12601.23246358472</v>
          </cell>
          <cell r="BI319">
            <v>-29984.052593584722</v>
          </cell>
          <cell r="BM319">
            <v>-1033.9669999999996</v>
          </cell>
          <cell r="BO319">
            <v>-2148.2750000000001</v>
          </cell>
          <cell r="BQ319">
            <v>-49583.34</v>
          </cell>
          <cell r="BS319">
            <v>-571</v>
          </cell>
          <cell r="BU319">
            <v>-50154.34</v>
          </cell>
          <cell r="BW319">
            <v>14599</v>
          </cell>
          <cell r="BX319">
            <v>-14707</v>
          </cell>
          <cell r="BZ319">
            <v>-849.06600000000117</v>
          </cell>
          <cell r="CB319">
            <v>0</v>
          </cell>
          <cell r="CD319">
            <v>-51111.40600000001</v>
          </cell>
          <cell r="CF319">
            <v>131.46700000000004</v>
          </cell>
          <cell r="CH319">
            <v>0</v>
          </cell>
          <cell r="CJ319">
            <v>131.46700000000004</v>
          </cell>
          <cell r="CL319">
            <v>-53148</v>
          </cell>
          <cell r="CN319">
            <v>103</v>
          </cell>
          <cell r="CP319">
            <v>-52913.532999999996</v>
          </cell>
          <cell r="CQ319">
            <v>0</v>
          </cell>
          <cell r="CR319">
            <v>6482.66</v>
          </cell>
          <cell r="CT319">
            <v>-130708.7555935847</v>
          </cell>
          <cell r="CU319">
            <v>0.18199999997159466</v>
          </cell>
          <cell r="CV319">
            <v>582.15800000001036</v>
          </cell>
          <cell r="CX319">
            <v>-130126.59759358468</v>
          </cell>
          <cell r="FC319">
            <v>-26403.41</v>
          </cell>
          <cell r="FD319">
            <v>-1023.9667266</v>
          </cell>
          <cell r="FE319">
            <v>1535.8143145452436</v>
          </cell>
          <cell r="FF319">
            <v>-25891.562412054755</v>
          </cell>
          <cell r="FG319">
            <v>-1009.8980000000006</v>
          </cell>
          <cell r="FH319">
            <v>-1131</v>
          </cell>
          <cell r="FI319">
            <v>-70147.220999999932</v>
          </cell>
          <cell r="FJ319">
            <v>11433</v>
          </cell>
          <cell r="FK319">
            <v>-14668.5</v>
          </cell>
          <cell r="FL319">
            <v>-1178.8139999999994</v>
          </cell>
          <cell r="FM319">
            <v>0</v>
          </cell>
          <cell r="FN319">
            <v>-74561.535000000018</v>
          </cell>
          <cell r="FO319">
            <v>19.48</v>
          </cell>
          <cell r="FP319">
            <v>-57002.262000000002</v>
          </cell>
          <cell r="FQ319">
            <v>194</v>
          </cell>
          <cell r="FR319">
            <v>-56788.782000000007</v>
          </cell>
          <cell r="FS319">
            <v>141.00399999999991</v>
          </cell>
          <cell r="FT319">
            <v>-159241.77341205467</v>
          </cell>
          <cell r="FU319">
            <v>664.17799999999988</v>
          </cell>
          <cell r="FV319">
            <v>-158577.59541205465</v>
          </cell>
          <cell r="FW319" t="str">
            <v>profit BEF. TAXES</v>
          </cell>
          <cell r="FX319">
            <v>-74561.535000000018</v>
          </cell>
          <cell r="FY319">
            <v>-56788.782000000007</v>
          </cell>
          <cell r="FZ319">
            <v>-0.43684500000017579</v>
          </cell>
          <cell r="GA319">
            <v>-131350.75384499994</v>
          </cell>
          <cell r="GB319">
            <v>-133112.10189716073</v>
          </cell>
          <cell r="GC319">
            <v>-27226.841567054751</v>
          </cell>
          <cell r="GD319">
            <v>-27591.939923606355</v>
          </cell>
          <cell r="GE319">
            <v>-27226.841567054711</v>
          </cell>
          <cell r="GF319">
            <v>2.9924251659190455</v>
          </cell>
          <cell r="GG319">
            <v>-137078.72350524145</v>
          </cell>
          <cell r="GH319">
            <v>0</v>
          </cell>
        </row>
        <row r="320">
          <cell r="A320" t="str">
            <v>TAXES</v>
          </cell>
          <cell r="AZ320" t="str">
            <v>TAXES</v>
          </cell>
          <cell r="CD320">
            <v>0</v>
          </cell>
          <cell r="CQ320">
            <v>0</v>
          </cell>
          <cell r="CU320">
            <v>0</v>
          </cell>
          <cell r="FW320" t="str">
            <v>TAXES</v>
          </cell>
          <cell r="FX320">
            <v>0</v>
          </cell>
          <cell r="FY320">
            <v>0</v>
          </cell>
          <cell r="GA320">
            <v>0</v>
          </cell>
          <cell r="GB320">
            <v>0</v>
          </cell>
          <cell r="GC320">
            <v>0</v>
          </cell>
          <cell r="GD320">
            <v>0</v>
          </cell>
          <cell r="GE320">
            <v>0</v>
          </cell>
          <cell r="GF320" t="e">
            <v>#DIV/0!</v>
          </cell>
          <cell r="GH320">
            <v>0</v>
          </cell>
        </row>
        <row r="321">
          <cell r="A321" t="str">
            <v>current taxes</v>
          </cell>
          <cell r="C321">
            <v>0</v>
          </cell>
          <cell r="G321">
            <v>5024.8173076923076</v>
          </cell>
          <cell r="I321">
            <v>5024.8173076923076</v>
          </cell>
          <cell r="O321">
            <v>138.5</v>
          </cell>
          <cell r="X321">
            <v>984</v>
          </cell>
          <cell r="Z321">
            <v>96.777692307692305</v>
          </cell>
          <cell r="AD321">
            <v>1080.7776923076924</v>
          </cell>
          <cell r="AL321">
            <v>5504</v>
          </cell>
          <cell r="AP321">
            <v>5504</v>
          </cell>
          <cell r="AT321">
            <v>11748.095000000001</v>
          </cell>
          <cell r="AX321">
            <v>11748.095000000001</v>
          </cell>
          <cell r="AZ321" t="str">
            <v>current taxes</v>
          </cell>
          <cell r="BA321" t="str">
            <v>=-'ני"ע 2'!BO28-'ני"ע 2'!BO22-'ני"ע 2'!BO18</v>
          </cell>
          <cell r="BG321">
            <v>20714.29</v>
          </cell>
          <cell r="BI321">
            <v>20714.29</v>
          </cell>
          <cell r="BO321">
            <v>462</v>
          </cell>
          <cell r="BX321">
            <v>3833</v>
          </cell>
          <cell r="BZ321">
            <v>379.947</v>
          </cell>
          <cell r="CD321">
            <v>4212.9470000000001</v>
          </cell>
          <cell r="CL321">
            <v>19761</v>
          </cell>
          <cell r="CP321">
            <v>19761</v>
          </cell>
          <cell r="CQ321">
            <v>0</v>
          </cell>
          <cell r="CT321">
            <v>45150.237000000001</v>
          </cell>
          <cell r="CU321">
            <v>0</v>
          </cell>
          <cell r="CX321">
            <v>45150.237000000001</v>
          </cell>
          <cell r="FC321">
            <v>1040.6279999999999</v>
          </cell>
          <cell r="FE321">
            <v>20714.29</v>
          </cell>
          <cell r="FF321">
            <v>21754.918000000001</v>
          </cell>
          <cell r="FH321">
            <v>528</v>
          </cell>
          <cell r="FK321">
            <v>4582.5</v>
          </cell>
          <cell r="FL321">
            <v>391</v>
          </cell>
          <cell r="FN321">
            <v>4973.5</v>
          </cell>
          <cell r="FP321">
            <v>19980</v>
          </cell>
          <cell r="FR321">
            <v>19980</v>
          </cell>
          <cell r="FS321">
            <v>0</v>
          </cell>
          <cell r="FT321">
            <v>47236.418000000005</v>
          </cell>
          <cell r="FV321">
            <v>47236.418000000005</v>
          </cell>
          <cell r="FW321" t="str">
            <v>current taxes</v>
          </cell>
          <cell r="FX321">
            <v>4973.5</v>
          </cell>
          <cell r="FY321">
            <v>19980</v>
          </cell>
          <cell r="GA321">
            <v>24953.5</v>
          </cell>
          <cell r="GB321">
            <v>25288.113980757669</v>
          </cell>
          <cell r="GC321">
            <v>22282.918000000005</v>
          </cell>
          <cell r="GD321">
            <v>22581.720809019847</v>
          </cell>
          <cell r="GE321">
            <v>22282.918000000005</v>
          </cell>
          <cell r="GF321">
            <v>4.0207725592957839</v>
          </cell>
          <cell r="GG321">
            <v>40991.492295231874</v>
          </cell>
          <cell r="GH321">
            <v>0</v>
          </cell>
        </row>
        <row r="322">
          <cell r="FE322">
            <v>-946.06590812995842</v>
          </cell>
          <cell r="FF322">
            <v>-946.06590812995842</v>
          </cell>
          <cell r="FT322">
            <v>-946.06590812995842</v>
          </cell>
          <cell r="FV322">
            <v>-946.06590812995842</v>
          </cell>
          <cell r="FX322">
            <v>0</v>
          </cell>
          <cell r="FY322">
            <v>0</v>
          </cell>
          <cell r="GA322">
            <v>0</v>
          </cell>
          <cell r="GB322">
            <v>0</v>
          </cell>
          <cell r="GC322">
            <v>-946.06590812995842</v>
          </cell>
          <cell r="GD322">
            <v>-958.75217977836371</v>
          </cell>
          <cell r="GE322">
            <v>-946.06590812995842</v>
          </cell>
          <cell r="GF322" t="e">
            <v>#DIV/0!</v>
          </cell>
        </row>
        <row r="323">
          <cell r="A323" t="str">
            <v>deferred taxes</v>
          </cell>
          <cell r="G323">
            <v>1706.8080782126697</v>
          </cell>
          <cell r="I323">
            <v>1706.8080782126697</v>
          </cell>
          <cell r="O323">
            <v>56</v>
          </cell>
          <cell r="X323">
            <v>747.5</v>
          </cell>
          <cell r="Z323">
            <v>51</v>
          </cell>
          <cell r="AD323">
            <v>798.5</v>
          </cell>
          <cell r="AL323">
            <v>1725</v>
          </cell>
          <cell r="AP323">
            <v>1725</v>
          </cell>
          <cell r="AT323">
            <v>4286.3080782126699</v>
          </cell>
          <cell r="AX323">
            <v>4286.3080782126699</v>
          </cell>
          <cell r="AZ323" t="str">
            <v>deferred taxes</v>
          </cell>
          <cell r="BI323">
            <v>0</v>
          </cell>
          <cell r="BO323">
            <v>-572</v>
          </cell>
          <cell r="BX323">
            <v>353.5</v>
          </cell>
          <cell r="BZ323">
            <v>-146</v>
          </cell>
          <cell r="CD323">
            <v>207.5</v>
          </cell>
          <cell r="CL323">
            <v>0</v>
          </cell>
          <cell r="CP323">
            <v>0</v>
          </cell>
          <cell r="CQ323">
            <v>0</v>
          </cell>
          <cell r="CT323">
            <v>-364.5</v>
          </cell>
          <cell r="CU323">
            <v>0</v>
          </cell>
          <cell r="CX323">
            <v>-364.5</v>
          </cell>
          <cell r="FE323">
            <v>1121.7408198399999</v>
          </cell>
          <cell r="FF323">
            <v>1121.7408198399999</v>
          </cell>
          <cell r="FH323">
            <v>84</v>
          </cell>
          <cell r="FL323">
            <v>7</v>
          </cell>
          <cell r="FN323">
            <v>7</v>
          </cell>
          <cell r="FP323">
            <v>731</v>
          </cell>
          <cell r="FR323">
            <v>731</v>
          </cell>
          <cell r="FS323">
            <v>0</v>
          </cell>
          <cell r="FT323">
            <v>1943.7408198399999</v>
          </cell>
          <cell r="FV323">
            <v>1943.7408198399999</v>
          </cell>
          <cell r="FW323" t="str">
            <v>deferred taxes</v>
          </cell>
          <cell r="FX323">
            <v>7</v>
          </cell>
          <cell r="FY323">
            <v>731</v>
          </cell>
          <cell r="FZ323">
            <v>18203</v>
          </cell>
          <cell r="GA323">
            <v>18941</v>
          </cell>
          <cell r="GB323">
            <v>19194.989356584483</v>
          </cell>
          <cell r="GC323">
            <v>-16997.259180159999</v>
          </cell>
          <cell r="GD323">
            <v>-17225.183942467618</v>
          </cell>
          <cell r="GE323">
            <v>-16997.259180159999</v>
          </cell>
          <cell r="GF323">
            <v>0.45347669471544666</v>
          </cell>
          <cell r="GG323">
            <v>2407.3610904884972</v>
          </cell>
          <cell r="GH323">
            <v>0</v>
          </cell>
        </row>
        <row r="324">
          <cell r="A324" t="str">
            <v>Total Taxes</v>
          </cell>
          <cell r="C324">
            <v>0</v>
          </cell>
          <cell r="E324">
            <v>0</v>
          </cell>
          <cell r="G324">
            <v>6731.6253859049775</v>
          </cell>
          <cell r="I324">
            <v>6731.6253859049775</v>
          </cell>
          <cell r="O324">
            <v>194.5</v>
          </cell>
          <cell r="Q324">
            <v>0</v>
          </cell>
          <cell r="S324">
            <v>0</v>
          </cell>
          <cell r="U324">
            <v>0</v>
          </cell>
          <cell r="W324">
            <v>0</v>
          </cell>
          <cell r="X324">
            <v>1732.5</v>
          </cell>
          <cell r="Z324">
            <v>147.77769230769229</v>
          </cell>
          <cell r="AB324">
            <v>0</v>
          </cell>
          <cell r="AD324">
            <v>1879.2776923076924</v>
          </cell>
          <cell r="AF324">
            <v>0</v>
          </cell>
          <cell r="AJ324">
            <v>0</v>
          </cell>
          <cell r="AL324">
            <v>7229</v>
          </cell>
          <cell r="AP324">
            <v>7229</v>
          </cell>
          <cell r="AT324">
            <v>16034.403078212672</v>
          </cell>
          <cell r="AX324">
            <v>16034.403078212672</v>
          </cell>
          <cell r="AZ324" t="str">
            <v>Total Taxes</v>
          </cell>
          <cell r="BC324">
            <v>0</v>
          </cell>
          <cell r="BG324">
            <v>20714.29</v>
          </cell>
          <cell r="BI324">
            <v>20714.29</v>
          </cell>
          <cell r="BM324">
            <v>0</v>
          </cell>
          <cell r="BO324">
            <v>-110</v>
          </cell>
          <cell r="BQ324">
            <v>0</v>
          </cell>
          <cell r="BS324">
            <v>0</v>
          </cell>
          <cell r="BU324">
            <v>0</v>
          </cell>
          <cell r="BW324">
            <v>0</v>
          </cell>
          <cell r="BX324">
            <v>4186.5</v>
          </cell>
          <cell r="BZ324">
            <v>233.947</v>
          </cell>
          <cell r="CB324">
            <v>0</v>
          </cell>
          <cell r="CD324">
            <v>4420.4470000000001</v>
          </cell>
          <cell r="CF324">
            <v>0</v>
          </cell>
          <cell r="CH324">
            <v>0</v>
          </cell>
          <cell r="CJ324">
            <v>0</v>
          </cell>
          <cell r="CL324">
            <v>19761</v>
          </cell>
          <cell r="CN324">
            <v>0</v>
          </cell>
          <cell r="CP324">
            <v>19761</v>
          </cell>
          <cell r="CQ324">
            <v>0</v>
          </cell>
          <cell r="CR324">
            <v>0</v>
          </cell>
          <cell r="CT324">
            <v>44785.737000000001</v>
          </cell>
          <cell r="CU324">
            <v>0</v>
          </cell>
          <cell r="CV324">
            <v>0</v>
          </cell>
          <cell r="CX324">
            <v>44785.737000000001</v>
          </cell>
          <cell r="FC324">
            <v>1040.6279999999999</v>
          </cell>
          <cell r="FD324">
            <v>0</v>
          </cell>
          <cell r="FE324">
            <v>20889.964911710042</v>
          </cell>
          <cell r="FF324">
            <v>21930.592911710042</v>
          </cell>
          <cell r="FG324">
            <v>0</v>
          </cell>
          <cell r="FH324">
            <v>612</v>
          </cell>
          <cell r="FI324">
            <v>0</v>
          </cell>
          <cell r="FJ324">
            <v>0</v>
          </cell>
          <cell r="FK324">
            <v>4582.5</v>
          </cell>
          <cell r="FL324">
            <v>398</v>
          </cell>
          <cell r="FM324">
            <v>0</v>
          </cell>
          <cell r="FN324">
            <v>4980.5</v>
          </cell>
          <cell r="FO324">
            <v>0</v>
          </cell>
          <cell r="FP324">
            <v>20711</v>
          </cell>
          <cell r="FQ324">
            <v>0</v>
          </cell>
          <cell r="FR324">
            <v>20711</v>
          </cell>
          <cell r="FS324">
            <v>0</v>
          </cell>
          <cell r="FT324">
            <v>48234.092911710046</v>
          </cell>
          <cell r="FU324">
            <v>0</v>
          </cell>
          <cell r="FV324">
            <v>48234.092911710046</v>
          </cell>
          <cell r="FW324" t="str">
            <v>Total Taxes</v>
          </cell>
          <cell r="FX324">
            <v>4980.5</v>
          </cell>
          <cell r="FY324">
            <v>20711</v>
          </cell>
          <cell r="FZ324">
            <v>18203</v>
          </cell>
          <cell r="GA324">
            <v>43894.5</v>
          </cell>
          <cell r="GB324">
            <v>52229.220466626575</v>
          </cell>
          <cell r="GC324">
            <v>4339.5929117100459</v>
          </cell>
          <cell r="GD324">
            <v>4499.5593761304517</v>
          </cell>
          <cell r="GE324">
            <v>4339.5929117100459</v>
          </cell>
          <cell r="GF324">
            <v>3.008162678487849</v>
          </cell>
          <cell r="GG324">
            <v>43398.803937654775</v>
          </cell>
          <cell r="GH324">
            <v>0</v>
          </cell>
        </row>
        <row r="325">
          <cell r="AD325">
            <v>0</v>
          </cell>
          <cell r="AT325">
            <v>0</v>
          </cell>
          <cell r="CD325">
            <v>0</v>
          </cell>
          <cell r="CQ325">
            <v>0</v>
          </cell>
          <cell r="CT325">
            <v>0</v>
          </cell>
          <cell r="CU325">
            <v>0</v>
          </cell>
          <cell r="FN325">
            <v>0</v>
          </cell>
          <cell r="FS325">
            <v>0</v>
          </cell>
          <cell r="FX325">
            <v>0</v>
          </cell>
          <cell r="FY325">
            <v>0</v>
          </cell>
          <cell r="GA325">
            <v>0</v>
          </cell>
          <cell r="GB325">
            <v>0</v>
          </cell>
          <cell r="GC325">
            <v>0</v>
          </cell>
          <cell r="GD325">
            <v>0</v>
          </cell>
          <cell r="GE325">
            <v>0</v>
          </cell>
          <cell r="GF325" t="e">
            <v>#DIV/0!</v>
          </cell>
          <cell r="GH325">
            <v>0</v>
          </cell>
        </row>
        <row r="326">
          <cell r="A326" t="str">
            <v xml:space="preserve">MIN.INT.IN P.RESULTS </v>
          </cell>
          <cell r="I326">
            <v>0</v>
          </cell>
          <cell r="O326">
            <v>-20</v>
          </cell>
          <cell r="U326">
            <v>0</v>
          </cell>
          <cell r="AB326">
            <v>71</v>
          </cell>
          <cell r="AD326">
            <v>71</v>
          </cell>
          <cell r="AH326">
            <v>0</v>
          </cell>
          <cell r="AJ326">
            <v>0</v>
          </cell>
          <cell r="AL326">
            <v>0</v>
          </cell>
          <cell r="AN326">
            <v>3502</v>
          </cell>
          <cell r="AP326">
            <v>3502</v>
          </cell>
          <cell r="AT326">
            <v>3553</v>
          </cell>
          <cell r="AV326">
            <v>10596</v>
          </cell>
          <cell r="AX326">
            <v>14149</v>
          </cell>
          <cell r="AZ326" t="str">
            <v xml:space="preserve">MIN.INT.IN P.RESULTS </v>
          </cell>
          <cell r="BI326">
            <v>0</v>
          </cell>
          <cell r="BO326">
            <v>-85.5</v>
          </cell>
          <cell r="BU326">
            <v>0</v>
          </cell>
          <cell r="CB326">
            <v>185</v>
          </cell>
          <cell r="CD326">
            <v>185</v>
          </cell>
          <cell r="CH326">
            <v>0</v>
          </cell>
          <cell r="CJ326">
            <v>0</v>
          </cell>
          <cell r="CL326">
            <v>0</v>
          </cell>
          <cell r="CN326">
            <v>10867</v>
          </cell>
          <cell r="CP326">
            <v>10867</v>
          </cell>
          <cell r="CQ326">
            <v>0</v>
          </cell>
          <cell r="CT326">
            <v>10966.5</v>
          </cell>
          <cell r="CU326">
            <v>0</v>
          </cell>
          <cell r="CV326">
            <v>18799</v>
          </cell>
          <cell r="CX326">
            <v>29765.5</v>
          </cell>
          <cell r="FH326">
            <v>-84</v>
          </cell>
          <cell r="FM326">
            <v>235</v>
          </cell>
          <cell r="FN326">
            <v>235</v>
          </cell>
          <cell r="FO326">
            <v>0</v>
          </cell>
          <cell r="FP326">
            <v>0</v>
          </cell>
          <cell r="FQ326">
            <v>11813</v>
          </cell>
          <cell r="FR326">
            <v>11813</v>
          </cell>
          <cell r="FS326">
            <v>0</v>
          </cell>
          <cell r="FT326">
            <v>11964</v>
          </cell>
          <cell r="FU326">
            <v>27632.611900000007</v>
          </cell>
          <cell r="FV326">
            <v>39596.611900000004</v>
          </cell>
          <cell r="FW326" t="str">
            <v xml:space="preserve">MIN.INT.IN P.RESULTS </v>
          </cell>
          <cell r="FX326">
            <v>235</v>
          </cell>
          <cell r="FY326">
            <v>11813</v>
          </cell>
          <cell r="FZ326">
            <v>27674.913100000009</v>
          </cell>
          <cell r="GA326">
            <v>39722.913100000005</v>
          </cell>
          <cell r="GB326">
            <v>40255.577539043894</v>
          </cell>
          <cell r="GC326">
            <v>-126.3012000000017</v>
          </cell>
          <cell r="GD326">
            <v>-127.99483605532343</v>
          </cell>
          <cell r="GE326">
            <v>-126.3012000000017</v>
          </cell>
          <cell r="GF326">
            <v>2.7985449077673334</v>
          </cell>
          <cell r="GG326">
            <v>38553.507049408297</v>
          </cell>
          <cell r="GH326">
            <v>0</v>
          </cell>
        </row>
        <row r="327">
          <cell r="A327" t="str">
            <v>PROVISION for losses on other investments</v>
          </cell>
          <cell r="E327">
            <v>0</v>
          </cell>
          <cell r="G327">
            <v>0</v>
          </cell>
          <cell r="I327">
            <v>0</v>
          </cell>
          <cell r="M327">
            <v>0</v>
          </cell>
          <cell r="AT327">
            <v>0</v>
          </cell>
          <cell r="AX327">
            <v>0</v>
          </cell>
          <cell r="AZ327" t="str">
            <v>PROVISION for losses on other investments</v>
          </cell>
          <cell r="BG327">
            <v>0</v>
          </cell>
          <cell r="BI327">
            <v>0</v>
          </cell>
          <cell r="CD327">
            <v>0</v>
          </cell>
          <cell r="CQ327">
            <v>0</v>
          </cell>
          <cell r="CT327">
            <v>0</v>
          </cell>
          <cell r="CU327">
            <v>0</v>
          </cell>
          <cell r="CX327">
            <v>0</v>
          </cell>
          <cell r="FG327">
            <v>0</v>
          </cell>
          <cell r="FS327">
            <v>0</v>
          </cell>
          <cell r="FT327">
            <v>0</v>
          </cell>
          <cell r="FV327">
            <v>0</v>
          </cell>
          <cell r="FW327" t="str">
            <v>PROVISION for losses on other investments</v>
          </cell>
          <cell r="FX327">
            <v>0</v>
          </cell>
          <cell r="FY327">
            <v>0</v>
          </cell>
          <cell r="GA327">
            <v>0</v>
          </cell>
          <cell r="GB327">
            <v>0</v>
          </cell>
          <cell r="GC327">
            <v>0</v>
          </cell>
          <cell r="GD327">
            <v>0</v>
          </cell>
          <cell r="GE327">
            <v>0</v>
          </cell>
          <cell r="GF327" t="e">
            <v>#DIV/0!</v>
          </cell>
          <cell r="GG327">
            <v>0</v>
          </cell>
          <cell r="GH327">
            <v>0</v>
          </cell>
        </row>
        <row r="328">
          <cell r="A328" t="str">
            <v>EQUITY profit</v>
          </cell>
          <cell r="C328">
            <v>-14585.843999999999</v>
          </cell>
          <cell r="G328">
            <v>-4394.7905096153845</v>
          </cell>
          <cell r="I328">
            <v>-18980.634509615382</v>
          </cell>
          <cell r="M328">
            <v>0</v>
          </cell>
          <cell r="Q328">
            <v>916.93718461538447</v>
          </cell>
          <cell r="U328">
            <v>916.93718461538447</v>
          </cell>
          <cell r="W328">
            <v>-598</v>
          </cell>
          <cell r="X328">
            <v>253</v>
          </cell>
          <cell r="AB328">
            <v>165</v>
          </cell>
          <cell r="AD328">
            <v>736.93718461538447</v>
          </cell>
          <cell r="AF328">
            <v>44.587999999999994</v>
          </cell>
          <cell r="AH328">
            <v>-7257</v>
          </cell>
          <cell r="AJ328">
            <v>-7212.4120000000003</v>
          </cell>
          <cell r="AL328">
            <v>0</v>
          </cell>
          <cell r="AN328">
            <v>7212.4120000000003</v>
          </cell>
          <cell r="AP328">
            <v>0</v>
          </cell>
          <cell r="AT328">
            <v>-18243.697324999997</v>
          </cell>
          <cell r="AV328">
            <v>23915.480509615383</v>
          </cell>
          <cell r="AX328">
            <v>5671.7831846153858</v>
          </cell>
          <cell r="AZ328" t="str">
            <v>EQUITY profit</v>
          </cell>
          <cell r="BC328">
            <v>-21103.220999999998</v>
          </cell>
          <cell r="BE328">
            <v>0</v>
          </cell>
          <cell r="BG328">
            <v>7606.4459999999999</v>
          </cell>
          <cell r="BI328">
            <v>-13496.774999999998</v>
          </cell>
          <cell r="BQ328">
            <v>6114.8050000000003</v>
          </cell>
          <cell r="BS328">
            <v>571</v>
          </cell>
          <cell r="BU328">
            <v>6685.8050000000003</v>
          </cell>
          <cell r="BW328">
            <v>-5272.5</v>
          </cell>
          <cell r="BX328">
            <v>1194</v>
          </cell>
          <cell r="CB328">
            <v>436</v>
          </cell>
          <cell r="CD328">
            <v>3043.3050000000003</v>
          </cell>
          <cell r="CF328">
            <v>103.188</v>
          </cell>
          <cell r="CH328">
            <v>-22520.205999999998</v>
          </cell>
          <cell r="CJ328">
            <v>-22417.018</v>
          </cell>
          <cell r="CN328">
            <v>22417.205999999998</v>
          </cell>
          <cell r="CP328">
            <v>0.18799999999828287</v>
          </cell>
          <cell r="CQ328">
            <v>0</v>
          </cell>
          <cell r="CR328">
            <v>0</v>
          </cell>
          <cell r="CT328">
            <v>-10453.281999999999</v>
          </cell>
          <cell r="CU328">
            <v>0</v>
          </cell>
          <cell r="CV328">
            <v>43266.383999999998</v>
          </cell>
          <cell r="CX328">
            <v>32813.101999999999</v>
          </cell>
          <cell r="FC328">
            <v>-36973.22</v>
          </cell>
          <cell r="FD328">
            <v>0</v>
          </cell>
          <cell r="FE328">
            <v>224.10099999999937</v>
          </cell>
          <cell r="FF328">
            <v>-36749.118999999992</v>
          </cell>
          <cell r="FG328">
            <v>0</v>
          </cell>
          <cell r="FI328">
            <v>5559.44</v>
          </cell>
          <cell r="FJ328">
            <v>-4409</v>
          </cell>
          <cell r="FK328">
            <v>3062</v>
          </cell>
          <cell r="FM328">
            <v>546</v>
          </cell>
          <cell r="FN328">
            <v>4758.4399999999996</v>
          </cell>
          <cell r="FO328">
            <v>-24283.595218999999</v>
          </cell>
          <cell r="FP328">
            <v>0</v>
          </cell>
          <cell r="FQ328">
            <v>24283.595218999999</v>
          </cell>
          <cell r="FR328">
            <v>0</v>
          </cell>
          <cell r="FS328">
            <v>0</v>
          </cell>
          <cell r="FT328">
            <v>-31990.678999999993</v>
          </cell>
          <cell r="FU328">
            <v>62028.164600000004</v>
          </cell>
          <cell r="FV328">
            <v>30037.485600000011</v>
          </cell>
          <cell r="FW328" t="str">
            <v>EQUITY profit</v>
          </cell>
          <cell r="FX328">
            <v>4758.4399999999996</v>
          </cell>
          <cell r="FY328">
            <v>0</v>
          </cell>
          <cell r="GA328">
            <v>4758.4399999999996</v>
          </cell>
          <cell r="GB328">
            <v>4822.2483054720369</v>
          </cell>
          <cell r="GC328">
            <v>25279.045600000012</v>
          </cell>
          <cell r="GD328">
            <v>25618.024984774514</v>
          </cell>
          <cell r="GE328">
            <v>25279.045600000012</v>
          </cell>
          <cell r="GF328">
            <v>5.2959509597398178</v>
          </cell>
          <cell r="GG328">
            <v>31858.839444541212</v>
          </cell>
          <cell r="GH328">
            <v>0</v>
          </cell>
        </row>
        <row r="329">
          <cell r="A329" t="str">
            <v>profit FOR THE PERIOD</v>
          </cell>
          <cell r="C329">
            <v>-19834.165000000001</v>
          </cell>
          <cell r="E329">
            <v>-900.26299999999992</v>
          </cell>
          <cell r="G329">
            <v>3596.6195138175572</v>
          </cell>
          <cell r="I329">
            <v>-17137.808486182439</v>
          </cell>
          <cell r="M329">
            <v>-243.03250961538447</v>
          </cell>
          <cell r="O329">
            <v>67.5</v>
          </cell>
          <cell r="Q329">
            <v>-26021.178815384614</v>
          </cell>
          <cell r="S329">
            <v>202.167</v>
          </cell>
          <cell r="U329">
            <v>-25819.01181538462</v>
          </cell>
          <cell r="W329">
            <v>2415</v>
          </cell>
          <cell r="X329">
            <v>-2414.5</v>
          </cell>
          <cell r="Z329">
            <v>-236.24830769230772</v>
          </cell>
          <cell r="AB329">
            <v>236</v>
          </cell>
          <cell r="AD329">
            <v>-25819.760123076943</v>
          </cell>
          <cell r="AF329">
            <v>20.888999999999996</v>
          </cell>
          <cell r="AH329">
            <v>-7257</v>
          </cell>
          <cell r="AJ329">
            <v>-7236.1109999999999</v>
          </cell>
          <cell r="AL329">
            <v>-10759.302999999996</v>
          </cell>
          <cell r="AN329">
            <v>10759</v>
          </cell>
          <cell r="AP329">
            <v>-7236.413999999997</v>
          </cell>
          <cell r="AR329">
            <v>-1446.8339999999998</v>
          </cell>
          <cell r="AT329">
            <v>-51816.349118874787</v>
          </cell>
          <cell r="AV329">
            <v>34678.532509615383</v>
          </cell>
          <cell r="AX329">
            <v>-17137.81660925936</v>
          </cell>
          <cell r="AZ329" t="str">
            <v>profit FOR THE PERIOD</v>
          </cell>
          <cell r="BC329">
            <v>-32007.190129999995</v>
          </cell>
          <cell r="BE329">
            <v>-6478.8509999999997</v>
          </cell>
          <cell r="BG329">
            <v>15719.503536415281</v>
          </cell>
          <cell r="BI329">
            <v>-22766.537593584719</v>
          </cell>
          <cell r="BM329">
            <v>-1033.9669999999996</v>
          </cell>
          <cell r="BO329">
            <v>-2343.7750000000001</v>
          </cell>
          <cell r="BQ329">
            <v>-43468.535000000011</v>
          </cell>
          <cell r="BS329">
            <v>0</v>
          </cell>
          <cell r="BU329">
            <v>-43468.535000000011</v>
          </cell>
          <cell r="BW329">
            <v>9326.5</v>
          </cell>
          <cell r="BX329">
            <v>-9326.5</v>
          </cell>
          <cell r="BZ329">
            <v>-615.11900000000117</v>
          </cell>
          <cell r="CB329">
            <v>621</v>
          </cell>
          <cell r="CD329">
            <v>-43462.65400000001</v>
          </cell>
          <cell r="CF329">
            <v>234.655</v>
          </cell>
          <cell r="CH329">
            <v>-22520.205999999998</v>
          </cell>
          <cell r="CJ329">
            <v>-22285.550999999999</v>
          </cell>
          <cell r="CL329">
            <v>-33387</v>
          </cell>
          <cell r="CN329">
            <v>33387.205999999998</v>
          </cell>
          <cell r="CP329">
            <v>-22285.344999999998</v>
          </cell>
          <cell r="CQ329">
            <v>0</v>
          </cell>
          <cell r="CR329">
            <v>6482.66</v>
          </cell>
          <cell r="CT329">
            <v>-85409.800593584718</v>
          </cell>
          <cell r="CU329">
            <v>0.18200000000069849</v>
          </cell>
          <cell r="CV329">
            <v>62647.542000000009</v>
          </cell>
          <cell r="CX329">
            <v>-22762.258593584687</v>
          </cell>
          <cell r="FC329">
            <v>-62336.001999999993</v>
          </cell>
          <cell r="FD329">
            <v>-1023.9667266</v>
          </cell>
          <cell r="FE329">
            <v>22649.880226255285</v>
          </cell>
          <cell r="FF329">
            <v>-40710.088500344704</v>
          </cell>
          <cell r="FG329">
            <v>-1009.8980000000006</v>
          </cell>
          <cell r="FH329">
            <v>-603</v>
          </cell>
          <cell r="FI329">
            <v>-64587.78099999993</v>
          </cell>
          <cell r="FJ329">
            <v>7024</v>
          </cell>
          <cell r="FK329">
            <v>-7024</v>
          </cell>
          <cell r="FL329">
            <v>-780.8139999999994</v>
          </cell>
          <cell r="FM329">
            <v>781</v>
          </cell>
          <cell r="FN329">
            <v>-64587.595000000016</v>
          </cell>
          <cell r="FO329">
            <v>-24264.115218999999</v>
          </cell>
          <cell r="FP329">
            <v>-36291.262000000002</v>
          </cell>
          <cell r="FQ329">
            <v>36290.595218999995</v>
          </cell>
          <cell r="FR329">
            <v>-24264.782000000007</v>
          </cell>
          <cell r="FS329">
            <v>141.00399999999991</v>
          </cell>
          <cell r="FT329">
            <v>-131034.35950034461</v>
          </cell>
          <cell r="FU329">
            <v>90324.954500000007</v>
          </cell>
          <cell r="FV329">
            <v>-40709.405000344588</v>
          </cell>
          <cell r="FW329" t="str">
            <v>profit FOR THE PERIOD</v>
          </cell>
          <cell r="FX329">
            <v>-64587.595000000016</v>
          </cell>
          <cell r="FY329">
            <v>-24264.782000000007</v>
          </cell>
          <cell r="FZ329">
            <v>45877.476255000001</v>
          </cell>
          <cell r="GA329">
            <v>-42974.900744999934</v>
          </cell>
          <cell r="GB329">
            <v>-43551.172715302695</v>
          </cell>
          <cell r="GC329">
            <v>2265.4957446553053</v>
          </cell>
          <cell r="GD329">
            <v>2295.8749118867022</v>
          </cell>
          <cell r="GE329">
            <v>2265.4957446553453</v>
          </cell>
          <cell r="GF329">
            <v>2.3754137372639277</v>
          </cell>
          <cell r="GG329">
            <v>-23267.573073637159</v>
          </cell>
          <cell r="GH329">
            <v>0</v>
          </cell>
        </row>
        <row r="330">
          <cell r="A330" t="str">
            <v>DIVIDEND</v>
          </cell>
          <cell r="E330">
            <v>0</v>
          </cell>
          <cell r="G330">
            <v>0</v>
          </cell>
          <cell r="I330">
            <v>0</v>
          </cell>
          <cell r="O330">
            <v>0</v>
          </cell>
          <cell r="Q330">
            <v>0</v>
          </cell>
          <cell r="S330">
            <v>0</v>
          </cell>
          <cell r="U330">
            <v>0</v>
          </cell>
          <cell r="AD330">
            <v>0</v>
          </cell>
          <cell r="AH330">
            <v>4927.4849999999997</v>
          </cell>
          <cell r="AJ330">
            <v>4927.4849999999997</v>
          </cell>
          <cell r="AL330">
            <v>7305.3890000000001</v>
          </cell>
          <cell r="AN330">
            <v>-7305.3890000000001</v>
          </cell>
          <cell r="AP330">
            <v>4927.4849999999997</v>
          </cell>
          <cell r="AR330">
            <v>0</v>
          </cell>
          <cell r="AT330">
            <v>4927.4849999999997</v>
          </cell>
          <cell r="AV330">
            <v>-4927.4849999999997</v>
          </cell>
          <cell r="AX330">
            <v>0</v>
          </cell>
          <cell r="AZ330" t="str">
            <v>DIVIDEND</v>
          </cell>
          <cell r="BC330">
            <v>0</v>
          </cell>
          <cell r="BE330">
            <v>0</v>
          </cell>
          <cell r="BG330">
            <v>0</v>
          </cell>
          <cell r="BI330">
            <v>0</v>
          </cell>
          <cell r="BO330">
            <v>0</v>
          </cell>
          <cell r="BQ330">
            <v>0</v>
          </cell>
          <cell r="BS330">
            <v>0</v>
          </cell>
          <cell r="BU330">
            <v>0</v>
          </cell>
          <cell r="CB330">
            <v>0</v>
          </cell>
          <cell r="CD330">
            <v>0</v>
          </cell>
          <cell r="CH330">
            <v>20572</v>
          </cell>
          <cell r="CJ330">
            <v>20572</v>
          </cell>
          <cell r="CL330">
            <v>30500</v>
          </cell>
          <cell r="CN330">
            <v>-30500</v>
          </cell>
          <cell r="CP330">
            <v>20572</v>
          </cell>
          <cell r="CQ330">
            <v>0</v>
          </cell>
          <cell r="CR330">
            <v>0</v>
          </cell>
          <cell r="CT330">
            <v>20572</v>
          </cell>
          <cell r="CU330">
            <v>0</v>
          </cell>
          <cell r="CV330">
            <v>-20572</v>
          </cell>
          <cell r="CX330">
            <v>0</v>
          </cell>
          <cell r="FC330">
            <v>0</v>
          </cell>
          <cell r="FE330">
            <v>0</v>
          </cell>
          <cell r="FO330">
            <v>20572</v>
          </cell>
          <cell r="FP330">
            <v>30500</v>
          </cell>
          <cell r="FQ330">
            <v>-30500</v>
          </cell>
          <cell r="FR330">
            <v>20572</v>
          </cell>
          <cell r="FS330">
            <v>0</v>
          </cell>
          <cell r="FT330">
            <v>20572</v>
          </cell>
          <cell r="FU330">
            <v>-20572</v>
          </cell>
          <cell r="FV330">
            <v>0</v>
          </cell>
          <cell r="FW330" t="str">
            <v>DIVIDEND</v>
          </cell>
          <cell r="FX330">
            <v>0</v>
          </cell>
          <cell r="FY330">
            <v>20572</v>
          </cell>
          <cell r="GA330">
            <v>20572</v>
          </cell>
          <cell r="GB330">
            <v>20847.860252555623</v>
          </cell>
          <cell r="GC330">
            <v>0</v>
          </cell>
          <cell r="GD330">
            <v>0</v>
          </cell>
          <cell r="GE330">
            <v>-20572</v>
          </cell>
          <cell r="GF330" t="e">
            <v>#DIV/0!</v>
          </cell>
          <cell r="GG330">
            <v>105316.38551992163</v>
          </cell>
          <cell r="GH330">
            <v>0</v>
          </cell>
        </row>
        <row r="331">
          <cell r="A331" t="str">
            <v>profit AT BEG.OF PERIOD</v>
          </cell>
          <cell r="C331">
            <v>-4484.8019999999997</v>
          </cell>
          <cell r="E331">
            <v>-17308.024000000001</v>
          </cell>
          <cell r="G331">
            <v>0</v>
          </cell>
          <cell r="I331">
            <v>-21792.826000000001</v>
          </cell>
          <cell r="O331">
            <v>-1047</v>
          </cell>
          <cell r="Q331">
            <v>-48335</v>
          </cell>
          <cell r="U331">
            <v>-48335</v>
          </cell>
          <cell r="W331">
            <v>-1982</v>
          </cell>
          <cell r="X331">
            <v>1982</v>
          </cell>
          <cell r="Z331">
            <v>-171</v>
          </cell>
          <cell r="AB331">
            <v>171</v>
          </cell>
          <cell r="AD331">
            <v>-48335</v>
          </cell>
          <cell r="AF331">
            <v>-8383.8230000000003</v>
          </cell>
          <cell r="AH331">
            <v>0</v>
          </cell>
          <cell r="AJ331">
            <v>-8383.8230000000003</v>
          </cell>
          <cell r="AL331">
            <v>-12707</v>
          </cell>
          <cell r="AN331">
            <v>12707</v>
          </cell>
          <cell r="AP331">
            <v>-8383.8230000000003</v>
          </cell>
          <cell r="AR331">
            <v>355.00665158371038</v>
          </cell>
          <cell r="AT331">
            <v>-79203.642348416295</v>
          </cell>
          <cell r="AV331">
            <v>57410.816348416294</v>
          </cell>
          <cell r="AX331">
            <v>-21792.826000000001</v>
          </cell>
          <cell r="AZ331" t="str">
            <v>profit AT BEG.OF PERIOD</v>
          </cell>
          <cell r="BC331">
            <v>34143.971000000005</v>
          </cell>
          <cell r="BE331">
            <v>-60928.79</v>
          </cell>
          <cell r="BI331">
            <v>-26784.818999999996</v>
          </cell>
          <cell r="BO331">
            <v>-3193</v>
          </cell>
          <cell r="BQ331">
            <v>-142662</v>
          </cell>
          <cell r="BS331">
            <v>0</v>
          </cell>
          <cell r="BU331">
            <v>-142662</v>
          </cell>
          <cell r="BW331">
            <v>-25785</v>
          </cell>
          <cell r="BX331">
            <v>25785</v>
          </cell>
          <cell r="BZ331">
            <v>-147</v>
          </cell>
          <cell r="CB331">
            <v>147</v>
          </cell>
          <cell r="CD331">
            <v>-142662</v>
          </cell>
          <cell r="CF331">
            <v>-4038.6370000000002</v>
          </cell>
          <cell r="CH331">
            <v>0</v>
          </cell>
          <cell r="CJ331">
            <v>-4038.6370000000002</v>
          </cell>
          <cell r="CL331">
            <v>-7289</v>
          </cell>
          <cell r="CN331">
            <v>7289</v>
          </cell>
          <cell r="CP331">
            <v>-4038.6370000000002</v>
          </cell>
          <cell r="CQ331">
            <v>0</v>
          </cell>
          <cell r="CR331">
            <v>2845.42</v>
          </cell>
          <cell r="CT331">
            <v>-173833.03599999996</v>
          </cell>
          <cell r="CU331">
            <v>0</v>
          </cell>
          <cell r="CV331">
            <v>147048.217</v>
          </cell>
          <cell r="CX331">
            <v>-26784.818999999959</v>
          </cell>
          <cell r="FC331">
            <v>-32416.619000000006</v>
          </cell>
          <cell r="FD331">
            <v>-66383.893745399997</v>
          </cell>
          <cell r="FE331">
            <v>-214</v>
          </cell>
          <cell r="FF331">
            <v>-99014.512745400003</v>
          </cell>
          <cell r="FH331">
            <v>-4184</v>
          </cell>
          <cell r="FI331">
            <v>-196454.8</v>
          </cell>
          <cell r="FJ331">
            <v>-6854</v>
          </cell>
          <cell r="FK331">
            <v>6854</v>
          </cell>
          <cell r="FL331">
            <v>-623</v>
          </cell>
          <cell r="FM331">
            <v>623</v>
          </cell>
          <cell r="FN331">
            <v>-196454.8</v>
          </cell>
          <cell r="FO331">
            <v>-41473.955999999998</v>
          </cell>
          <cell r="FP331">
            <v>-62401</v>
          </cell>
          <cell r="FQ331">
            <v>62401</v>
          </cell>
          <cell r="FR331">
            <v>-41473.955999999998</v>
          </cell>
          <cell r="FS331">
            <v>3004.0590000000002</v>
          </cell>
          <cell r="FT331">
            <v>-338123.2097454</v>
          </cell>
          <cell r="FU331">
            <v>239108.69699999999</v>
          </cell>
          <cell r="FV331">
            <v>-99014.512745400018</v>
          </cell>
          <cell r="FW331" t="str">
            <v>profit AT BEG.OF PERIOD</v>
          </cell>
          <cell r="FX331">
            <v>-196454.8</v>
          </cell>
          <cell r="FY331">
            <v>-41473.955999999998</v>
          </cell>
          <cell r="GA331">
            <v>-237928.75599999999</v>
          </cell>
          <cell r="GB331">
            <v>-241119.26186818996</v>
          </cell>
          <cell r="GC331">
            <v>-99014.512745400018</v>
          </cell>
          <cell r="GD331">
            <v>-100342.24794336899</v>
          </cell>
          <cell r="GE331">
            <v>138914.24325459998</v>
          </cell>
          <cell r="GF331">
            <v>4.5434452945845578</v>
          </cell>
          <cell r="GG331">
            <v>-181066.42999538328</v>
          </cell>
          <cell r="GH331">
            <v>0</v>
          </cell>
        </row>
        <row r="332">
          <cell r="A332" t="str">
            <v>Discontinued operation</v>
          </cell>
          <cell r="FZ332">
            <v>-45877.913100000005</v>
          </cell>
          <cell r="GA332">
            <v>-45877.913100000005</v>
          </cell>
          <cell r="GB332">
            <v>-46493.113017095609</v>
          </cell>
          <cell r="GC332">
            <v>-42974.900744999934</v>
          </cell>
          <cell r="GD332">
            <v>-43551.172715302695</v>
          </cell>
        </row>
        <row r="333">
          <cell r="A333" t="str">
            <v>(PROF)LOSS AT END OF PERIOD</v>
          </cell>
          <cell r="B333">
            <v>0</v>
          </cell>
          <cell r="C333">
            <v>-24318.967000000001</v>
          </cell>
          <cell r="D333">
            <v>0</v>
          </cell>
          <cell r="E333">
            <v>-18208.287</v>
          </cell>
          <cell r="F333">
            <v>0</v>
          </cell>
          <cell r="G333">
            <v>3596.6195138175572</v>
          </cell>
          <cell r="H333">
            <v>0</v>
          </cell>
          <cell r="I333">
            <v>-38930.63448618244</v>
          </cell>
          <cell r="J333">
            <v>0</v>
          </cell>
          <cell r="K333">
            <v>0</v>
          </cell>
          <cell r="L333">
            <v>0</v>
          </cell>
          <cell r="M333">
            <v>-243.03250961538447</v>
          </cell>
          <cell r="N333">
            <v>0</v>
          </cell>
          <cell r="O333">
            <v>-979.5</v>
          </cell>
          <cell r="P333">
            <v>0</v>
          </cell>
          <cell r="Q333">
            <v>-74356.178815384614</v>
          </cell>
          <cell r="R333">
            <v>0</v>
          </cell>
          <cell r="S333">
            <v>202.167</v>
          </cell>
          <cell r="T333">
            <v>0</v>
          </cell>
          <cell r="U333">
            <v>-74154.011815384612</v>
          </cell>
          <cell r="V333">
            <v>0</v>
          </cell>
          <cell r="W333">
            <v>433</v>
          </cell>
          <cell r="X333">
            <v>-432.5</v>
          </cell>
          <cell r="Y333">
            <v>0</v>
          </cell>
          <cell r="Z333">
            <v>-407.24830769230772</v>
          </cell>
          <cell r="AA333">
            <v>0</v>
          </cell>
          <cell r="AB333">
            <v>407</v>
          </cell>
          <cell r="AC333">
            <v>0</v>
          </cell>
          <cell r="AD333">
            <v>-74154.760123076936</v>
          </cell>
          <cell r="AE333">
            <v>0</v>
          </cell>
          <cell r="AF333">
            <v>-8362.9340000000011</v>
          </cell>
          <cell r="AG333">
            <v>0</v>
          </cell>
          <cell r="AH333">
            <v>-2329.5149999999999</v>
          </cell>
          <cell r="AI333">
            <v>0</v>
          </cell>
          <cell r="AJ333">
            <v>-10692.449000000001</v>
          </cell>
          <cell r="AK333">
            <v>0</v>
          </cell>
          <cell r="AL333">
            <v>-16160.913999999997</v>
          </cell>
          <cell r="AM333">
            <v>0</v>
          </cell>
          <cell r="AN333">
            <v>16160.611000000001</v>
          </cell>
          <cell r="AO333">
            <v>0</v>
          </cell>
          <cell r="AP333">
            <v>-10692.751999999997</v>
          </cell>
          <cell r="AQ333">
            <v>0</v>
          </cell>
          <cell r="AR333">
            <v>-1091.8273484162894</v>
          </cell>
          <cell r="AS333">
            <v>0</v>
          </cell>
          <cell r="AT333">
            <v>-126092.50646729108</v>
          </cell>
          <cell r="AU333">
            <v>0</v>
          </cell>
          <cell r="AV333">
            <v>87161.863858031677</v>
          </cell>
          <cell r="AW333">
            <v>0</v>
          </cell>
          <cell r="AX333">
            <v>-38930.642609259361</v>
          </cell>
          <cell r="AZ333">
            <v>0</v>
          </cell>
          <cell r="BA333">
            <v>0</v>
          </cell>
          <cell r="BB333">
            <v>0</v>
          </cell>
          <cell r="BC333">
            <v>2136.7808700000096</v>
          </cell>
          <cell r="BD333">
            <v>0</v>
          </cell>
          <cell r="BE333">
            <v>-67407.641000000003</v>
          </cell>
          <cell r="BF333">
            <v>0</v>
          </cell>
          <cell r="BG333">
            <v>15719.503536415281</v>
          </cell>
          <cell r="BH333">
            <v>0</v>
          </cell>
          <cell r="BI333">
            <v>-49551.356593584715</v>
          </cell>
          <cell r="BJ333">
            <v>0</v>
          </cell>
          <cell r="BK333">
            <v>0</v>
          </cell>
          <cell r="BL333">
            <v>0</v>
          </cell>
          <cell r="BM333">
            <v>-1033.9669999999996</v>
          </cell>
          <cell r="BN333">
            <v>0</v>
          </cell>
          <cell r="BO333">
            <v>-5536.7749999999996</v>
          </cell>
          <cell r="BP333">
            <v>0</v>
          </cell>
          <cell r="BQ333">
            <v>-186130.535</v>
          </cell>
          <cell r="BR333">
            <v>0</v>
          </cell>
          <cell r="BS333">
            <v>0</v>
          </cell>
          <cell r="BT333">
            <v>0</v>
          </cell>
          <cell r="BU333">
            <v>-186130.535</v>
          </cell>
          <cell r="BV333">
            <v>0</v>
          </cell>
          <cell r="BW333">
            <v>-16458.5</v>
          </cell>
          <cell r="BX333">
            <v>16458.5</v>
          </cell>
          <cell r="BY333">
            <v>0</v>
          </cell>
          <cell r="BZ333">
            <v>-762.11900000000117</v>
          </cell>
          <cell r="CA333">
            <v>0</v>
          </cell>
          <cell r="CB333">
            <v>768</v>
          </cell>
          <cell r="CC333">
            <v>0</v>
          </cell>
          <cell r="CD333">
            <v>-186124.65400000001</v>
          </cell>
          <cell r="CE333">
            <v>0</v>
          </cell>
          <cell r="CF333">
            <v>-3803.982</v>
          </cell>
          <cell r="CG333">
            <v>0</v>
          </cell>
          <cell r="CH333">
            <v>-1948.2059999999983</v>
          </cell>
          <cell r="CI333">
            <v>0</v>
          </cell>
          <cell r="CJ333">
            <v>-5752.1879999999983</v>
          </cell>
          <cell r="CK333">
            <v>0</v>
          </cell>
          <cell r="CL333">
            <v>-10176</v>
          </cell>
          <cell r="CM333">
            <v>0</v>
          </cell>
          <cell r="CN333">
            <v>10176.205999999998</v>
          </cell>
          <cell r="CO333">
            <v>0</v>
          </cell>
          <cell r="CP333">
            <v>-5751.9819999999963</v>
          </cell>
          <cell r="CQ333">
            <v>0</v>
          </cell>
          <cell r="CR333">
            <v>9328.08</v>
          </cell>
          <cell r="CS333">
            <v>0</v>
          </cell>
          <cell r="CT333">
            <v>-238670.83659358468</v>
          </cell>
          <cell r="CU333">
            <v>0.18200000000069849</v>
          </cell>
          <cell r="CV333">
            <v>189123.75900000002</v>
          </cell>
          <cell r="CW333">
            <v>0</v>
          </cell>
          <cell r="CX333">
            <v>-49547.077593584647</v>
          </cell>
          <cell r="FC333">
            <v>-94752.620999999999</v>
          </cell>
          <cell r="FD333">
            <v>-67407.860472</v>
          </cell>
          <cell r="FE333">
            <v>22435.880226255285</v>
          </cell>
          <cell r="FF333">
            <v>-139724.60124574471</v>
          </cell>
          <cell r="FG333">
            <v>-1009.8980000000006</v>
          </cell>
          <cell r="FH333">
            <v>-4787</v>
          </cell>
          <cell r="FI333">
            <v>-261042.58099999992</v>
          </cell>
          <cell r="FJ333">
            <v>170</v>
          </cell>
          <cell r="FK333">
            <v>-170</v>
          </cell>
          <cell r="FL333">
            <v>-1403.8139999999994</v>
          </cell>
          <cell r="FM333">
            <v>1404</v>
          </cell>
          <cell r="FN333">
            <v>-261042.39500000002</v>
          </cell>
          <cell r="FO333">
            <v>-45166.071219000005</v>
          </cell>
          <cell r="FP333">
            <v>-68192.262000000002</v>
          </cell>
          <cell r="FQ333">
            <v>68191.595218999995</v>
          </cell>
          <cell r="FR333">
            <v>-45166.738000000012</v>
          </cell>
          <cell r="FS333">
            <v>3145.0630000000001</v>
          </cell>
          <cell r="FT333">
            <v>-448585.56924574461</v>
          </cell>
          <cell r="FU333">
            <v>308861.65149999998</v>
          </cell>
          <cell r="FV333">
            <v>-139723.91774574461</v>
          </cell>
          <cell r="FW333">
            <v>0</v>
          </cell>
          <cell r="FX333">
            <v>-261042.39500000002</v>
          </cell>
          <cell r="FY333">
            <v>-45166.738000000012</v>
          </cell>
          <cell r="FZ333">
            <v>-0.43684500000381377</v>
          </cell>
          <cell r="GA333">
            <v>-306209.56984499993</v>
          </cell>
          <cell r="GB333">
            <v>-310315.6873480326</v>
          </cell>
          <cell r="GC333">
            <v>-139723.91774574463</v>
          </cell>
          <cell r="GD333">
            <v>-141597.54574678498</v>
          </cell>
          <cell r="GE333">
            <v>120607.73899925532</v>
          </cell>
          <cell r="GF333" t="e">
            <v>#DIV/0!</v>
          </cell>
          <cell r="GG333">
            <v>-99017.617549098795</v>
          </cell>
          <cell r="GH333">
            <v>0</v>
          </cell>
        </row>
        <row r="334">
          <cell r="BG334">
            <v>507.01699999999983</v>
          </cell>
          <cell r="BI334">
            <v>1027.0169999999998</v>
          </cell>
          <cell r="BU334">
            <v>-915.53500000001077</v>
          </cell>
          <cell r="CQ334">
            <v>0</v>
          </cell>
          <cell r="CR334">
            <v>4537.8620000000001</v>
          </cell>
          <cell r="CT334">
            <v>0.18199999997159466</v>
          </cell>
        </row>
        <row r="335">
          <cell r="E335" t="str">
            <v xml:space="preserve">     טל"כ=&gt;</v>
          </cell>
          <cell r="I335">
            <v>0</v>
          </cell>
          <cell r="U335">
            <v>0</v>
          </cell>
          <cell r="AD335">
            <v>1.0000000000145519</v>
          </cell>
          <cell r="AJ335">
            <v>0</v>
          </cell>
          <cell r="AP335">
            <v>0</v>
          </cell>
          <cell r="AT335">
            <v>3.2514435588382185E-11</v>
          </cell>
          <cell r="AX335">
            <v>-8.1230769210378639E-3</v>
          </cell>
          <cell r="BE335" t="str">
            <v xml:space="preserve">     טל"כ=&gt;</v>
          </cell>
          <cell r="BG335">
            <v>-16287.686593584715</v>
          </cell>
          <cell r="BK335">
            <v>1033.9590000000001</v>
          </cell>
          <cell r="BU335">
            <v>-146169</v>
          </cell>
          <cell r="BZ335">
            <v>-212.1</v>
          </cell>
          <cell r="CQ335">
            <v>0</v>
          </cell>
          <cell r="CR335" t="str">
            <v xml:space="preserve"> </v>
          </cell>
          <cell r="CX335">
            <v>4.2790000000677537</v>
          </cell>
        </row>
        <row r="336">
          <cell r="B336" t="str">
            <v>{r 4}+{l 4}-{l 2}~{D}{l 4}</v>
          </cell>
          <cell r="M336" t="str">
            <v>\h</v>
          </cell>
          <cell r="U336" t="str">
            <v>/RV{ESC}{R 3}~~{R}/RV{ESC}{R 3}~~{R 2}+{l 3}+{L 6}~{R}+{L 3}+{L 6}~{D}{L 4}</v>
          </cell>
          <cell r="BQ336" t="str">
            <v xml:space="preserve"> </v>
          </cell>
          <cell r="BU336">
            <v>-139155</v>
          </cell>
          <cell r="BZ336">
            <v>4413.1000000000004</v>
          </cell>
          <cell r="CQ336">
            <v>0</v>
          </cell>
          <cell r="CR336" t="str">
            <v xml:space="preserve"> </v>
          </cell>
        </row>
        <row r="423">
          <cell r="A423" t="str">
            <v>RIVON-ALIS MEUCHAD</v>
          </cell>
          <cell r="AL423" t="str">
            <v>RIVON-ALIS</v>
          </cell>
        </row>
        <row r="424">
          <cell r="C424" t="str">
            <v>1-9/98</v>
          </cell>
          <cell r="E424" t="str">
            <v>1-9/98</v>
          </cell>
          <cell r="G424" t="str">
            <v>1-9/98</v>
          </cell>
          <cell r="I424" t="str">
            <v>10-12/97</v>
          </cell>
          <cell r="M424" t="str">
            <v>10-12/97</v>
          </cell>
          <cell r="Q424" t="str">
            <v>10-12/97</v>
          </cell>
          <cell r="S424" t="str">
            <v>10/97-9/98</v>
          </cell>
          <cell r="U424" t="str">
            <v>10/97-9/98</v>
          </cell>
          <cell r="Z424" t="str">
            <v>10/97-9/98</v>
          </cell>
          <cell r="AB424" t="str">
            <v>10/97-9/98</v>
          </cell>
          <cell r="AD424" t="str">
            <v>1-9/98</v>
          </cell>
          <cell r="AF424" t="str">
            <v>10/97-9/98</v>
          </cell>
          <cell r="AH424" t="str">
            <v>10/97-9/98</v>
          </cell>
          <cell r="AJ424" t="str">
            <v>10/97-9/98</v>
          </cell>
          <cell r="AL424" t="str">
            <v>10/97-9/98</v>
          </cell>
          <cell r="AR424" t="str">
            <v>TOTAL      A.L.I.S.</v>
          </cell>
          <cell r="AV424" t="str">
            <v>CONSOLIDATED</v>
          </cell>
        </row>
        <row r="425">
          <cell r="A425">
            <v>36661.599853703701</v>
          </cell>
          <cell r="C425" t="str">
            <v>A.C.T.V.</v>
          </cell>
          <cell r="E425" t="str">
            <v>A.L.I.S</v>
          </cell>
          <cell r="G425" t="str">
            <v>TOTAL</v>
          </cell>
          <cell r="I425" t="str">
            <v>A.C.T.V.</v>
          </cell>
          <cell r="M425" t="str">
            <v>A.L.I.S</v>
          </cell>
          <cell r="Q425" t="str">
            <v>TOTAL</v>
          </cell>
          <cell r="S425" t="str">
            <v>A.C.T.V.</v>
          </cell>
          <cell r="U425" t="str">
            <v>A.L.I.S</v>
          </cell>
          <cell r="Z425" t="str">
            <v>TOTAL</v>
          </cell>
          <cell r="AB425" t="str">
            <v>Pnai Plus</v>
          </cell>
          <cell r="AD425" t="str">
            <v>נטקום</v>
          </cell>
          <cell r="AF425" t="str">
            <v>G.C.&amp; CO.</v>
          </cell>
          <cell r="AH425" t="str">
            <v>S.S.C.</v>
          </cell>
          <cell r="AJ425" t="str">
            <v>MERCAZ</v>
          </cell>
          <cell r="AL425" t="str">
            <v>TOTAL</v>
          </cell>
          <cell r="AN425">
            <v>36661.599853703701</v>
          </cell>
          <cell r="AR425" t="str">
            <v>1-9/98</v>
          </cell>
          <cell r="AT425" t="str">
            <v>10-12/97</v>
          </cell>
          <cell r="AV425" t="str">
            <v>10/97-9/98</v>
          </cell>
          <cell r="AX425" t="str">
            <v>Check</v>
          </cell>
        </row>
        <row r="426">
          <cell r="A426">
            <v>36661.599853703701</v>
          </cell>
          <cell r="AN426">
            <v>36661.599853703701</v>
          </cell>
        </row>
        <row r="427">
          <cell r="A427" t="str">
            <v>INCOME</v>
          </cell>
          <cell r="C427" t="str">
            <v>000$</v>
          </cell>
          <cell r="E427" t="str">
            <v>000$</v>
          </cell>
          <cell r="G427" t="str">
            <v>000$</v>
          </cell>
          <cell r="I427" t="str">
            <v>000$</v>
          </cell>
          <cell r="M427" t="str">
            <v>000$</v>
          </cell>
          <cell r="Q427" t="str">
            <v>000$</v>
          </cell>
          <cell r="S427" t="str">
            <v>000$</v>
          </cell>
          <cell r="U427" t="str">
            <v>000$</v>
          </cell>
          <cell r="Z427" t="str">
            <v>000$</v>
          </cell>
          <cell r="AB427" t="str">
            <v>000$</v>
          </cell>
          <cell r="AD427" t="str">
            <v>000$</v>
          </cell>
          <cell r="AF427" t="str">
            <v>000$</v>
          </cell>
          <cell r="AH427" t="str">
            <v>000$</v>
          </cell>
          <cell r="AJ427" t="str">
            <v>000$</v>
          </cell>
          <cell r="AL427" t="str">
            <v>000$</v>
          </cell>
          <cell r="AN427" t="str">
            <v>INCOME</v>
          </cell>
          <cell r="AR427" t="str">
            <v>000$</v>
          </cell>
          <cell r="AT427" t="str">
            <v>000$</v>
          </cell>
          <cell r="AV427" t="str">
            <v>000$</v>
          </cell>
        </row>
        <row r="428">
          <cell r="A428" t="str">
            <v>subscribership fees</v>
          </cell>
          <cell r="C428">
            <v>0</v>
          </cell>
          <cell r="E428">
            <v>0</v>
          </cell>
          <cell r="G428">
            <v>0</v>
          </cell>
          <cell r="I428">
            <v>0</v>
          </cell>
          <cell r="M428">
            <v>0</v>
          </cell>
          <cell r="Q428">
            <v>0</v>
          </cell>
          <cell r="S428">
            <v>0</v>
          </cell>
          <cell r="U428">
            <v>0</v>
          </cell>
          <cell r="Z428">
            <v>0</v>
          </cell>
          <cell r="AB428">
            <v>0</v>
          </cell>
          <cell r="AD428">
            <v>0</v>
          </cell>
          <cell r="AF428">
            <v>0</v>
          </cell>
          <cell r="AH428">
            <v>0</v>
          </cell>
          <cell r="AJ428">
            <v>0</v>
          </cell>
          <cell r="AL428">
            <v>0</v>
          </cell>
          <cell r="AN428" t="str">
            <v>subscribership fees</v>
          </cell>
          <cell r="AR428">
            <v>-134757.45000000001</v>
          </cell>
          <cell r="AT428">
            <v>-27217</v>
          </cell>
          <cell r="AV428">
            <v>-161974.45000000001</v>
          </cell>
        </row>
        <row r="429">
          <cell r="A429" t="str">
            <v>installation</v>
          </cell>
          <cell r="C429">
            <v>0</v>
          </cell>
          <cell r="E429">
            <v>0</v>
          </cell>
          <cell r="G429">
            <v>0</v>
          </cell>
          <cell r="I429">
            <v>0</v>
          </cell>
          <cell r="M429">
            <v>0</v>
          </cell>
          <cell r="Q429">
            <v>0</v>
          </cell>
          <cell r="S429">
            <v>0</v>
          </cell>
          <cell r="U429">
            <v>0</v>
          </cell>
          <cell r="Z429">
            <v>0</v>
          </cell>
          <cell r="AB429">
            <v>0</v>
          </cell>
          <cell r="AD429">
            <v>0</v>
          </cell>
          <cell r="AF429">
            <v>0</v>
          </cell>
          <cell r="AH429">
            <v>0</v>
          </cell>
          <cell r="AJ429">
            <v>0</v>
          </cell>
          <cell r="AL429">
            <v>0</v>
          </cell>
          <cell r="AN429" t="str">
            <v>installation</v>
          </cell>
          <cell r="AR429">
            <v>-4511.7450000000008</v>
          </cell>
          <cell r="AT429">
            <v>-2388</v>
          </cell>
          <cell r="AV429">
            <v>-6899.7450000000008</v>
          </cell>
        </row>
        <row r="430">
          <cell r="A430" t="str">
            <v>deposits</v>
          </cell>
          <cell r="C430">
            <v>0</v>
          </cell>
          <cell r="E430">
            <v>0</v>
          </cell>
          <cell r="G430">
            <v>0</v>
          </cell>
          <cell r="I430">
            <v>0</v>
          </cell>
          <cell r="M430">
            <v>0</v>
          </cell>
          <cell r="Q430">
            <v>0</v>
          </cell>
          <cell r="S430">
            <v>0</v>
          </cell>
          <cell r="U430">
            <v>0</v>
          </cell>
          <cell r="Z430">
            <v>0</v>
          </cell>
          <cell r="AB430">
            <v>0</v>
          </cell>
          <cell r="AD430">
            <v>0</v>
          </cell>
          <cell r="AF430">
            <v>0</v>
          </cell>
          <cell r="AH430">
            <v>0</v>
          </cell>
          <cell r="AJ430">
            <v>0</v>
          </cell>
          <cell r="AL430">
            <v>0</v>
          </cell>
          <cell r="AN430" t="str">
            <v>deposits</v>
          </cell>
          <cell r="AR430">
            <v>0</v>
          </cell>
          <cell r="AT430">
            <v>-1771</v>
          </cell>
          <cell r="AV430">
            <v>-1771</v>
          </cell>
        </row>
        <row r="431">
          <cell r="A431" t="str">
            <v>management fees-from GC&amp;co</v>
          </cell>
          <cell r="C431">
            <v>-3399.067</v>
          </cell>
          <cell r="E431">
            <v>0</v>
          </cell>
          <cell r="G431">
            <v>-3399.067</v>
          </cell>
          <cell r="I431">
            <v>-639</v>
          </cell>
          <cell r="M431">
            <v>0</v>
          </cell>
          <cell r="Q431">
            <v>-639</v>
          </cell>
          <cell r="S431">
            <v>-4038.067</v>
          </cell>
          <cell r="U431">
            <v>0</v>
          </cell>
          <cell r="Z431">
            <v>-4038.067</v>
          </cell>
          <cell r="AB431">
            <v>0</v>
          </cell>
          <cell r="AD431">
            <v>0</v>
          </cell>
          <cell r="AF431">
            <v>0</v>
          </cell>
          <cell r="AH431">
            <v>0</v>
          </cell>
          <cell r="AJ431">
            <v>0</v>
          </cell>
          <cell r="AL431">
            <v>-4038.067</v>
          </cell>
          <cell r="AN431" t="str">
            <v>management fees</v>
          </cell>
          <cell r="AR431">
            <v>0</v>
          </cell>
          <cell r="AT431">
            <v>0</v>
          </cell>
          <cell r="AV431">
            <v>0</v>
          </cell>
        </row>
        <row r="432">
          <cell r="A432" t="str">
            <v>management fees-from others</v>
          </cell>
          <cell r="C432">
            <v>-909.452</v>
          </cell>
          <cell r="E432">
            <v>-104.727</v>
          </cell>
          <cell r="G432">
            <v>-1014.179</v>
          </cell>
          <cell r="I432">
            <v>-240</v>
          </cell>
          <cell r="M432">
            <v>0</v>
          </cell>
          <cell r="Q432">
            <v>-240</v>
          </cell>
          <cell r="S432">
            <v>-1149.452</v>
          </cell>
          <cell r="U432">
            <v>-104.727</v>
          </cell>
          <cell r="Z432">
            <v>-1254.1790000000001</v>
          </cell>
          <cell r="AB432">
            <v>0</v>
          </cell>
          <cell r="AD432">
            <v>0</v>
          </cell>
          <cell r="AF432">
            <v>0</v>
          </cell>
          <cell r="AH432">
            <v>0</v>
          </cell>
          <cell r="AJ432">
            <v>0</v>
          </cell>
          <cell r="AL432">
            <v>-1254.1790000000001</v>
          </cell>
          <cell r="AN432" t="str">
            <v>management fees</v>
          </cell>
          <cell r="AR432">
            <v>0</v>
          </cell>
          <cell r="AT432">
            <v>0</v>
          </cell>
          <cell r="AV432">
            <v>0</v>
          </cell>
        </row>
        <row r="433">
          <cell r="A433" t="str">
            <v>other</v>
          </cell>
          <cell r="C433">
            <v>0</v>
          </cell>
          <cell r="E433">
            <v>0</v>
          </cell>
          <cell r="G433">
            <v>0</v>
          </cell>
          <cell r="I433">
            <v>0</v>
          </cell>
          <cell r="M433">
            <v>0</v>
          </cell>
          <cell r="Q433">
            <v>0</v>
          </cell>
          <cell r="S433">
            <v>0</v>
          </cell>
          <cell r="U433">
            <v>0</v>
          </cell>
          <cell r="Z433">
            <v>0</v>
          </cell>
          <cell r="AB433">
            <v>0</v>
          </cell>
          <cell r="AD433">
            <v>-12206</v>
          </cell>
          <cell r="AF433">
            <v>0</v>
          </cell>
          <cell r="AH433">
            <v>0</v>
          </cell>
          <cell r="AJ433">
            <v>0</v>
          </cell>
          <cell r="AL433">
            <v>-12206</v>
          </cell>
          <cell r="AN433" t="str">
            <v>other</v>
          </cell>
          <cell r="AR433">
            <v>-12206</v>
          </cell>
          <cell r="AT433">
            <v>-5539</v>
          </cell>
          <cell r="AV433">
            <v>-17745</v>
          </cell>
        </row>
        <row r="434">
          <cell r="A434" t="str">
            <v>other</v>
          </cell>
          <cell r="AD434">
            <v>0</v>
          </cell>
          <cell r="AL434">
            <v>0</v>
          </cell>
          <cell r="AN434" t="str">
            <v>other</v>
          </cell>
          <cell r="AR434">
            <v>-809.81699999999989</v>
          </cell>
          <cell r="AT434">
            <v>-303</v>
          </cell>
          <cell r="AV434">
            <v>-1112.817</v>
          </cell>
        </row>
        <row r="435">
          <cell r="A435" t="str">
            <v>services</v>
          </cell>
          <cell r="C435">
            <v>0</v>
          </cell>
          <cell r="E435">
            <v>0</v>
          </cell>
          <cell r="G435">
            <v>0</v>
          </cell>
          <cell r="I435">
            <v>0</v>
          </cell>
          <cell r="M435">
            <v>-600</v>
          </cell>
          <cell r="Q435">
            <v>-600</v>
          </cell>
          <cell r="S435">
            <v>0</v>
          </cell>
          <cell r="U435">
            <v>-600</v>
          </cell>
          <cell r="Z435">
            <v>-600</v>
          </cell>
          <cell r="AB435">
            <v>0</v>
          </cell>
          <cell r="AD435">
            <v>0</v>
          </cell>
          <cell r="AF435">
            <v>0</v>
          </cell>
          <cell r="AJ435">
            <v>0</v>
          </cell>
          <cell r="AL435">
            <v>-600</v>
          </cell>
          <cell r="AN435" t="str">
            <v>services</v>
          </cell>
          <cell r="AR435">
            <v>-335.60650000000004</v>
          </cell>
          <cell r="AT435">
            <v>-563</v>
          </cell>
          <cell r="AV435">
            <v>-898.6065000000001</v>
          </cell>
        </row>
        <row r="436">
          <cell r="C436">
            <v>-4308.5190000000002</v>
          </cell>
          <cell r="E436">
            <v>-104.727</v>
          </cell>
          <cell r="G436">
            <v>-4413.2460000000001</v>
          </cell>
          <cell r="I436">
            <v>-879</v>
          </cell>
          <cell r="M436">
            <v>-600</v>
          </cell>
          <cell r="Q436">
            <v>-1479</v>
          </cell>
          <cell r="S436">
            <v>-5187.5190000000002</v>
          </cell>
          <cell r="U436">
            <v>-704.72699999999998</v>
          </cell>
          <cell r="Z436">
            <v>-5892.2460000000001</v>
          </cell>
          <cell r="AB436">
            <v>0</v>
          </cell>
          <cell r="AD436">
            <v>-12206</v>
          </cell>
          <cell r="AF436">
            <v>0</v>
          </cell>
          <cell r="AH436">
            <v>0</v>
          </cell>
          <cell r="AJ436">
            <v>0</v>
          </cell>
          <cell r="AL436">
            <v>-18098.245999999999</v>
          </cell>
          <cell r="AR436">
            <v>-155540.94890865387</v>
          </cell>
          <cell r="AT436">
            <v>-37781</v>
          </cell>
          <cell r="AV436">
            <v>-190401.61850000001</v>
          </cell>
          <cell r="AX436">
            <v>-2920.3304086538556</v>
          </cell>
        </row>
        <row r="438">
          <cell r="A438" t="str">
            <v>OPERATING EXP.</v>
          </cell>
          <cell r="AN438" t="str">
            <v>OPERATING EXP.</v>
          </cell>
        </row>
        <row r="439">
          <cell r="A439" t="str">
            <v>salaries</v>
          </cell>
          <cell r="C439">
            <v>0</v>
          </cell>
          <cell r="E439">
            <v>0</v>
          </cell>
          <cell r="G439">
            <v>0</v>
          </cell>
          <cell r="I439">
            <v>0</v>
          </cell>
          <cell r="M439">
            <v>0</v>
          </cell>
          <cell r="Q439">
            <v>0</v>
          </cell>
          <cell r="S439">
            <v>0</v>
          </cell>
          <cell r="U439">
            <v>0</v>
          </cell>
          <cell r="Z439">
            <v>0</v>
          </cell>
          <cell r="AB439">
            <v>0</v>
          </cell>
          <cell r="AD439">
            <v>8538</v>
          </cell>
          <cell r="AF439">
            <v>0</v>
          </cell>
          <cell r="AH439">
            <v>0</v>
          </cell>
          <cell r="AJ439">
            <v>0</v>
          </cell>
          <cell r="AL439">
            <v>8538</v>
          </cell>
          <cell r="AN439" t="str">
            <v>salaries</v>
          </cell>
          <cell r="AR439">
            <v>8593.4211682692294</v>
          </cell>
          <cell r="AT439">
            <v>2098</v>
          </cell>
          <cell r="AV439">
            <v>10691.421168269229</v>
          </cell>
        </row>
        <row r="440">
          <cell r="A440" t="str">
            <v>purchases</v>
          </cell>
          <cell r="AD440">
            <v>0</v>
          </cell>
          <cell r="AL440">
            <v>0</v>
          </cell>
          <cell r="AN440" t="str">
            <v>purchases</v>
          </cell>
          <cell r="AR440">
            <v>8538</v>
          </cell>
          <cell r="AT440">
            <v>4629</v>
          </cell>
          <cell r="AV440">
            <v>13167</v>
          </cell>
        </row>
        <row r="441">
          <cell r="A441" t="str">
            <v>capitalization sal.</v>
          </cell>
          <cell r="C441">
            <v>-9.7430000000000003</v>
          </cell>
          <cell r="E441">
            <v>0</v>
          </cell>
          <cell r="G441">
            <v>-9.7430000000000003</v>
          </cell>
          <cell r="I441">
            <v>-39</v>
          </cell>
          <cell r="M441">
            <v>0</v>
          </cell>
          <cell r="Q441">
            <v>-39</v>
          </cell>
          <cell r="S441">
            <v>-48.743000000000002</v>
          </cell>
          <cell r="U441">
            <v>0</v>
          </cell>
          <cell r="Z441">
            <v>-48.743000000000002</v>
          </cell>
          <cell r="AB441">
            <v>0</v>
          </cell>
          <cell r="AD441">
            <v>0</v>
          </cell>
          <cell r="AF441">
            <v>0</v>
          </cell>
          <cell r="AH441">
            <v>0</v>
          </cell>
          <cell r="AJ441">
            <v>0</v>
          </cell>
          <cell r="AL441">
            <v>-48.743000000000002</v>
          </cell>
          <cell r="AN441" t="str">
            <v>capitalization sal.</v>
          </cell>
          <cell r="AR441">
            <v>-9.7430000000000003</v>
          </cell>
          <cell r="AT441">
            <v>-39</v>
          </cell>
          <cell r="AV441">
            <v>-48.743000000000002</v>
          </cell>
        </row>
        <row r="442">
          <cell r="A442" t="str">
            <v>consulting</v>
          </cell>
          <cell r="C442">
            <v>0</v>
          </cell>
          <cell r="E442">
            <v>0</v>
          </cell>
          <cell r="G442">
            <v>0</v>
          </cell>
          <cell r="I442">
            <v>0</v>
          </cell>
          <cell r="M442">
            <v>0</v>
          </cell>
          <cell r="Q442">
            <v>0</v>
          </cell>
          <cell r="S442">
            <v>0</v>
          </cell>
          <cell r="U442">
            <v>0</v>
          </cell>
          <cell r="Z442">
            <v>0</v>
          </cell>
          <cell r="AB442">
            <v>0</v>
          </cell>
          <cell r="AD442">
            <v>0</v>
          </cell>
          <cell r="AF442">
            <v>0</v>
          </cell>
          <cell r="AH442">
            <v>0</v>
          </cell>
          <cell r="AJ442">
            <v>0</v>
          </cell>
          <cell r="AL442">
            <v>0</v>
          </cell>
          <cell r="AN442" t="str">
            <v>consulting</v>
          </cell>
          <cell r="AR442">
            <v>22.762</v>
          </cell>
          <cell r="AT442">
            <v>11</v>
          </cell>
          <cell r="AV442">
            <v>33.762</v>
          </cell>
        </row>
        <row r="443">
          <cell r="A443" t="str">
            <v>FRANCHISE EXP&amp;ROYALTIES</v>
          </cell>
          <cell r="C443">
            <v>0</v>
          </cell>
          <cell r="E443">
            <v>0</v>
          </cell>
          <cell r="G443">
            <v>0</v>
          </cell>
          <cell r="I443">
            <v>0</v>
          </cell>
          <cell r="M443">
            <v>0</v>
          </cell>
          <cell r="Q443">
            <v>0</v>
          </cell>
          <cell r="S443">
            <v>0</v>
          </cell>
          <cell r="U443">
            <v>0</v>
          </cell>
          <cell r="Z443">
            <v>0</v>
          </cell>
          <cell r="AB443">
            <v>0</v>
          </cell>
          <cell r="AD443">
            <v>0</v>
          </cell>
          <cell r="AF443">
            <v>0</v>
          </cell>
          <cell r="AH443">
            <v>0</v>
          </cell>
          <cell r="AJ443">
            <v>0</v>
          </cell>
          <cell r="AL443">
            <v>0</v>
          </cell>
          <cell r="AN443" t="str">
            <v>bidding</v>
          </cell>
          <cell r="AR443">
            <v>9742.8120000000017</v>
          </cell>
          <cell r="AT443">
            <v>2099</v>
          </cell>
          <cell r="AV443">
            <v>11841.812000000002</v>
          </cell>
        </row>
        <row r="444">
          <cell r="A444" t="str">
            <v>car &amp; travel</v>
          </cell>
          <cell r="C444">
            <v>0</v>
          </cell>
          <cell r="E444">
            <v>0</v>
          </cell>
          <cell r="G444">
            <v>0</v>
          </cell>
          <cell r="I444">
            <v>0</v>
          </cell>
          <cell r="M444">
            <v>0</v>
          </cell>
          <cell r="Q444">
            <v>0</v>
          </cell>
          <cell r="S444">
            <v>0</v>
          </cell>
          <cell r="U444">
            <v>0</v>
          </cell>
          <cell r="Z444">
            <v>0</v>
          </cell>
          <cell r="AB444">
            <v>0</v>
          </cell>
          <cell r="AD444">
            <v>0</v>
          </cell>
          <cell r="AF444">
            <v>0</v>
          </cell>
          <cell r="AH444">
            <v>0</v>
          </cell>
          <cell r="AJ444">
            <v>0</v>
          </cell>
          <cell r="AL444">
            <v>0</v>
          </cell>
          <cell r="AN444" t="str">
            <v>planning</v>
          </cell>
          <cell r="AR444">
            <v>1272.9879999999998</v>
          </cell>
          <cell r="AT444">
            <v>344</v>
          </cell>
          <cell r="AV444">
            <v>1616.9879999999998</v>
          </cell>
        </row>
        <row r="445">
          <cell r="A445" t="str">
            <v>programming</v>
          </cell>
          <cell r="C445">
            <v>0</v>
          </cell>
          <cell r="E445">
            <v>0</v>
          </cell>
          <cell r="G445">
            <v>0</v>
          </cell>
          <cell r="I445">
            <v>0</v>
          </cell>
          <cell r="M445">
            <v>0</v>
          </cell>
          <cell r="Q445">
            <v>0</v>
          </cell>
          <cell r="S445">
            <v>0</v>
          </cell>
          <cell r="U445">
            <v>0</v>
          </cell>
          <cell r="Z445">
            <v>0</v>
          </cell>
          <cell r="AB445">
            <v>0</v>
          </cell>
          <cell r="AD445" t="e">
            <v>#REF!</v>
          </cell>
          <cell r="AF445">
            <v>0</v>
          </cell>
          <cell r="AH445">
            <v>0</v>
          </cell>
          <cell r="AJ445">
            <v>0</v>
          </cell>
          <cell r="AL445" t="e">
            <v>#REF!</v>
          </cell>
          <cell r="AN445" t="str">
            <v>programming</v>
          </cell>
          <cell r="AR445">
            <v>20627.863000000001</v>
          </cell>
          <cell r="AT445">
            <v>3736</v>
          </cell>
          <cell r="AV445">
            <v>24363.863000000001</v>
          </cell>
        </row>
        <row r="446">
          <cell r="AD446">
            <v>0</v>
          </cell>
          <cell r="AL446">
            <v>0</v>
          </cell>
          <cell r="AN446" t="str">
            <v>cost of publication</v>
          </cell>
          <cell r="AT446">
            <v>1907</v>
          </cell>
          <cell r="AV446">
            <v>1907</v>
          </cell>
        </row>
        <row r="447">
          <cell r="A447" t="str">
            <v>rent&amp;maint.-(head-end)</v>
          </cell>
          <cell r="C447">
            <v>0</v>
          </cell>
          <cell r="E447">
            <v>0</v>
          </cell>
          <cell r="G447">
            <v>0</v>
          </cell>
          <cell r="I447">
            <v>0</v>
          </cell>
          <cell r="M447">
            <v>0</v>
          </cell>
          <cell r="Q447">
            <v>0</v>
          </cell>
          <cell r="S447">
            <v>0</v>
          </cell>
          <cell r="U447">
            <v>0</v>
          </cell>
          <cell r="Z447">
            <v>0</v>
          </cell>
          <cell r="AB447">
            <v>0</v>
          </cell>
          <cell r="AD447">
            <v>0</v>
          </cell>
          <cell r="AF447">
            <v>0</v>
          </cell>
          <cell r="AH447">
            <v>0</v>
          </cell>
          <cell r="AJ447">
            <v>0</v>
          </cell>
          <cell r="AL447">
            <v>0</v>
          </cell>
          <cell r="AN447" t="str">
            <v>maintanence (head-end&amp;distr.)</v>
          </cell>
          <cell r="AR447">
            <v>5928.5914999999995</v>
          </cell>
          <cell r="AT447">
            <v>-21</v>
          </cell>
          <cell r="AV447">
            <v>5907.5914999999995</v>
          </cell>
        </row>
        <row r="448">
          <cell r="A448" t="str">
            <v>rent&amp;maint.-(network)</v>
          </cell>
          <cell r="C448">
            <v>0</v>
          </cell>
          <cell r="E448">
            <v>0</v>
          </cell>
          <cell r="G448">
            <v>0</v>
          </cell>
          <cell r="I448">
            <v>0</v>
          </cell>
          <cell r="M448">
            <v>0</v>
          </cell>
          <cell r="Q448">
            <v>0</v>
          </cell>
          <cell r="S448">
            <v>0</v>
          </cell>
          <cell r="U448">
            <v>0</v>
          </cell>
          <cell r="Z448">
            <v>0</v>
          </cell>
          <cell r="AB448">
            <v>0</v>
          </cell>
          <cell r="AD448">
            <v>0</v>
          </cell>
          <cell r="AF448">
            <v>0</v>
          </cell>
          <cell r="AH448">
            <v>0</v>
          </cell>
          <cell r="AJ448">
            <v>0</v>
          </cell>
          <cell r="AL448">
            <v>0</v>
          </cell>
          <cell r="AR448">
            <v>4708.0169999999998</v>
          </cell>
          <cell r="AT448">
            <v>1643</v>
          </cell>
          <cell r="AV448">
            <v>6351.0169999999998</v>
          </cell>
        </row>
        <row r="449">
          <cell r="A449" t="str">
            <v>amortization</v>
          </cell>
          <cell r="C449">
            <v>0</v>
          </cell>
          <cell r="E449">
            <v>0</v>
          </cell>
          <cell r="G449">
            <v>0</v>
          </cell>
          <cell r="I449">
            <v>2</v>
          </cell>
          <cell r="M449">
            <v>0</v>
          </cell>
          <cell r="Q449">
            <v>2</v>
          </cell>
          <cell r="S449">
            <v>2</v>
          </cell>
          <cell r="U449">
            <v>0</v>
          </cell>
          <cell r="Z449">
            <v>2</v>
          </cell>
          <cell r="AB449">
            <v>0</v>
          </cell>
          <cell r="AD449">
            <v>0</v>
          </cell>
          <cell r="AF449">
            <v>0</v>
          </cell>
          <cell r="AH449">
            <v>0</v>
          </cell>
          <cell r="AJ449">
            <v>0</v>
          </cell>
          <cell r="AL449">
            <v>2</v>
          </cell>
          <cell r="AN449" t="str">
            <v>amortization</v>
          </cell>
          <cell r="AR449">
            <v>64.872000000000014</v>
          </cell>
          <cell r="AT449">
            <v>118</v>
          </cell>
          <cell r="AV449">
            <v>182.87200000000001</v>
          </cell>
        </row>
        <row r="450">
          <cell r="A450" t="str">
            <v>depreciation</v>
          </cell>
          <cell r="C450">
            <v>0</v>
          </cell>
          <cell r="E450">
            <v>0</v>
          </cell>
          <cell r="G450">
            <v>0</v>
          </cell>
          <cell r="I450">
            <v>0</v>
          </cell>
          <cell r="M450">
            <v>0</v>
          </cell>
          <cell r="Q450">
            <v>0</v>
          </cell>
          <cell r="S450">
            <v>0</v>
          </cell>
          <cell r="U450">
            <v>0</v>
          </cell>
          <cell r="Z450">
            <v>0</v>
          </cell>
          <cell r="AB450">
            <v>0</v>
          </cell>
          <cell r="AD450">
            <v>0</v>
          </cell>
          <cell r="AF450">
            <v>0</v>
          </cell>
          <cell r="AH450">
            <v>0</v>
          </cell>
          <cell r="AJ450">
            <v>0</v>
          </cell>
          <cell r="AL450">
            <v>0</v>
          </cell>
          <cell r="AN450" t="str">
            <v>depreciation</v>
          </cell>
          <cell r="AR450">
            <v>21122.614000000001</v>
          </cell>
          <cell r="AT450">
            <v>4792</v>
          </cell>
          <cell r="AV450">
            <v>25914.614000000001</v>
          </cell>
        </row>
        <row r="451">
          <cell r="A451" t="str">
            <v>abandonment of subscribers</v>
          </cell>
          <cell r="C451">
            <v>0</v>
          </cell>
          <cell r="E451">
            <v>0</v>
          </cell>
          <cell r="G451">
            <v>0</v>
          </cell>
          <cell r="I451">
            <v>0</v>
          </cell>
          <cell r="M451">
            <v>0</v>
          </cell>
          <cell r="Q451">
            <v>0</v>
          </cell>
          <cell r="S451">
            <v>0</v>
          </cell>
          <cell r="U451">
            <v>0</v>
          </cell>
          <cell r="Z451">
            <v>0</v>
          </cell>
          <cell r="AB451">
            <v>0</v>
          </cell>
          <cell r="AD451">
            <v>0</v>
          </cell>
          <cell r="AF451">
            <v>0</v>
          </cell>
          <cell r="AH451">
            <v>0</v>
          </cell>
          <cell r="AJ451">
            <v>0</v>
          </cell>
          <cell r="AL451">
            <v>0</v>
          </cell>
          <cell r="AN451" t="str">
            <v>abandonment of subscribers</v>
          </cell>
          <cell r="AR451">
            <v>569.93299999999999</v>
          </cell>
          <cell r="AT451">
            <v>639</v>
          </cell>
          <cell r="AV451">
            <v>1208.933</v>
          </cell>
        </row>
        <row r="452">
          <cell r="A452" t="str">
            <v>capit.fraction</v>
          </cell>
          <cell r="C452">
            <v>0</v>
          </cell>
          <cell r="E452">
            <v>0</v>
          </cell>
          <cell r="G452">
            <v>0</v>
          </cell>
          <cell r="I452">
            <v>0</v>
          </cell>
          <cell r="M452">
            <v>0</v>
          </cell>
          <cell r="Q452">
            <v>0</v>
          </cell>
          <cell r="S452">
            <v>0</v>
          </cell>
          <cell r="U452">
            <v>0</v>
          </cell>
          <cell r="Z452">
            <v>0</v>
          </cell>
          <cell r="AB452">
            <v>0</v>
          </cell>
          <cell r="AD452">
            <v>0</v>
          </cell>
          <cell r="AF452">
            <v>0</v>
          </cell>
          <cell r="AH452">
            <v>0</v>
          </cell>
          <cell r="AJ452">
            <v>0</v>
          </cell>
          <cell r="AL452">
            <v>0</v>
          </cell>
          <cell r="AN452" t="str">
            <v>capit.fraction</v>
          </cell>
          <cell r="AR452">
            <v>0</v>
          </cell>
          <cell r="AT452">
            <v>-12</v>
          </cell>
          <cell r="AV452">
            <v>-12</v>
          </cell>
        </row>
        <row r="453">
          <cell r="A453" t="str">
            <v>part.in exp.</v>
          </cell>
          <cell r="C453">
            <v>0</v>
          </cell>
          <cell r="E453">
            <v>0</v>
          </cell>
          <cell r="G453">
            <v>0</v>
          </cell>
          <cell r="I453">
            <v>0</v>
          </cell>
          <cell r="M453">
            <v>0</v>
          </cell>
          <cell r="Q453">
            <v>0</v>
          </cell>
          <cell r="S453">
            <v>0</v>
          </cell>
          <cell r="U453">
            <v>0</v>
          </cell>
          <cell r="Z453">
            <v>0</v>
          </cell>
          <cell r="AB453">
            <v>0</v>
          </cell>
          <cell r="AF453">
            <v>0</v>
          </cell>
          <cell r="AH453">
            <v>0</v>
          </cell>
          <cell r="AJ453">
            <v>0</v>
          </cell>
          <cell r="AL453">
            <v>0</v>
          </cell>
          <cell r="AN453" t="str">
            <v>other</v>
          </cell>
          <cell r="AR453">
            <v>0</v>
          </cell>
          <cell r="AT453">
            <v>0</v>
          </cell>
          <cell r="AV453">
            <v>0</v>
          </cell>
        </row>
        <row r="454">
          <cell r="C454">
            <v>-9.7430000000000003</v>
          </cell>
          <cell r="E454">
            <v>0</v>
          </cell>
          <cell r="G454">
            <v>-9.7430000000000003</v>
          </cell>
          <cell r="I454">
            <v>-37</v>
          </cell>
          <cell r="M454">
            <v>0</v>
          </cell>
          <cell r="Q454">
            <v>-37</v>
          </cell>
          <cell r="S454">
            <v>-46.743000000000002</v>
          </cell>
          <cell r="U454">
            <v>0</v>
          </cell>
          <cell r="Z454">
            <v>-46.743000000000002</v>
          </cell>
          <cell r="AB454">
            <v>0</v>
          </cell>
          <cell r="AD454" t="e">
            <v>#REF!</v>
          </cell>
          <cell r="AF454">
            <v>0</v>
          </cell>
          <cell r="AH454">
            <v>0</v>
          </cell>
          <cell r="AJ454">
            <v>0</v>
          </cell>
          <cell r="AL454" t="e">
            <v>#REF!</v>
          </cell>
          <cell r="AR454">
            <v>81182.130668269252</v>
          </cell>
          <cell r="AT454">
            <v>21944</v>
          </cell>
          <cell r="AV454">
            <v>103126.13066826922</v>
          </cell>
          <cell r="AX454">
            <v>0</v>
          </cell>
        </row>
        <row r="456">
          <cell r="A456" t="str">
            <v>OPER. profit(PROFIT)</v>
          </cell>
          <cell r="C456">
            <v>-4318.2620000000006</v>
          </cell>
          <cell r="E456">
            <v>-104.727</v>
          </cell>
          <cell r="G456">
            <v>-4422.9890000000005</v>
          </cell>
          <cell r="I456">
            <v>-916</v>
          </cell>
          <cell r="M456">
            <v>-600</v>
          </cell>
          <cell r="Q456">
            <v>-1516</v>
          </cell>
          <cell r="S456">
            <v>-5234.2620000000006</v>
          </cell>
          <cell r="U456">
            <v>-704.72699999999998</v>
          </cell>
          <cell r="Z456">
            <v>-5938.9890000000005</v>
          </cell>
          <cell r="AB456">
            <v>0</v>
          </cell>
          <cell r="AD456" t="e">
            <v>#REF!</v>
          </cell>
          <cell r="AF456">
            <v>0</v>
          </cell>
          <cell r="AH456">
            <v>0</v>
          </cell>
          <cell r="AJ456">
            <v>0</v>
          </cell>
          <cell r="AL456" t="e">
            <v>#REF!</v>
          </cell>
          <cell r="AN456" t="str">
            <v>OPER. LOSS(PROFIT)</v>
          </cell>
          <cell r="AR456">
            <v>-74358.818240384615</v>
          </cell>
          <cell r="AT456">
            <v>-15837</v>
          </cell>
          <cell r="AV456">
            <v>-87275.487831730788</v>
          </cell>
        </row>
        <row r="458">
          <cell r="A458" t="str">
            <v>MARKETING</v>
          </cell>
          <cell r="AN458" t="str">
            <v>MARKETING</v>
          </cell>
        </row>
        <row r="459">
          <cell r="A459" t="str">
            <v>salaries</v>
          </cell>
          <cell r="C459">
            <v>0</v>
          </cell>
          <cell r="E459">
            <v>0</v>
          </cell>
          <cell r="G459">
            <v>0</v>
          </cell>
          <cell r="I459">
            <v>-85</v>
          </cell>
          <cell r="M459">
            <v>392</v>
          </cell>
          <cell r="Q459">
            <v>307</v>
          </cell>
          <cell r="S459">
            <v>-85</v>
          </cell>
          <cell r="U459">
            <v>392</v>
          </cell>
          <cell r="Z459">
            <v>307</v>
          </cell>
          <cell r="AB459">
            <v>0</v>
          </cell>
          <cell r="AD459">
            <v>1387</v>
          </cell>
          <cell r="AF459">
            <v>0</v>
          </cell>
          <cell r="AH459">
            <v>0</v>
          </cell>
          <cell r="AJ459">
            <v>0</v>
          </cell>
          <cell r="AL459">
            <v>1694</v>
          </cell>
          <cell r="AN459" t="str">
            <v>salaries</v>
          </cell>
          <cell r="AR459">
            <v>5330.4089999999997</v>
          </cell>
          <cell r="AT459">
            <v>1421</v>
          </cell>
          <cell r="AV459">
            <v>6751.4089999999997</v>
          </cell>
        </row>
        <row r="460">
          <cell r="A460" t="str">
            <v>part.in exp.</v>
          </cell>
          <cell r="C460">
            <v>0</v>
          </cell>
          <cell r="E460">
            <v>0</v>
          </cell>
          <cell r="G460">
            <v>0</v>
          </cell>
          <cell r="I460">
            <v>0</v>
          </cell>
          <cell r="M460">
            <v>0</v>
          </cell>
          <cell r="Q460">
            <v>0</v>
          </cell>
          <cell r="S460">
            <v>0</v>
          </cell>
          <cell r="U460">
            <v>0</v>
          </cell>
          <cell r="Z460">
            <v>0</v>
          </cell>
          <cell r="AB460">
            <v>0</v>
          </cell>
          <cell r="AD460">
            <v>0</v>
          </cell>
          <cell r="AF460">
            <v>0</v>
          </cell>
          <cell r="AH460">
            <v>0</v>
          </cell>
          <cell r="AJ460">
            <v>0</v>
          </cell>
          <cell r="AL460">
            <v>0</v>
          </cell>
          <cell r="AN460" t="str">
            <v>part.in exp.</v>
          </cell>
          <cell r="AR460">
            <v>0</v>
          </cell>
          <cell r="AT460">
            <v>0</v>
          </cell>
          <cell r="AV460">
            <v>0</v>
          </cell>
        </row>
        <row r="461">
          <cell r="A461" t="str">
            <v>bad debts</v>
          </cell>
          <cell r="C461">
            <v>0</v>
          </cell>
          <cell r="E461">
            <v>0</v>
          </cell>
          <cell r="G461">
            <v>0</v>
          </cell>
          <cell r="I461">
            <v>0</v>
          </cell>
          <cell r="M461">
            <v>0</v>
          </cell>
          <cell r="Q461">
            <v>0</v>
          </cell>
          <cell r="S461">
            <v>0</v>
          </cell>
          <cell r="U461">
            <v>0</v>
          </cell>
          <cell r="Z461">
            <v>0</v>
          </cell>
          <cell r="AB461">
            <v>0</v>
          </cell>
          <cell r="AD461">
            <v>0</v>
          </cell>
          <cell r="AF461">
            <v>0</v>
          </cell>
          <cell r="AH461">
            <v>0</v>
          </cell>
          <cell r="AJ461">
            <v>0</v>
          </cell>
          <cell r="AL461">
            <v>0</v>
          </cell>
          <cell r="AN461" t="str">
            <v>bad debts</v>
          </cell>
          <cell r="AR461">
            <v>608.56181730769231</v>
          </cell>
          <cell r="AT461">
            <v>92</v>
          </cell>
          <cell r="AV461">
            <v>700.56181730769231</v>
          </cell>
        </row>
        <row r="462">
          <cell r="A462" t="str">
            <v>office maint.</v>
          </cell>
          <cell r="C462">
            <v>0</v>
          </cell>
          <cell r="E462">
            <v>0</v>
          </cell>
          <cell r="G462">
            <v>0</v>
          </cell>
          <cell r="I462">
            <v>0</v>
          </cell>
          <cell r="M462">
            <v>80</v>
          </cell>
          <cell r="Q462">
            <v>80</v>
          </cell>
          <cell r="S462">
            <v>0</v>
          </cell>
          <cell r="U462">
            <v>80</v>
          </cell>
          <cell r="Z462">
            <v>80</v>
          </cell>
          <cell r="AB462">
            <v>0</v>
          </cell>
          <cell r="AD462">
            <v>0</v>
          </cell>
          <cell r="AF462">
            <v>0</v>
          </cell>
          <cell r="AH462">
            <v>0</v>
          </cell>
          <cell r="AJ462">
            <v>0</v>
          </cell>
          <cell r="AL462">
            <v>80</v>
          </cell>
          <cell r="AN462" t="str">
            <v>office maint.</v>
          </cell>
          <cell r="AR462">
            <v>90.584999999999994</v>
          </cell>
          <cell r="AT462">
            <v>268</v>
          </cell>
          <cell r="AV462">
            <v>358.58499999999998</v>
          </cell>
        </row>
        <row r="463">
          <cell r="A463" t="str">
            <v>car &amp; travel</v>
          </cell>
          <cell r="C463">
            <v>0</v>
          </cell>
          <cell r="E463">
            <v>0</v>
          </cell>
          <cell r="G463">
            <v>0</v>
          </cell>
          <cell r="I463">
            <v>85</v>
          </cell>
          <cell r="M463">
            <v>-55</v>
          </cell>
          <cell r="Q463">
            <v>30</v>
          </cell>
          <cell r="S463">
            <v>85</v>
          </cell>
          <cell r="U463">
            <v>-55</v>
          </cell>
          <cell r="Z463">
            <v>30</v>
          </cell>
          <cell r="AB463">
            <v>0</v>
          </cell>
          <cell r="AD463">
            <v>126.5</v>
          </cell>
          <cell r="AF463">
            <v>0</v>
          </cell>
          <cell r="AH463">
            <v>0</v>
          </cell>
          <cell r="AJ463">
            <v>0</v>
          </cell>
          <cell r="AL463">
            <v>156.5</v>
          </cell>
          <cell r="AN463" t="str">
            <v>car &amp; travel</v>
          </cell>
          <cell r="AR463">
            <v>174.1</v>
          </cell>
          <cell r="AT463">
            <v>87</v>
          </cell>
          <cell r="AV463">
            <v>261.10000000000002</v>
          </cell>
        </row>
        <row r="464">
          <cell r="A464" t="str">
            <v>amortization</v>
          </cell>
          <cell r="C464">
            <v>0</v>
          </cell>
          <cell r="E464">
            <v>0</v>
          </cell>
          <cell r="G464">
            <v>0</v>
          </cell>
          <cell r="I464">
            <v>0</v>
          </cell>
          <cell r="M464">
            <v>0</v>
          </cell>
          <cell r="Q464">
            <v>0</v>
          </cell>
          <cell r="S464">
            <v>0</v>
          </cell>
          <cell r="U464">
            <v>0</v>
          </cell>
          <cell r="Z464">
            <v>0</v>
          </cell>
          <cell r="AB464">
            <v>0</v>
          </cell>
          <cell r="AD464">
            <v>0</v>
          </cell>
          <cell r="AF464">
            <v>0</v>
          </cell>
          <cell r="AH464">
            <v>0</v>
          </cell>
          <cell r="AJ464">
            <v>0</v>
          </cell>
          <cell r="AL464">
            <v>0</v>
          </cell>
          <cell r="AN464" t="str">
            <v>amortization</v>
          </cell>
          <cell r="AR464">
            <v>0.89900000000000002</v>
          </cell>
          <cell r="AT464">
            <v>5</v>
          </cell>
          <cell r="AV464">
            <v>5.899</v>
          </cell>
        </row>
        <row r="465">
          <cell r="A465" t="str">
            <v>advertizment</v>
          </cell>
          <cell r="C465">
            <v>0.67900000000000005</v>
          </cell>
          <cell r="E465">
            <v>0</v>
          </cell>
          <cell r="G465">
            <v>0.67900000000000005</v>
          </cell>
          <cell r="I465">
            <v>0</v>
          </cell>
          <cell r="M465">
            <v>25</v>
          </cell>
          <cell r="Q465">
            <v>25</v>
          </cell>
          <cell r="S465">
            <v>0.67900000000000005</v>
          </cell>
          <cell r="U465">
            <v>25</v>
          </cell>
          <cell r="Z465">
            <v>25.678999999999998</v>
          </cell>
          <cell r="AB465">
            <v>0</v>
          </cell>
          <cell r="AD465">
            <v>231.5</v>
          </cell>
          <cell r="AF465">
            <v>0</v>
          </cell>
          <cell r="AH465">
            <v>0</v>
          </cell>
          <cell r="AJ465">
            <v>0</v>
          </cell>
          <cell r="AL465">
            <v>257.17899999999997</v>
          </cell>
          <cell r="AN465" t="str">
            <v>advertizment</v>
          </cell>
          <cell r="AR465">
            <v>1567.4035624999999</v>
          </cell>
          <cell r="AT465">
            <v>35</v>
          </cell>
          <cell r="AV465">
            <v>1602.4035624999999</v>
          </cell>
        </row>
        <row r="466">
          <cell r="C466">
            <v>0.67900000000000005</v>
          </cell>
          <cell r="E466">
            <v>0</v>
          </cell>
          <cell r="G466">
            <v>0.67900000000000005</v>
          </cell>
          <cell r="I466">
            <v>0</v>
          </cell>
          <cell r="M466">
            <v>442</v>
          </cell>
          <cell r="Q466">
            <v>442</v>
          </cell>
          <cell r="S466">
            <v>0.67900000000000005</v>
          </cell>
          <cell r="U466">
            <v>442</v>
          </cell>
          <cell r="Z466">
            <v>442.67899999999997</v>
          </cell>
          <cell r="AB466">
            <v>0</v>
          </cell>
          <cell r="AD466">
            <v>1745</v>
          </cell>
          <cell r="AF466">
            <v>0</v>
          </cell>
          <cell r="AH466">
            <v>0</v>
          </cell>
          <cell r="AJ466">
            <v>0</v>
          </cell>
          <cell r="AL466">
            <v>2187.6790000000001</v>
          </cell>
          <cell r="AR466">
            <v>7771.9583798076928</v>
          </cell>
          <cell r="AT466">
            <v>1908</v>
          </cell>
          <cell r="AV466">
            <v>9679.9583798076928</v>
          </cell>
          <cell r="AX466">
            <v>0</v>
          </cell>
        </row>
        <row r="468">
          <cell r="A468" t="str">
            <v>ADM. &amp;GENERAL</v>
          </cell>
          <cell r="AN468" t="str">
            <v>ADM. &amp;GENERAL</v>
          </cell>
        </row>
        <row r="469">
          <cell r="A469" t="str">
            <v>salaries</v>
          </cell>
          <cell r="C469">
            <v>0</v>
          </cell>
          <cell r="E469">
            <v>0</v>
          </cell>
          <cell r="G469">
            <v>0</v>
          </cell>
          <cell r="I469">
            <v>0</v>
          </cell>
          <cell r="M469">
            <v>0</v>
          </cell>
          <cell r="Q469">
            <v>0</v>
          </cell>
          <cell r="S469">
            <v>0</v>
          </cell>
          <cell r="U469">
            <v>0</v>
          </cell>
          <cell r="Z469">
            <v>0</v>
          </cell>
          <cell r="AB469">
            <v>0</v>
          </cell>
          <cell r="AD469">
            <v>434.5</v>
          </cell>
          <cell r="AF469">
            <v>0</v>
          </cell>
          <cell r="AH469">
            <v>0</v>
          </cell>
          <cell r="AJ469">
            <v>0</v>
          </cell>
          <cell r="AL469">
            <v>434.5</v>
          </cell>
          <cell r="AN469" t="str">
            <v>salaries</v>
          </cell>
          <cell r="AR469">
            <v>3719.9182403846157</v>
          </cell>
          <cell r="AT469">
            <v>1460</v>
          </cell>
          <cell r="AV469">
            <v>5179.9182403846153</v>
          </cell>
        </row>
        <row r="470">
          <cell r="A470" t="str">
            <v>management fees</v>
          </cell>
          <cell r="C470">
            <v>2000</v>
          </cell>
          <cell r="E470">
            <v>0</v>
          </cell>
          <cell r="G470">
            <v>2000</v>
          </cell>
          <cell r="I470">
            <v>500</v>
          </cell>
          <cell r="M470">
            <v>0</v>
          </cell>
          <cell r="Q470">
            <v>500</v>
          </cell>
          <cell r="S470">
            <v>2500</v>
          </cell>
          <cell r="U470">
            <v>0</v>
          </cell>
          <cell r="Z470">
            <v>2500</v>
          </cell>
          <cell r="AB470">
            <v>0</v>
          </cell>
          <cell r="AD470">
            <v>0</v>
          </cell>
          <cell r="AF470">
            <v>0</v>
          </cell>
          <cell r="AH470">
            <v>0</v>
          </cell>
          <cell r="AJ470">
            <v>0</v>
          </cell>
          <cell r="AL470">
            <v>2500</v>
          </cell>
          <cell r="AN470" t="str">
            <v>management fees</v>
          </cell>
          <cell r="AR470">
            <v>4190.3710000000001</v>
          </cell>
          <cell r="AT470">
            <v>1056</v>
          </cell>
          <cell r="AV470">
            <v>5246.3710000000001</v>
          </cell>
        </row>
        <row r="471">
          <cell r="A471" t="str">
            <v>part.in exp.</v>
          </cell>
          <cell r="C471">
            <v>0</v>
          </cell>
          <cell r="E471">
            <v>0</v>
          </cell>
          <cell r="G471">
            <v>0</v>
          </cell>
          <cell r="I471">
            <v>0</v>
          </cell>
          <cell r="M471">
            <v>0</v>
          </cell>
          <cell r="Q471">
            <v>0</v>
          </cell>
          <cell r="S471">
            <v>0</v>
          </cell>
          <cell r="U471">
            <v>0</v>
          </cell>
          <cell r="Z471">
            <v>0</v>
          </cell>
          <cell r="AB471">
            <v>0</v>
          </cell>
          <cell r="AD471">
            <v>0</v>
          </cell>
          <cell r="AF471">
            <v>0</v>
          </cell>
          <cell r="AH471">
            <v>0</v>
          </cell>
          <cell r="AJ471">
            <v>0</v>
          </cell>
          <cell r="AL471">
            <v>0</v>
          </cell>
          <cell r="AN471" t="str">
            <v>part.in exp.</v>
          </cell>
          <cell r="AR471">
            <v>-0.20800000000008367</v>
          </cell>
          <cell r="AT471">
            <v>0</v>
          </cell>
          <cell r="AV471">
            <v>-0.20800000000008367</v>
          </cell>
        </row>
        <row r="472">
          <cell r="A472" t="str">
            <v>computer&amp;bookkeeping</v>
          </cell>
          <cell r="C472">
            <v>16.603999999999999</v>
          </cell>
          <cell r="E472">
            <v>0</v>
          </cell>
          <cell r="G472">
            <v>16.603999999999999</v>
          </cell>
          <cell r="I472">
            <v>0</v>
          </cell>
          <cell r="M472">
            <v>0</v>
          </cell>
          <cell r="Q472">
            <v>0</v>
          </cell>
          <cell r="S472">
            <v>16.603999999999999</v>
          </cell>
          <cell r="U472">
            <v>0</v>
          </cell>
          <cell r="Z472">
            <v>16.603999999999999</v>
          </cell>
          <cell r="AB472">
            <v>0</v>
          </cell>
          <cell r="AD472">
            <v>0</v>
          </cell>
          <cell r="AF472">
            <v>0</v>
          </cell>
          <cell r="AH472">
            <v>0</v>
          </cell>
          <cell r="AJ472">
            <v>0</v>
          </cell>
          <cell r="AL472">
            <v>16.603999999999999</v>
          </cell>
          <cell r="AN472" t="str">
            <v>computer&amp;bookkeeping</v>
          </cell>
          <cell r="AR472">
            <v>584.14300000000003</v>
          </cell>
          <cell r="AT472">
            <v>96</v>
          </cell>
          <cell r="AV472">
            <v>680.14300000000003</v>
          </cell>
        </row>
        <row r="473">
          <cell r="A473" t="str">
            <v>office maint.&amp;other</v>
          </cell>
          <cell r="C473" t="e">
            <v>#REF!</v>
          </cell>
          <cell r="E473">
            <v>0</v>
          </cell>
          <cell r="G473" t="e">
            <v>#REF!</v>
          </cell>
          <cell r="I473">
            <v>0</v>
          </cell>
          <cell r="M473">
            <v>0</v>
          </cell>
          <cell r="Q473">
            <v>0</v>
          </cell>
          <cell r="S473" t="e">
            <v>#REF!</v>
          </cell>
          <cell r="U473">
            <v>0</v>
          </cell>
          <cell r="Z473" t="e">
            <v>#REF!</v>
          </cell>
          <cell r="AB473">
            <v>0</v>
          </cell>
          <cell r="AD473">
            <v>304</v>
          </cell>
          <cell r="AF473">
            <v>0</v>
          </cell>
          <cell r="AH473">
            <v>0</v>
          </cell>
          <cell r="AJ473">
            <v>0</v>
          </cell>
          <cell r="AL473" t="e">
            <v>#REF!</v>
          </cell>
          <cell r="AN473" t="str">
            <v>office maint.&amp;other</v>
          </cell>
          <cell r="AR473">
            <v>2814.3020144230773</v>
          </cell>
          <cell r="AT473">
            <v>712</v>
          </cell>
          <cell r="AV473">
            <v>3526.3020144230773</v>
          </cell>
        </row>
        <row r="474">
          <cell r="A474" t="str">
            <v>car &amp; travel</v>
          </cell>
          <cell r="C474">
            <v>13.955</v>
          </cell>
          <cell r="E474">
            <v>0</v>
          </cell>
          <cell r="G474">
            <v>13.955</v>
          </cell>
          <cell r="I474">
            <v>0</v>
          </cell>
          <cell r="M474">
            <v>0</v>
          </cell>
          <cell r="Q474">
            <v>0</v>
          </cell>
          <cell r="S474">
            <v>13.955</v>
          </cell>
          <cell r="U474">
            <v>0</v>
          </cell>
          <cell r="Z474">
            <v>13.955</v>
          </cell>
          <cell r="AB474">
            <v>0</v>
          </cell>
          <cell r="AD474">
            <v>41</v>
          </cell>
          <cell r="AF474">
            <v>0</v>
          </cell>
          <cell r="AH474">
            <v>0</v>
          </cell>
          <cell r="AJ474">
            <v>0</v>
          </cell>
          <cell r="AL474">
            <v>54.954999999999998</v>
          </cell>
          <cell r="AN474" t="str">
            <v>car &amp; travel</v>
          </cell>
          <cell r="AR474">
            <v>380.77140865384615</v>
          </cell>
          <cell r="AT474">
            <v>161</v>
          </cell>
          <cell r="AV474">
            <v>541.77140865384615</v>
          </cell>
        </row>
        <row r="475">
          <cell r="A475" t="str">
            <v>amortization</v>
          </cell>
          <cell r="C475">
            <v>3.0120000000000005</v>
          </cell>
          <cell r="E475">
            <v>0</v>
          </cell>
          <cell r="G475">
            <v>3.0120000000000005</v>
          </cell>
          <cell r="I475">
            <v>68</v>
          </cell>
          <cell r="M475">
            <v>0</v>
          </cell>
          <cell r="Q475">
            <v>68</v>
          </cell>
          <cell r="S475">
            <v>71.012</v>
          </cell>
          <cell r="U475">
            <v>0</v>
          </cell>
          <cell r="Z475">
            <v>71.012</v>
          </cell>
          <cell r="AB475">
            <v>0</v>
          </cell>
          <cell r="AD475">
            <v>0</v>
          </cell>
          <cell r="AF475">
            <v>0</v>
          </cell>
          <cell r="AH475">
            <v>0</v>
          </cell>
          <cell r="AJ475">
            <v>0</v>
          </cell>
          <cell r="AL475">
            <v>71.012</v>
          </cell>
          <cell r="AN475" t="str">
            <v>amortization</v>
          </cell>
          <cell r="AR475">
            <v>3526.3830000000007</v>
          </cell>
          <cell r="AT475">
            <v>131</v>
          </cell>
          <cell r="AV475">
            <v>3657.3830000000007</v>
          </cell>
        </row>
        <row r="476">
          <cell r="A476" t="str">
            <v>depreciation</v>
          </cell>
          <cell r="C476">
            <v>0</v>
          </cell>
          <cell r="E476">
            <v>0</v>
          </cell>
          <cell r="G476">
            <v>0</v>
          </cell>
          <cell r="I476">
            <v>0</v>
          </cell>
          <cell r="M476">
            <v>1</v>
          </cell>
          <cell r="Q476">
            <v>1</v>
          </cell>
          <cell r="S476">
            <v>0</v>
          </cell>
          <cell r="U476">
            <v>1</v>
          </cell>
          <cell r="Z476">
            <v>1</v>
          </cell>
          <cell r="AB476">
            <v>0</v>
          </cell>
          <cell r="AD476">
            <v>193</v>
          </cell>
          <cell r="AF476">
            <v>0</v>
          </cell>
          <cell r="AH476">
            <v>0</v>
          </cell>
          <cell r="AJ476">
            <v>0</v>
          </cell>
          <cell r="AL476">
            <v>194</v>
          </cell>
          <cell r="AN476" t="str">
            <v>depreciation</v>
          </cell>
          <cell r="AR476">
            <v>959.93616346153851</v>
          </cell>
          <cell r="AT476">
            <v>233</v>
          </cell>
          <cell r="AV476">
            <v>1192.9361634615384</v>
          </cell>
        </row>
        <row r="477">
          <cell r="A477" t="str">
            <v>professional fees</v>
          </cell>
          <cell r="C477">
            <v>141.12100000000001</v>
          </cell>
          <cell r="E477">
            <v>0</v>
          </cell>
          <cell r="G477">
            <v>141.12100000000001</v>
          </cell>
          <cell r="I477">
            <v>11</v>
          </cell>
          <cell r="M477">
            <v>4</v>
          </cell>
          <cell r="Q477">
            <v>15</v>
          </cell>
          <cell r="S477">
            <v>152.12100000000001</v>
          </cell>
          <cell r="U477">
            <v>4</v>
          </cell>
          <cell r="Z477">
            <v>156.12100000000001</v>
          </cell>
          <cell r="AB477">
            <v>0</v>
          </cell>
          <cell r="AD477">
            <v>113.5</v>
          </cell>
          <cell r="AF477">
            <v>0</v>
          </cell>
          <cell r="AH477">
            <v>0</v>
          </cell>
          <cell r="AJ477">
            <v>0</v>
          </cell>
          <cell r="AL477">
            <v>269.62099999999998</v>
          </cell>
          <cell r="AN477" t="str">
            <v>professional fees</v>
          </cell>
          <cell r="AR477">
            <v>1544.1325240384617</v>
          </cell>
          <cell r="AT477">
            <v>248</v>
          </cell>
          <cell r="AV477">
            <v>1792.1325240384617</v>
          </cell>
        </row>
        <row r="478">
          <cell r="A478" t="str">
            <v>other</v>
          </cell>
          <cell r="C478">
            <v>50</v>
          </cell>
          <cell r="E478">
            <v>0</v>
          </cell>
          <cell r="G478">
            <v>50</v>
          </cell>
          <cell r="I478">
            <v>0</v>
          </cell>
          <cell r="M478">
            <v>0</v>
          </cell>
          <cell r="Q478">
            <v>0</v>
          </cell>
          <cell r="S478">
            <v>50</v>
          </cell>
          <cell r="U478">
            <v>0</v>
          </cell>
          <cell r="Z478">
            <v>50</v>
          </cell>
          <cell r="AB478">
            <v>0</v>
          </cell>
          <cell r="AD478">
            <v>274</v>
          </cell>
          <cell r="AF478">
            <v>0</v>
          </cell>
          <cell r="AH478">
            <v>0</v>
          </cell>
          <cell r="AJ478">
            <v>0</v>
          </cell>
          <cell r="AL478">
            <v>324</v>
          </cell>
          <cell r="AN478" t="str">
            <v>other</v>
          </cell>
          <cell r="AR478">
            <v>0</v>
          </cell>
          <cell r="AT478">
            <v>151</v>
          </cell>
          <cell r="AV478">
            <v>151</v>
          </cell>
        </row>
        <row r="479">
          <cell r="A479" t="str">
            <v>part.in exp. others</v>
          </cell>
          <cell r="C479">
            <v>0</v>
          </cell>
          <cell r="E479">
            <v>0</v>
          </cell>
          <cell r="G479">
            <v>0</v>
          </cell>
          <cell r="I479">
            <v>0</v>
          </cell>
          <cell r="M479">
            <v>0</v>
          </cell>
          <cell r="Q479">
            <v>0</v>
          </cell>
          <cell r="S479">
            <v>0</v>
          </cell>
          <cell r="U479">
            <v>0</v>
          </cell>
          <cell r="Z479">
            <v>0</v>
          </cell>
          <cell r="AB479">
            <v>0</v>
          </cell>
          <cell r="AD479">
            <v>0</v>
          </cell>
          <cell r="AF479">
            <v>0</v>
          </cell>
          <cell r="AH479">
            <v>0</v>
          </cell>
          <cell r="AJ479">
            <v>0</v>
          </cell>
          <cell r="AL479">
            <v>0</v>
          </cell>
          <cell r="AN479" t="str">
            <v>part.in exp. others</v>
          </cell>
          <cell r="AR479">
            <v>-778.33799999999928</v>
          </cell>
          <cell r="AT479">
            <v>0</v>
          </cell>
          <cell r="AV479">
            <v>-778.33799999999928</v>
          </cell>
        </row>
        <row r="480">
          <cell r="C480" t="e">
            <v>#REF!</v>
          </cell>
          <cell r="E480">
            <v>0</v>
          </cell>
          <cell r="G480" t="e">
            <v>#REF!</v>
          </cell>
          <cell r="I480">
            <v>579</v>
          </cell>
          <cell r="M480">
            <v>5</v>
          </cell>
          <cell r="Q480">
            <v>584</v>
          </cell>
          <cell r="S480" t="e">
            <v>#REF!</v>
          </cell>
          <cell r="U480">
            <v>5</v>
          </cell>
          <cell r="Z480" t="e">
            <v>#REF!</v>
          </cell>
          <cell r="AB480">
            <v>0</v>
          </cell>
          <cell r="AD480">
            <v>1360</v>
          </cell>
          <cell r="AF480">
            <v>0</v>
          </cell>
          <cell r="AH480">
            <v>0</v>
          </cell>
          <cell r="AJ480">
            <v>0</v>
          </cell>
          <cell r="AL480" t="e">
            <v>#REF!</v>
          </cell>
          <cell r="AR480">
            <v>16941.411350961538</v>
          </cell>
          <cell r="AT480">
            <v>4248</v>
          </cell>
          <cell r="AV480">
            <v>21189.411350961538</v>
          </cell>
          <cell r="AX480">
            <v>0</v>
          </cell>
        </row>
        <row r="482">
          <cell r="A482" t="str">
            <v>FINANCING</v>
          </cell>
          <cell r="AN482" t="str">
            <v>FINANCING</v>
          </cell>
        </row>
        <row r="483">
          <cell r="A483" t="str">
            <v>income(bezek&amp;other)</v>
          </cell>
          <cell r="C483">
            <v>0</v>
          </cell>
          <cell r="E483">
            <v>0</v>
          </cell>
          <cell r="G483">
            <v>0</v>
          </cell>
          <cell r="I483">
            <v>0</v>
          </cell>
          <cell r="M483">
            <v>0</v>
          </cell>
          <cell r="Q483">
            <v>0</v>
          </cell>
          <cell r="S483">
            <v>0</v>
          </cell>
          <cell r="U483">
            <v>0</v>
          </cell>
          <cell r="Z483">
            <v>0</v>
          </cell>
          <cell r="AB483">
            <v>0</v>
          </cell>
          <cell r="AD483">
            <v>0</v>
          </cell>
          <cell r="AF483">
            <v>0</v>
          </cell>
          <cell r="AH483">
            <v>0</v>
          </cell>
          <cell r="AJ483">
            <v>0</v>
          </cell>
          <cell r="AL483">
            <v>0</v>
          </cell>
          <cell r="AN483" t="str">
            <v>income(bezek&amp;other)</v>
          </cell>
          <cell r="AR483">
            <v>-159.00400000000002</v>
          </cell>
          <cell r="AT483">
            <v>213</v>
          </cell>
          <cell r="AV483">
            <v>53.995999999999981</v>
          </cell>
        </row>
        <row r="484">
          <cell r="A484" t="str">
            <v>Affiliated(I.C.P.)</v>
          </cell>
          <cell r="C484">
            <v>0</v>
          </cell>
          <cell r="E484">
            <v>0</v>
          </cell>
          <cell r="G484">
            <v>0</v>
          </cell>
          <cell r="I484">
            <v>-5</v>
          </cell>
          <cell r="M484">
            <v>0</v>
          </cell>
          <cell r="Q484">
            <v>-5</v>
          </cell>
          <cell r="S484">
            <v>-5</v>
          </cell>
          <cell r="U484">
            <v>0</v>
          </cell>
          <cell r="Z484">
            <v>-5</v>
          </cell>
          <cell r="AB484">
            <v>0</v>
          </cell>
          <cell r="AD484">
            <v>0</v>
          </cell>
          <cell r="AF484">
            <v>0</v>
          </cell>
          <cell r="AH484">
            <v>0</v>
          </cell>
          <cell r="AJ484">
            <v>0</v>
          </cell>
          <cell r="AL484">
            <v>-5</v>
          </cell>
          <cell r="AN484" t="str">
            <v>susidiaries(icp&amp;telem)</v>
          </cell>
          <cell r="AR484">
            <v>-24.128</v>
          </cell>
          <cell r="AT484">
            <v>25</v>
          </cell>
          <cell r="AV484">
            <v>0.87199999999999989</v>
          </cell>
        </row>
        <row r="485">
          <cell r="A485" t="str">
            <v>income tax</v>
          </cell>
          <cell r="C485">
            <v>43.103577527963786</v>
          </cell>
          <cell r="E485">
            <v>0</v>
          </cell>
          <cell r="G485">
            <v>43.103577527963786</v>
          </cell>
          <cell r="I485">
            <v>-9</v>
          </cell>
          <cell r="M485">
            <v>0</v>
          </cell>
          <cell r="Q485">
            <v>-9</v>
          </cell>
          <cell r="S485">
            <v>34.103577527963786</v>
          </cell>
          <cell r="U485">
            <v>0</v>
          </cell>
          <cell r="Z485">
            <v>34.103577527963786</v>
          </cell>
          <cell r="AB485">
            <v>0</v>
          </cell>
          <cell r="AD485">
            <v>0</v>
          </cell>
          <cell r="AF485">
            <v>0</v>
          </cell>
          <cell r="AH485">
            <v>0</v>
          </cell>
          <cell r="AJ485">
            <v>0</v>
          </cell>
          <cell r="AL485">
            <v>34.103577527963786</v>
          </cell>
          <cell r="AN485" t="str">
            <v>income tax</v>
          </cell>
          <cell r="AR485">
            <v>-7.8964224720362139</v>
          </cell>
          <cell r="AT485">
            <v>36</v>
          </cell>
          <cell r="AV485">
            <v>28.103577527963786</v>
          </cell>
        </row>
        <row r="486">
          <cell r="A486" t="str">
            <v>capital notes/loans</v>
          </cell>
          <cell r="C486">
            <v>0</v>
          </cell>
          <cell r="E486">
            <v>0</v>
          </cell>
          <cell r="G486">
            <v>0</v>
          </cell>
          <cell r="I486">
            <v>0</v>
          </cell>
          <cell r="M486">
            <v>0</v>
          </cell>
          <cell r="Q486">
            <v>0</v>
          </cell>
          <cell r="S486">
            <v>0</v>
          </cell>
          <cell r="U486">
            <v>0</v>
          </cell>
          <cell r="Z486">
            <v>0</v>
          </cell>
          <cell r="AB486">
            <v>0</v>
          </cell>
          <cell r="AD486">
            <v>0</v>
          </cell>
          <cell r="AF486">
            <v>0</v>
          </cell>
          <cell r="AH486">
            <v>0</v>
          </cell>
          <cell r="AJ486">
            <v>0</v>
          </cell>
          <cell r="AL486">
            <v>0</v>
          </cell>
          <cell r="AN486" t="str">
            <v>capital notes/loans</v>
          </cell>
          <cell r="AR486">
            <v>-1749</v>
          </cell>
          <cell r="AT486">
            <v>131</v>
          </cell>
          <cell r="AV486">
            <v>-1618</v>
          </cell>
        </row>
        <row r="487">
          <cell r="A487" t="str">
            <v>aurec\stlm\dapim+other</v>
          </cell>
          <cell r="C487">
            <v>-1566.48794</v>
          </cell>
          <cell r="E487">
            <v>-794.78599999999994</v>
          </cell>
          <cell r="G487">
            <v>-2361.27394</v>
          </cell>
          <cell r="I487">
            <v>-969</v>
          </cell>
          <cell r="M487">
            <v>163</v>
          </cell>
          <cell r="Q487">
            <v>-806</v>
          </cell>
          <cell r="S487">
            <v>-2535.48794</v>
          </cell>
          <cell r="U487">
            <v>-631.78599999999994</v>
          </cell>
          <cell r="Z487">
            <v>-3167.27394</v>
          </cell>
          <cell r="AB487">
            <v>0</v>
          </cell>
          <cell r="AD487">
            <v>0</v>
          </cell>
          <cell r="AF487">
            <v>0</v>
          </cell>
          <cell r="AH487">
            <v>0</v>
          </cell>
          <cell r="AJ487">
            <v>0</v>
          </cell>
          <cell r="AL487">
            <v>-3167.27394</v>
          </cell>
          <cell r="AN487" t="str">
            <v>aurec\stlm\dapim+other</v>
          </cell>
          <cell r="AR487">
            <v>-3068.6519400000002</v>
          </cell>
          <cell r="AT487">
            <v>-436</v>
          </cell>
          <cell r="AV487">
            <v>-3504.6519400000002</v>
          </cell>
        </row>
        <row r="488">
          <cell r="A488" t="str">
            <v>capitalization</v>
          </cell>
          <cell r="C488">
            <v>0</v>
          </cell>
          <cell r="E488">
            <v>0</v>
          </cell>
          <cell r="G488">
            <v>0</v>
          </cell>
          <cell r="I488">
            <v>0</v>
          </cell>
          <cell r="M488">
            <v>0</v>
          </cell>
          <cell r="Q488">
            <v>0</v>
          </cell>
          <cell r="S488">
            <v>0</v>
          </cell>
          <cell r="U488">
            <v>0</v>
          </cell>
          <cell r="Z488">
            <v>0</v>
          </cell>
          <cell r="AB488">
            <v>0</v>
          </cell>
          <cell r="AD488">
            <v>0</v>
          </cell>
          <cell r="AF488">
            <v>0</v>
          </cell>
          <cell r="AH488">
            <v>0</v>
          </cell>
          <cell r="AJ488">
            <v>0</v>
          </cell>
          <cell r="AL488">
            <v>0</v>
          </cell>
          <cell r="AN488" t="str">
            <v>capitalization</v>
          </cell>
          <cell r="AR488">
            <v>0</v>
          </cell>
          <cell r="AT488">
            <v>0</v>
          </cell>
          <cell r="AV488">
            <v>0</v>
          </cell>
        </row>
        <row r="489">
          <cell r="A489" t="str">
            <v>expenses(customs&amp;other</v>
          </cell>
          <cell r="C489">
            <v>0</v>
          </cell>
          <cell r="E489">
            <v>0</v>
          </cell>
          <cell r="G489">
            <v>0</v>
          </cell>
          <cell r="I489">
            <v>-12</v>
          </cell>
          <cell r="M489">
            <v>-1</v>
          </cell>
          <cell r="Q489">
            <v>-13</v>
          </cell>
          <cell r="S489">
            <v>-12</v>
          </cell>
          <cell r="U489">
            <v>-1</v>
          </cell>
          <cell r="Z489">
            <v>-13</v>
          </cell>
          <cell r="AB489">
            <v>0</v>
          </cell>
          <cell r="AD489">
            <v>469.5</v>
          </cell>
          <cell r="AF489">
            <v>0</v>
          </cell>
          <cell r="AH489">
            <v>0</v>
          </cell>
          <cell r="AJ489">
            <v>0</v>
          </cell>
          <cell r="AL489">
            <v>456.5</v>
          </cell>
          <cell r="AN489" t="str">
            <v>expenses(customs&amp;other</v>
          </cell>
          <cell r="AR489">
            <v>82.066000000000003</v>
          </cell>
          <cell r="AT489">
            <v>-424</v>
          </cell>
          <cell r="AV489">
            <v>-341.93399999999997</v>
          </cell>
        </row>
        <row r="490">
          <cell r="A490" t="str">
            <v>expenses-banks,net</v>
          </cell>
          <cell r="C490">
            <v>-372.26099999999997</v>
          </cell>
          <cell r="E490">
            <v>0</v>
          </cell>
          <cell r="G490">
            <v>-372.26099999999997</v>
          </cell>
          <cell r="I490">
            <v>93</v>
          </cell>
          <cell r="M490">
            <v>0</v>
          </cell>
          <cell r="Q490">
            <v>93</v>
          </cell>
          <cell r="S490">
            <v>-279.26099999999997</v>
          </cell>
          <cell r="U490">
            <v>0</v>
          </cell>
          <cell r="Z490">
            <v>-279.26099999999997</v>
          </cell>
          <cell r="AB490">
            <v>0</v>
          </cell>
          <cell r="AF490">
            <v>0</v>
          </cell>
          <cell r="AH490">
            <v>0</v>
          </cell>
          <cell r="AJ490">
            <v>0</v>
          </cell>
          <cell r="AL490">
            <v>-279.26099999999997</v>
          </cell>
          <cell r="AN490" t="str">
            <v>expenses-banks,net</v>
          </cell>
          <cell r="AR490">
            <v>-713.21100000000001</v>
          </cell>
          <cell r="AT490">
            <v>261</v>
          </cell>
          <cell r="AV490">
            <v>-452.21100000000001</v>
          </cell>
        </row>
        <row r="491">
          <cell r="C491">
            <v>-1895.6453624720361</v>
          </cell>
          <cell r="E491">
            <v>-794.78599999999994</v>
          </cell>
          <cell r="G491">
            <v>-2690.4313624720362</v>
          </cell>
          <cell r="I491">
            <v>-902</v>
          </cell>
          <cell r="M491">
            <v>162</v>
          </cell>
          <cell r="Q491">
            <v>-740</v>
          </cell>
          <cell r="S491">
            <v>-2797.6453624720361</v>
          </cell>
          <cell r="U491">
            <v>-632.78599999999994</v>
          </cell>
          <cell r="Z491">
            <v>-3430.4313624720362</v>
          </cell>
          <cell r="AB491">
            <v>0</v>
          </cell>
          <cell r="AD491">
            <v>469.5</v>
          </cell>
          <cell r="AF491">
            <v>0</v>
          </cell>
          <cell r="AH491">
            <v>0</v>
          </cell>
          <cell r="AJ491">
            <v>0</v>
          </cell>
          <cell r="AL491">
            <v>-2960.9313624720362</v>
          </cell>
          <cell r="AR491">
            <v>-5639.8253624720364</v>
          </cell>
          <cell r="AT491">
            <v>-194</v>
          </cell>
          <cell r="AV491">
            <v>-5833.8253624720364</v>
          </cell>
          <cell r="AX491">
            <v>0</v>
          </cell>
        </row>
        <row r="493">
          <cell r="A493" t="str">
            <v>CAPITAL GAINS</v>
          </cell>
          <cell r="C493">
            <v>0</v>
          </cell>
          <cell r="E493">
            <v>-0.75</v>
          </cell>
          <cell r="G493">
            <v>-0.75</v>
          </cell>
          <cell r="I493">
            <v>0</v>
          </cell>
          <cell r="M493">
            <v>-3</v>
          </cell>
          <cell r="Q493">
            <v>-3</v>
          </cell>
          <cell r="S493">
            <v>0</v>
          </cell>
          <cell r="U493">
            <v>-3.75</v>
          </cell>
          <cell r="Z493">
            <v>-3.75</v>
          </cell>
          <cell r="AB493">
            <v>0</v>
          </cell>
          <cell r="AF493">
            <v>0</v>
          </cell>
          <cell r="AH493">
            <v>0</v>
          </cell>
          <cell r="AJ493">
            <v>0</v>
          </cell>
          <cell r="AL493">
            <v>-3.75</v>
          </cell>
          <cell r="AN493" t="str">
            <v>capital gains</v>
          </cell>
          <cell r="AR493">
            <v>-30.624000000000006</v>
          </cell>
          <cell r="AT493">
            <v>18</v>
          </cell>
          <cell r="AV493">
            <v>-12.624000000000006</v>
          </cell>
        </row>
        <row r="494">
          <cell r="A494" t="str">
            <v>other income</v>
          </cell>
          <cell r="AD494">
            <v>0</v>
          </cell>
          <cell r="AF494">
            <v>0</v>
          </cell>
          <cell r="AL494">
            <v>0</v>
          </cell>
          <cell r="AN494" t="str">
            <v>other income</v>
          </cell>
          <cell r="AR494">
            <v>0</v>
          </cell>
          <cell r="AT494">
            <v>0</v>
          </cell>
          <cell r="AV494">
            <v>0</v>
          </cell>
          <cell r="BB494" t="str">
            <v>GC&amp;Co.</v>
          </cell>
          <cell r="BC494">
            <v>0.3</v>
          </cell>
          <cell r="BE494">
            <v>0.7</v>
          </cell>
          <cell r="BG494" t="str">
            <v>part of</v>
          </cell>
        </row>
        <row r="495">
          <cell r="A495" t="str">
            <v>profit BEF. TAXES</v>
          </cell>
          <cell r="C495" t="e">
            <v>#REF!</v>
          </cell>
          <cell r="E495">
            <v>-900.26299999999992</v>
          </cell>
          <cell r="G495" t="e">
            <v>#REF!</v>
          </cell>
          <cell r="I495">
            <v>-1239</v>
          </cell>
          <cell r="M495">
            <v>6</v>
          </cell>
          <cell r="Q495">
            <v>-1233</v>
          </cell>
          <cell r="S495" t="e">
            <v>#REF!</v>
          </cell>
          <cell r="U495">
            <v>-894.26299999999992</v>
          </cell>
          <cell r="Z495" t="e">
            <v>#REF!</v>
          </cell>
          <cell r="AB495">
            <v>0</v>
          </cell>
          <cell r="AD495" t="e">
            <v>#REF!</v>
          </cell>
          <cell r="AF495">
            <v>0</v>
          </cell>
          <cell r="AH495">
            <v>0</v>
          </cell>
          <cell r="AJ495">
            <v>0</v>
          </cell>
          <cell r="AL495" t="e">
            <v>#REF!</v>
          </cell>
          <cell r="AN495" t="str">
            <v>profit BEF. TAXES</v>
          </cell>
          <cell r="AR495">
            <v>-55315.897872087422</v>
          </cell>
          <cell r="AT495">
            <v>-9857</v>
          </cell>
          <cell r="AV495">
            <v>-65172.897872087422</v>
          </cell>
          <cell r="BB495" t="str">
            <v>Total</v>
          </cell>
          <cell r="BC495" t="str">
            <v>Iediot</v>
          </cell>
          <cell r="BE495" t="str">
            <v>Special</v>
          </cell>
          <cell r="BG495" t="str">
            <v>Alis</v>
          </cell>
        </row>
        <row r="496">
          <cell r="BA496" t="str">
            <v>30.9.97</v>
          </cell>
          <cell r="BB496">
            <v>0</v>
          </cell>
          <cell r="BC496">
            <v>0</v>
          </cell>
          <cell r="BE496">
            <v>428.75</v>
          </cell>
          <cell r="BG496">
            <v>428.75</v>
          </cell>
        </row>
        <row r="497">
          <cell r="A497" t="str">
            <v>TAXES</v>
          </cell>
          <cell r="C497">
            <v>6731.6253859049775</v>
          </cell>
          <cell r="E497">
            <v>0</v>
          </cell>
          <cell r="G497">
            <v>6731.6253859049775</v>
          </cell>
          <cell r="I497">
            <v>1922</v>
          </cell>
          <cell r="M497">
            <v>0</v>
          </cell>
          <cell r="Q497">
            <v>1922</v>
          </cell>
          <cell r="S497">
            <v>8653.6253859049775</v>
          </cell>
          <cell r="U497">
            <v>0</v>
          </cell>
          <cell r="Z497">
            <v>8653.6253859049775</v>
          </cell>
          <cell r="AB497">
            <v>0</v>
          </cell>
          <cell r="AD497">
            <v>138.5</v>
          </cell>
          <cell r="AF497">
            <v>0</v>
          </cell>
          <cell r="AH497">
            <v>0</v>
          </cell>
          <cell r="AJ497">
            <v>0</v>
          </cell>
          <cell r="AL497">
            <v>8792.1253859049775</v>
          </cell>
          <cell r="AN497" t="str">
            <v>TAXES</v>
          </cell>
          <cell r="AR497">
            <v>16034.403078212672</v>
          </cell>
          <cell r="AT497">
            <v>2346</v>
          </cell>
          <cell r="AV497">
            <v>18380.403078212672</v>
          </cell>
          <cell r="BA497" t="str">
            <v>10-12/97</v>
          </cell>
          <cell r="BB497">
            <v>0</v>
          </cell>
          <cell r="BC497">
            <v>0</v>
          </cell>
          <cell r="BE497">
            <v>61.25</v>
          </cell>
          <cell r="BG497">
            <v>61.25</v>
          </cell>
        </row>
        <row r="499">
          <cell r="A499" t="str">
            <v xml:space="preserve">MIN.INT.IN P.RESULTS </v>
          </cell>
          <cell r="C499">
            <v>0</v>
          </cell>
          <cell r="E499">
            <v>0</v>
          </cell>
          <cell r="G499">
            <v>0</v>
          </cell>
          <cell r="I499">
            <v>0</v>
          </cell>
          <cell r="M499">
            <v>0</v>
          </cell>
          <cell r="Q499">
            <v>0</v>
          </cell>
          <cell r="S499">
            <v>0</v>
          </cell>
          <cell r="U499">
            <v>0</v>
          </cell>
          <cell r="Z499">
            <v>0</v>
          </cell>
          <cell r="AB499">
            <v>0</v>
          </cell>
          <cell r="AF499">
            <v>0</v>
          </cell>
          <cell r="AH499">
            <v>0</v>
          </cell>
          <cell r="AJ499">
            <v>0</v>
          </cell>
          <cell r="AL499">
            <v>0</v>
          </cell>
          <cell r="AN499" t="str">
            <v xml:space="preserve">MIN.INT.IN P.RESULTS </v>
          </cell>
          <cell r="AR499">
            <v>14149</v>
          </cell>
          <cell r="AT499">
            <v>3384</v>
          </cell>
          <cell r="AV499">
            <v>17533</v>
          </cell>
          <cell r="BA499" t="str">
            <v>1-9/97</v>
          </cell>
          <cell r="BB499">
            <v>0</v>
          </cell>
          <cell r="BC499">
            <v>0</v>
          </cell>
          <cell r="BE499">
            <v>245</v>
          </cell>
          <cell r="BG499">
            <v>245</v>
          </cell>
        </row>
        <row r="500">
          <cell r="A500" t="str">
            <v>PROVISION for losses on other investments</v>
          </cell>
          <cell r="C500">
            <v>0</v>
          </cell>
          <cell r="E500">
            <v>0</v>
          </cell>
          <cell r="G500">
            <v>0</v>
          </cell>
          <cell r="I500">
            <v>-4930</v>
          </cell>
          <cell r="Q500">
            <v>-4930</v>
          </cell>
          <cell r="S500">
            <v>-4930</v>
          </cell>
          <cell r="U500">
            <v>0</v>
          </cell>
          <cell r="Z500">
            <v>-4930</v>
          </cell>
          <cell r="AL500">
            <v>-4930</v>
          </cell>
          <cell r="AN500" t="str">
            <v>PROVISION for losses on other investments</v>
          </cell>
          <cell r="AR500">
            <v>0</v>
          </cell>
          <cell r="AT500">
            <v>-5172</v>
          </cell>
          <cell r="AV500">
            <v>-5172</v>
          </cell>
          <cell r="BB500">
            <v>0</v>
          </cell>
          <cell r="BC500">
            <v>0</v>
          </cell>
          <cell r="BE500">
            <v>735</v>
          </cell>
          <cell r="BG500">
            <v>735</v>
          </cell>
        </row>
        <row r="501">
          <cell r="A501" t="str">
            <v>EQUITY profit</v>
          </cell>
          <cell r="C501">
            <v>-18980.634509615382</v>
          </cell>
          <cell r="E501">
            <v>0</v>
          </cell>
          <cell r="G501">
            <v>-18980.634509615382</v>
          </cell>
          <cell r="I501">
            <v>-2060</v>
          </cell>
          <cell r="M501">
            <v>0</v>
          </cell>
          <cell r="Q501">
            <v>-2060</v>
          </cell>
          <cell r="S501">
            <v>-21040.634509615382</v>
          </cell>
          <cell r="U501">
            <v>0</v>
          </cell>
          <cell r="Z501">
            <v>-21040.634509615382</v>
          </cell>
          <cell r="AB501">
            <v>0</v>
          </cell>
          <cell r="AF501">
            <v>0</v>
          </cell>
          <cell r="AH501">
            <v>0</v>
          </cell>
          <cell r="AJ501">
            <v>0</v>
          </cell>
          <cell r="AL501">
            <v>-21040.634509615382</v>
          </cell>
          <cell r="AN501" t="str">
            <v>EQUITY profit</v>
          </cell>
          <cell r="AR501">
            <v>5671.7831846153858</v>
          </cell>
          <cell r="AT501">
            <v>3003</v>
          </cell>
          <cell r="AV501">
            <v>8674.7831846153858</v>
          </cell>
          <cell r="BB501">
            <v>74154.011815384612</v>
          </cell>
          <cell r="BC501">
            <v>735</v>
          </cell>
          <cell r="BG501">
            <v>735</v>
          </cell>
        </row>
        <row r="502">
          <cell r="A502" t="str">
            <v>S. profit to IEDIOT</v>
          </cell>
          <cell r="AB502">
            <v>0</v>
          </cell>
          <cell r="AF502">
            <v>0</v>
          </cell>
          <cell r="AL502">
            <v>0</v>
          </cell>
        </row>
        <row r="503">
          <cell r="A503" t="str">
            <v>profit FOR THE PERIOD</v>
          </cell>
          <cell r="C503" t="e">
            <v>#REF!</v>
          </cell>
          <cell r="G503" t="e">
            <v>#REF!</v>
          </cell>
          <cell r="I503">
            <v>-6307</v>
          </cell>
          <cell r="M503">
            <v>6</v>
          </cell>
          <cell r="Q503">
            <v>-6301</v>
          </cell>
          <cell r="S503" t="e">
            <v>#REF!</v>
          </cell>
          <cell r="U503">
            <v>-6</v>
          </cell>
          <cell r="Z503" t="e">
            <v>#REF!</v>
          </cell>
          <cell r="AB503">
            <v>0</v>
          </cell>
          <cell r="AD503" t="e">
            <v>#REF!</v>
          </cell>
          <cell r="AF503">
            <v>0</v>
          </cell>
          <cell r="AH503">
            <v>0</v>
          </cell>
          <cell r="AJ503">
            <v>0</v>
          </cell>
          <cell r="AL503" t="e">
            <v>#REF!</v>
          </cell>
          <cell r="AN503" t="str">
            <v>profit FOR THE PERIOD</v>
          </cell>
          <cell r="AR503">
            <v>-19460.711609259364</v>
          </cell>
          <cell r="AT503">
            <v>-6296</v>
          </cell>
          <cell r="AV503">
            <v>-25756.711609259364</v>
          </cell>
          <cell r="AX503">
            <v>0</v>
          </cell>
        </row>
        <row r="504">
          <cell r="A504" t="str">
            <v>S. profit to IEDIOT OB</v>
          </cell>
          <cell r="AB504">
            <v>0</v>
          </cell>
          <cell r="AF504">
            <v>0</v>
          </cell>
          <cell r="AL504">
            <v>0</v>
          </cell>
        </row>
        <row r="505">
          <cell r="A505" t="str">
            <v>profit AT BEG.OF PERIOD</v>
          </cell>
          <cell r="C505">
            <v>-4484.8019999999997</v>
          </cell>
          <cell r="E505">
            <v>-17308.024000000001</v>
          </cell>
          <cell r="G505">
            <v>-21792.826000000001</v>
          </cell>
          <cell r="I505">
            <v>-6907</v>
          </cell>
          <cell r="M505">
            <v>-17315</v>
          </cell>
          <cell r="Q505">
            <v>-24222</v>
          </cell>
          <cell r="S505">
            <v>-11391.802</v>
          </cell>
          <cell r="U505">
            <v>-34623.024000000005</v>
          </cell>
          <cell r="Z505">
            <v>-25491.826000000001</v>
          </cell>
          <cell r="AB505">
            <v>0</v>
          </cell>
          <cell r="AD505">
            <v>-1047</v>
          </cell>
          <cell r="AF505">
            <v>0</v>
          </cell>
          <cell r="AH505">
            <v>0</v>
          </cell>
          <cell r="AJ505">
            <v>0</v>
          </cell>
          <cell r="AL505">
            <v>-26538.826000000001</v>
          </cell>
          <cell r="AN505" t="str">
            <v>profit AT BEG.OF PERIOD</v>
          </cell>
          <cell r="AR505">
            <v>-21792</v>
          </cell>
          <cell r="AT505">
            <v>-25497</v>
          </cell>
          <cell r="AV505">
            <v>-25496</v>
          </cell>
          <cell r="AX505">
            <v>1042.8260000000009</v>
          </cell>
        </row>
        <row r="506">
          <cell r="A506" t="str">
            <v>DIVIDEND</v>
          </cell>
          <cell r="C506">
            <v>0</v>
          </cell>
          <cell r="G506">
            <v>0</v>
          </cell>
          <cell r="I506">
            <v>10000</v>
          </cell>
          <cell r="M506">
            <v>0</v>
          </cell>
          <cell r="Q506">
            <v>10000</v>
          </cell>
          <cell r="S506">
            <v>10000</v>
          </cell>
          <cell r="U506">
            <v>0</v>
          </cell>
          <cell r="Z506">
            <v>10000</v>
          </cell>
          <cell r="AB506">
            <v>0</v>
          </cell>
          <cell r="AF506">
            <v>0</v>
          </cell>
          <cell r="AH506">
            <v>0</v>
          </cell>
          <cell r="AJ506">
            <v>0</v>
          </cell>
          <cell r="AL506">
            <v>10000</v>
          </cell>
          <cell r="AN506" t="str">
            <v>DIVIDEND</v>
          </cell>
          <cell r="AR506">
            <v>0</v>
          </cell>
          <cell r="AT506">
            <v>10000</v>
          </cell>
          <cell r="AV506">
            <v>10000</v>
          </cell>
        </row>
        <row r="508">
          <cell r="A508" t="str">
            <v>BAL.OF profit AT END OF PERIOD</v>
          </cell>
          <cell r="C508" t="e">
            <v>#REF!</v>
          </cell>
          <cell r="E508">
            <v>-17308.024000000001</v>
          </cell>
          <cell r="G508" t="e">
            <v>#REF!</v>
          </cell>
          <cell r="I508">
            <v>-3214</v>
          </cell>
          <cell r="M508">
            <v>-17309</v>
          </cell>
          <cell r="Q508">
            <v>-20523</v>
          </cell>
          <cell r="S508" t="e">
            <v>#REF!</v>
          </cell>
          <cell r="U508">
            <v>-34629.024000000005</v>
          </cell>
          <cell r="Z508" t="e">
            <v>#REF!</v>
          </cell>
          <cell r="AB508">
            <v>0</v>
          </cell>
          <cell r="AD508" t="e">
            <v>#REF!</v>
          </cell>
          <cell r="AF508">
            <v>0</v>
          </cell>
          <cell r="AH508">
            <v>0</v>
          </cell>
          <cell r="AJ508">
            <v>0</v>
          </cell>
          <cell r="AL508" t="e">
            <v>#REF!</v>
          </cell>
          <cell r="AN508" t="str">
            <v>BAL.OF profit AT END OF PERIOD</v>
          </cell>
          <cell r="AR508">
            <v>-41252.711609259364</v>
          </cell>
          <cell r="AT508">
            <v>-21793</v>
          </cell>
          <cell r="AV508">
            <v>-41252.711609259364</v>
          </cell>
          <cell r="AX508" t="e">
            <v>#REF!</v>
          </cell>
        </row>
        <row r="509">
          <cell r="AP509">
            <v>-2322.9031230769251</v>
          </cell>
          <cell r="AR509">
            <v>-0.17399999999906868</v>
          </cell>
          <cell r="AT509">
            <v>-2322.0690000000031</v>
          </cell>
        </row>
      </sheetData>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ער&quot;ז"/>
      <sheetName val="עידן 1099"/>
      <sheetName val="ערוצי זהב 1099"/>
      <sheetName val="ערוצי אדום 1099"/>
      <sheetName val="טורים 98"/>
      <sheetName val="מדריכי פנאי"/>
      <sheetName val="netcom "/>
    </sheetNames>
    <sheetDataSet>
      <sheetData sheetId="0" refreshError="1"/>
      <sheetData sheetId="1" refreshError="1"/>
      <sheetData sheetId="2" refreshError="1"/>
      <sheetData sheetId="3" refreshError="1"/>
      <sheetData sheetId="4" refreshError="1">
        <row r="1">
          <cell r="A1">
            <v>1998</v>
          </cell>
          <cell r="B1">
            <v>4.16</v>
          </cell>
          <cell r="G1" t="str">
            <v>עורק שמ"מ</v>
          </cell>
          <cell r="Q1" t="str">
            <v>דוחות מאוחדים</v>
          </cell>
          <cell r="AF1">
            <v>36160</v>
          </cell>
          <cell r="AZ1">
            <v>0</v>
          </cell>
          <cell r="BE1" t="str">
            <v>;</v>
          </cell>
          <cell r="BG1" t="str">
            <v>CONSOLIDATED STATEMENTS</v>
          </cell>
          <cell r="BS1" t="str">
            <v xml:space="preserve"> AS AT </v>
          </cell>
          <cell r="BU1">
            <v>36160</v>
          </cell>
          <cell r="CX1">
            <v>36160</v>
          </cell>
          <cell r="FG1" t="str">
            <v>מד"פ</v>
          </cell>
          <cell r="FH1" t="str">
            <v>נטקום</v>
          </cell>
          <cell r="FI1" t="str">
            <v>ער"ז</v>
          </cell>
          <cell r="FJ1" t="str">
            <v>עידן</v>
          </cell>
          <cell r="FK1" t="str">
            <v>עידן</v>
          </cell>
          <cell r="FL1" t="str">
            <v>ע.אדום</v>
          </cell>
          <cell r="FM1" t="str">
            <v>פקודת  איחוד</v>
          </cell>
          <cell r="FN1" t="str">
            <v>ער"ז</v>
          </cell>
          <cell r="FO1" t="str">
            <v>דרה"ש</v>
          </cell>
          <cell r="FP1" t="str">
            <v>ט.ל.מ.</v>
          </cell>
          <cell r="FQ1" t="str">
            <v>פקודת איחוד</v>
          </cell>
          <cell r="FR1" t="str">
            <v>דר"ש</v>
          </cell>
          <cell r="FS1" t="str">
            <v>מ. ער"ז</v>
          </cell>
          <cell r="FT1" t="str">
            <v>TOTAL</v>
          </cell>
          <cell r="FU1" t="str">
            <v>פקודות</v>
          </cell>
          <cell r="FV1" t="str">
            <v>TOTAL</v>
          </cell>
          <cell r="GG1" t="str">
            <v>TOTAL</v>
          </cell>
        </row>
        <row r="2">
          <cell r="A2">
            <v>36160</v>
          </cell>
          <cell r="B2">
            <v>3.536</v>
          </cell>
          <cell r="C2">
            <v>153.1</v>
          </cell>
          <cell r="AX2" t="str">
            <v>$</v>
          </cell>
          <cell r="FC2" t="str">
            <v>"31/12/98</v>
          </cell>
          <cell r="FG2" t="str">
            <v>"31/12/98</v>
          </cell>
          <cell r="FH2" t="str">
            <v>"31/12/98</v>
          </cell>
          <cell r="FI2" t="str">
            <v>"31/12/98</v>
          </cell>
          <cell r="FJ2" t="str">
            <v>כניסה לאיחוד</v>
          </cell>
          <cell r="FK2">
            <v>0.5</v>
          </cell>
          <cell r="FL2" t="str">
            <v>"31/12/98</v>
          </cell>
          <cell r="FN2" t="str">
            <v>מאוחד</v>
          </cell>
          <cell r="FO2" t="str">
            <v>"31/12/98</v>
          </cell>
          <cell r="FP2" t="str">
            <v>"31/12/98</v>
          </cell>
          <cell r="FR2" t="str">
            <v>מאוחד</v>
          </cell>
          <cell r="FS2" t="str">
            <v>"31/12/98</v>
          </cell>
          <cell r="FT2" t="str">
            <v>"31/12/98</v>
          </cell>
          <cell r="FU2" t="str">
            <v>נוספות</v>
          </cell>
          <cell r="FV2" t="str">
            <v>"31/12/98</v>
          </cell>
          <cell r="FW2" t="str">
            <v>שע"מ 1998</v>
          </cell>
          <cell r="FX2" t="str">
            <v>ער"ז מאוחד</v>
          </cell>
          <cell r="FY2" t="str">
            <v>דרום השרון מאוחד</v>
          </cell>
          <cell r="FZ2" t="str">
            <v>הוספת פקודות של ביטול מחזורים</v>
          </cell>
          <cell r="GA2" t="str">
            <v xml:space="preserve">ער"ז+דרהמ"ש בניטרול עסקאות עם </v>
          </cell>
          <cell r="GB2" t="str">
            <v xml:space="preserve">ער"ז+דרהמ"ש בניטרול עסקאות עם </v>
          </cell>
          <cell r="GC2" t="str">
            <v xml:space="preserve">עורק מאוחד בניטרול ער"ז </v>
          </cell>
          <cell r="GD2" t="str">
            <v xml:space="preserve">עורק מאוחד בניטרול ער"ז </v>
          </cell>
          <cell r="GE2" t="str">
            <v xml:space="preserve">עורק מאוחד בניטרול ער"ז </v>
          </cell>
          <cell r="GG2" t="str">
            <v>31/12/97</v>
          </cell>
          <cell r="GS2" t="str">
            <v>{EDIT}*a:Gx44/a:Gy44~{DOWN}</v>
          </cell>
        </row>
        <row r="3">
          <cell r="B3" t="str">
            <v xml:space="preserve">    =1$</v>
          </cell>
          <cell r="C3" t="str">
            <v>מדד</v>
          </cell>
          <cell r="G3" t="str">
            <v>עורק שמ"מ</v>
          </cell>
          <cell r="S3" t="str">
            <v>ערוצי זהב</v>
          </cell>
          <cell r="AB3" t="str">
            <v>ערוצי זהב - מאוחד</v>
          </cell>
          <cell r="AF3" t="str">
            <v>דרום השרון</v>
          </cell>
          <cell r="AJ3" t="str">
            <v>דרה"ש</v>
          </cell>
          <cell r="AL3" t="str">
            <v>ט.ל.מ.</v>
          </cell>
          <cell r="AP3" t="str">
            <v>דרה"ש - מאוחד</v>
          </cell>
          <cell r="AR3" t="str">
            <v>מרכז ער"ז</v>
          </cell>
          <cell r="AX3" t="str">
            <v>עורק שמ"מ - מאוחד</v>
          </cell>
          <cell r="BG3" t="str">
            <v>A.C.T.V.</v>
          </cell>
          <cell r="BS3" t="str">
            <v>G.C.&amp; CO.</v>
          </cell>
          <cell r="BZ3" t="str">
            <v>G.C.&amp; CO. CONSOLIDATED</v>
          </cell>
          <cell r="CF3" t="str">
            <v>SOUTH SHARON COMM.</v>
          </cell>
          <cell r="CL3" t="str">
            <v>T.L.M</v>
          </cell>
          <cell r="CN3" t="str">
            <v>S.S.C.-CONSOLIDATED</v>
          </cell>
          <cell r="CR3" t="str">
            <v>MERCAZ</v>
          </cell>
          <cell r="CV3" t="str">
            <v xml:space="preserve">CONSOLIDATED </v>
          </cell>
          <cell r="FC3" t="str">
            <v>שמ"מ חברה</v>
          </cell>
          <cell r="FD3" t="str">
            <v>שמ"מ</v>
          </cell>
          <cell r="FE3" t="str">
            <v>פקודות נוספות</v>
          </cell>
          <cell r="FF3" t="str">
            <v>TOTAL</v>
          </cell>
          <cell r="FG3" t="str">
            <v>מד"פ</v>
          </cell>
          <cell r="FH3" t="str">
            <v>נטקום</v>
          </cell>
          <cell r="FI3" t="str">
            <v>ער"ז</v>
          </cell>
          <cell r="FL3" t="str">
            <v>ע.אדום</v>
          </cell>
          <cell r="FO3" t="str">
            <v>דרה"ש</v>
          </cell>
          <cell r="FP3" t="str">
            <v>ט.ל.מ.</v>
          </cell>
          <cell r="FS3" t="str">
            <v>מ. ער"ז</v>
          </cell>
          <cell r="FT3" t="str">
            <v>שממ - מאוחד</v>
          </cell>
          <cell r="FX3" t="str">
            <v>מותאם למדד 12/98</v>
          </cell>
          <cell r="FY3" t="str">
            <v>מותאם למדד 12/98</v>
          </cell>
          <cell r="FZ3" t="str">
            <v>בין דרום השרון ער"ז לשאר הקבוצה</v>
          </cell>
          <cell r="GA3" t="str">
            <v>שאר הקבוצה</v>
          </cell>
          <cell r="GB3" t="str">
            <v>ש"ח 12/99</v>
          </cell>
          <cell r="GD3" t="str">
            <v>ודרום השרון</v>
          </cell>
          <cell r="GE3" t="str">
            <v>ודרום השרון</v>
          </cell>
          <cell r="GG3" t="str">
            <v>שממ מאוחד</v>
          </cell>
        </row>
        <row r="4">
          <cell r="C4" t="str">
            <v>U.S dollar</v>
          </cell>
          <cell r="BB4" t="str">
            <v>Nominal NIS</v>
          </cell>
          <cell r="CX4" t="str">
            <v>Nominal NIS</v>
          </cell>
          <cell r="FC4" t="str">
            <v>Adjusted NIS</v>
          </cell>
          <cell r="GD4" t="str">
            <v>ש"ח 12/99</v>
          </cell>
        </row>
        <row r="5">
          <cell r="A5" t="str">
            <v>בדיקת איזון</v>
          </cell>
          <cell r="C5">
            <v>-654.16539999999804</v>
          </cell>
          <cell r="E5">
            <v>6.2999999998282874E-2</v>
          </cell>
          <cell r="G5">
            <v>655.80807821267035</v>
          </cell>
          <cell r="I5">
            <v>1.7056782126746839</v>
          </cell>
          <cell r="M5">
            <v>-2.1664038461537132</v>
          </cell>
          <cell r="O5">
            <v>-0.5</v>
          </cell>
          <cell r="Q5">
            <v>0.28200000003562309</v>
          </cell>
          <cell r="S5">
            <v>0</v>
          </cell>
          <cell r="U5">
            <v>0.28200000000651926</v>
          </cell>
          <cell r="W5">
            <v>-1.25</v>
          </cell>
          <cell r="X5">
            <v>0</v>
          </cell>
          <cell r="Z5">
            <v>2.5950000000002547</v>
          </cell>
          <cell r="AB5">
            <v>-0.64581538461561649</v>
          </cell>
          <cell r="AD5">
            <v>-0.19281538468203507</v>
          </cell>
          <cell r="AF5">
            <v>9.9999999656574801E-4</v>
          </cell>
          <cell r="AH5">
            <v>0</v>
          </cell>
          <cell r="AJ5">
            <v>9.9999999656574801E-4</v>
          </cell>
          <cell r="AL5">
            <v>-0.21899999999732245</v>
          </cell>
          <cell r="AN5">
            <v>0.9180000000014843</v>
          </cell>
          <cell r="AP5">
            <v>0.70000000000436557</v>
          </cell>
          <cell r="AR5">
            <v>1.1666515837059706</v>
          </cell>
          <cell r="AT5">
            <v>0.55073075788095593</v>
          </cell>
          <cell r="AV5">
            <v>-1.8870480769110145</v>
          </cell>
          <cell r="AX5">
            <v>-1.336317318957299</v>
          </cell>
          <cell r="AZ5" t="str">
            <v>ACTIV</v>
          </cell>
          <cell r="BC5">
            <v>-0.67198000004282221</v>
          </cell>
          <cell r="BE5">
            <v>0.67900000000372529</v>
          </cell>
          <cell r="BG5">
            <v>0</v>
          </cell>
          <cell r="BI5">
            <v>7.0200000773184001E-3</v>
          </cell>
          <cell r="BM5">
            <v>-4.9999999964711606E-4</v>
          </cell>
          <cell r="BO5">
            <v>0.22499999999854481</v>
          </cell>
          <cell r="BQ5">
            <v>-8.999999996740371E-2</v>
          </cell>
          <cell r="BS5">
            <v>0</v>
          </cell>
          <cell r="BU5">
            <v>-8.999999996740371E-2</v>
          </cell>
          <cell r="BW5">
            <v>-0.28299999999580905</v>
          </cell>
          <cell r="BX5">
            <v>0</v>
          </cell>
          <cell r="BZ5">
            <v>-7.8000000003157766E-2</v>
          </cell>
          <cell r="CB5">
            <v>-0.78099999999994907</v>
          </cell>
          <cell r="CD5">
            <v>-1.2319999999599531</v>
          </cell>
          <cell r="CF5">
            <v>-0.5</v>
          </cell>
          <cell r="CH5">
            <v>0</v>
          </cell>
          <cell r="CJ5">
            <v>-0.50000000000090949</v>
          </cell>
          <cell r="CL5">
            <v>-1.1000000000058208</v>
          </cell>
          <cell r="CN5">
            <v>-0.79200000000128057</v>
          </cell>
          <cell r="CP5">
            <v>-2.3919999999925494</v>
          </cell>
          <cell r="CR5">
            <v>-0.30799999998998828</v>
          </cell>
          <cell r="CT5">
            <v>-3.4974800001364201</v>
          </cell>
          <cell r="CV5">
            <v>0.38790000014705583</v>
          </cell>
          <cell r="CX5">
            <v>-3.1095799999311566</v>
          </cell>
          <cell r="FC5">
            <v>-0.10369562375126407</v>
          </cell>
          <cell r="FD5">
            <v>-0.22047200000088196</v>
          </cell>
          <cell r="FE5">
            <v>1.2446000000054482</v>
          </cell>
          <cell r="FF5">
            <v>0.92043237620964646</v>
          </cell>
          <cell r="FG5">
            <v>-1.5000000005329639E-3</v>
          </cell>
          <cell r="FH5">
            <v>0</v>
          </cell>
          <cell r="FI5">
            <v>-0.23599999980069697</v>
          </cell>
          <cell r="FJ5">
            <v>-0.28299999999580905</v>
          </cell>
          <cell r="FK5">
            <v>0</v>
          </cell>
          <cell r="FL5">
            <v>0.12900000000081491</v>
          </cell>
          <cell r="FM5">
            <v>0.31099999999969441</v>
          </cell>
          <cell r="FN5">
            <v>-7.9000000027008355E-2</v>
          </cell>
          <cell r="FO5">
            <v>0</v>
          </cell>
          <cell r="FP5">
            <v>-0.45207184844184667</v>
          </cell>
          <cell r="FQ5">
            <v>-0.3090000000083819</v>
          </cell>
          <cell r="FR5">
            <v>-0.76107184845022857</v>
          </cell>
          <cell r="FS5">
            <v>-0.11200000000826549</v>
          </cell>
          <cell r="FT5">
            <v>-3.3139471663162112E-2</v>
          </cell>
          <cell r="FU5">
            <v>-3.4795708599267527</v>
          </cell>
          <cell r="FV5">
            <v>-4.1310970068443567</v>
          </cell>
          <cell r="FX5">
            <v>-7.9000000027008355E-2</v>
          </cell>
          <cell r="FY5">
            <v>-0.76107184845022857</v>
          </cell>
          <cell r="FZ5">
            <v>-4.6048449999507284</v>
          </cell>
          <cell r="GA5">
            <v>-5.4449168485589325</v>
          </cell>
          <cell r="GB5">
            <v>-5.5179304655175656</v>
          </cell>
          <cell r="GC5">
            <v>-4.1310970068443567</v>
          </cell>
          <cell r="GD5">
            <v>-4.1864929564762861</v>
          </cell>
          <cell r="GE5">
            <v>-56728.977280158928</v>
          </cell>
          <cell r="GG5">
            <v>7.5622143634827808</v>
          </cell>
        </row>
        <row r="6">
          <cell r="A6" t="str">
            <v>ACTIV</v>
          </cell>
          <cell r="C6" t="str">
            <v>שממ</v>
          </cell>
          <cell r="E6" t="str">
            <v>שממ</v>
          </cell>
          <cell r="G6" t="str">
            <v>פ. נוספות</v>
          </cell>
          <cell r="I6" t="str">
            <v>TOTAL</v>
          </cell>
          <cell r="K6" t="str">
            <v>טלפאואר</v>
          </cell>
          <cell r="M6" t="str">
            <v>מד"פ</v>
          </cell>
          <cell r="O6" t="str">
            <v>נטקום</v>
          </cell>
          <cell r="Q6" t="str">
            <v>ער"ז</v>
          </cell>
          <cell r="S6" t="str">
            <v>פ. נוספות</v>
          </cell>
          <cell r="U6" t="str">
            <v>TOTAL</v>
          </cell>
          <cell r="W6" t="str">
            <v>עידן</v>
          </cell>
          <cell r="X6" t="str">
            <v>עידן</v>
          </cell>
          <cell r="Z6" t="str">
            <v>ע. אדום</v>
          </cell>
          <cell r="AB6" t="str">
            <v>פ.נוספות</v>
          </cell>
          <cell r="AD6" t="str">
            <v>TOTAL</v>
          </cell>
          <cell r="AF6" t="str">
            <v>דרה"ש</v>
          </cell>
          <cell r="AH6" t="str">
            <v>פ. נוספות</v>
          </cell>
          <cell r="AJ6" t="str">
            <v>TOTAL</v>
          </cell>
          <cell r="AL6" t="str">
            <v>ט.ל.מ.</v>
          </cell>
          <cell r="AN6" t="str">
            <v>פ. נוספות</v>
          </cell>
          <cell r="AP6" t="str">
            <v>TOTAL</v>
          </cell>
          <cell r="AR6" t="str">
            <v>מרכז ער"ז</v>
          </cell>
          <cell r="AT6" t="str">
            <v>TOTAL</v>
          </cell>
          <cell r="AV6" t="str">
            <v>פ. נוספות</v>
          </cell>
          <cell r="AX6" t="str">
            <v>TOTAL</v>
          </cell>
          <cell r="AZ6">
            <v>36661.599855671295</v>
          </cell>
          <cell r="BC6" t="str">
            <v>A.C.T.V.</v>
          </cell>
          <cell r="BE6" t="str">
            <v>A.L.I.S</v>
          </cell>
          <cell r="BG6" t="str">
            <v>J.ENTRIES</v>
          </cell>
          <cell r="BI6" t="str">
            <v>TOTAL</v>
          </cell>
          <cell r="BK6" t="str">
            <v>T.POWER</v>
          </cell>
          <cell r="BM6" t="str">
            <v>Madrichei Pnai</v>
          </cell>
          <cell r="BO6" t="str">
            <v>Netcom</v>
          </cell>
          <cell r="BQ6" t="str">
            <v>G.C.&amp; CO.</v>
          </cell>
          <cell r="BS6" t="str">
            <v>J.ENTRIES</v>
          </cell>
          <cell r="BU6" t="str">
            <v>TOTAL</v>
          </cell>
          <cell r="BW6" t="str">
            <v>IDAN</v>
          </cell>
          <cell r="BX6" t="str">
            <v>עידן %50</v>
          </cell>
          <cell r="BZ6" t="str">
            <v>EDOM</v>
          </cell>
          <cell r="CB6" t="str">
            <v>J.ENTRIES</v>
          </cell>
          <cell r="CD6" t="str">
            <v>Total</v>
          </cell>
          <cell r="CF6" t="str">
            <v>S.S.C.</v>
          </cell>
          <cell r="CH6" t="str">
            <v>J.ENTRIES</v>
          </cell>
          <cell r="CJ6" t="str">
            <v>TOTAL</v>
          </cell>
          <cell r="CL6" t="str">
            <v>T.L.M</v>
          </cell>
          <cell r="CN6" t="str">
            <v>J.ENTRIES</v>
          </cell>
          <cell r="CP6" t="str">
            <v>TOTAL</v>
          </cell>
          <cell r="CR6" t="str">
            <v>MERCAZ</v>
          </cell>
          <cell r="CT6" t="str">
            <v>TOTAL</v>
          </cell>
          <cell r="CV6" t="str">
            <v>J.ENTRIES</v>
          </cell>
          <cell r="CX6" t="str">
            <v>TOTAL</v>
          </cell>
          <cell r="FW6" t="str">
            <v>ACTIVE</v>
          </cell>
          <cell r="GT6" t="str">
            <v>{edit}*A:hX90/A:hY96~{down}</v>
          </cell>
        </row>
        <row r="7">
          <cell r="FX7">
            <v>0</v>
          </cell>
          <cell r="FY7">
            <v>0</v>
          </cell>
        </row>
        <row r="8">
          <cell r="FX8">
            <v>0</v>
          </cell>
          <cell r="FY8">
            <v>0</v>
          </cell>
        </row>
        <row r="9">
          <cell r="FX9">
            <v>0</v>
          </cell>
          <cell r="FY9">
            <v>0</v>
          </cell>
        </row>
        <row r="10">
          <cell r="FX10">
            <v>0</v>
          </cell>
          <cell r="FY10">
            <v>0</v>
          </cell>
        </row>
        <row r="11">
          <cell r="FX11">
            <v>0</v>
          </cell>
          <cell r="FY11">
            <v>0</v>
          </cell>
        </row>
        <row r="12">
          <cell r="A12" t="str">
            <v>FIXED ASSETS</v>
          </cell>
          <cell r="E12">
            <v>0.15899999999996339</v>
          </cell>
          <cell r="M12">
            <v>1.8028846153844924E-2</v>
          </cell>
          <cell r="O12">
            <v>0</v>
          </cell>
          <cell r="U12">
            <v>-0.96399999999266583</v>
          </cell>
          <cell r="Z12">
            <v>-7.5000000000272848E-2</v>
          </cell>
          <cell r="AB12" t="str">
            <v xml:space="preserve"> </v>
          </cell>
          <cell r="AL12">
            <v>-0.21699999998963904</v>
          </cell>
          <cell r="AP12">
            <v>-0.21699999998963904</v>
          </cell>
          <cell r="AR12">
            <v>0</v>
          </cell>
          <cell r="AX12">
            <v>444.32902884625946</v>
          </cell>
          <cell r="AZ12" t="str">
            <v>FIXED ASSETS</v>
          </cell>
          <cell r="BE12">
            <v>0</v>
          </cell>
          <cell r="BG12">
            <v>0</v>
          </cell>
          <cell r="BM12">
            <v>53.964500000000001</v>
          </cell>
          <cell r="BO12">
            <v>0</v>
          </cell>
          <cell r="BQ12">
            <v>-5750.8410000000149</v>
          </cell>
          <cell r="BU12">
            <v>-5750.8410000000149</v>
          </cell>
          <cell r="BZ12">
            <v>-495.48500000000058</v>
          </cell>
          <cell r="CB12">
            <v>-7.8000000003157766E-2</v>
          </cell>
          <cell r="CL12">
            <v>-15947</v>
          </cell>
          <cell r="CR12">
            <v>2998.4870000000083</v>
          </cell>
          <cell r="FG12">
            <v>-1140.7650000000001</v>
          </cell>
          <cell r="FP12">
            <v>-0.1463096016086638</v>
          </cell>
          <cell r="FV12">
            <v>0.24459787225350738</v>
          </cell>
          <cell r="FW12" t="str">
            <v>FIXED ASSETS</v>
          </cell>
          <cell r="FX12">
            <v>0</v>
          </cell>
          <cell r="FY12">
            <v>0</v>
          </cell>
          <cell r="GA12">
            <v>0</v>
          </cell>
        </row>
        <row r="13">
          <cell r="A13" t="str">
            <v>total-cost</v>
          </cell>
          <cell r="I13">
            <v>0</v>
          </cell>
          <cell r="M13">
            <v>17.48497596153846</v>
          </cell>
          <cell r="O13">
            <v>1144</v>
          </cell>
          <cell r="Q13">
            <v>112483.67600000001</v>
          </cell>
          <cell r="U13">
            <v>112483.67600000001</v>
          </cell>
          <cell r="W13">
            <v>41905.5</v>
          </cell>
          <cell r="X13">
            <v>41905.5</v>
          </cell>
          <cell r="Z13">
            <v>1896.7860000000001</v>
          </cell>
          <cell r="AB13">
            <v>1377.838</v>
          </cell>
          <cell r="AD13">
            <v>199569.3</v>
          </cell>
          <cell r="AL13">
            <v>86659</v>
          </cell>
          <cell r="AN13">
            <v>0</v>
          </cell>
          <cell r="AP13">
            <v>86659</v>
          </cell>
          <cell r="AR13">
            <v>21867.181</v>
          </cell>
          <cell r="AT13">
            <v>309256.96597596159</v>
          </cell>
          <cell r="AV13">
            <v>0</v>
          </cell>
          <cell r="AX13">
            <v>309256.96597596159</v>
          </cell>
          <cell r="AY13">
            <v>0</v>
          </cell>
          <cell r="AZ13" t="str">
            <v>total-cost</v>
          </cell>
          <cell r="BC13">
            <v>0</v>
          </cell>
          <cell r="BE13">
            <v>0</v>
          </cell>
          <cell r="BG13">
            <v>0</v>
          </cell>
          <cell r="BI13">
            <v>0</v>
          </cell>
          <cell r="BM13">
            <v>69.030500000000004</v>
          </cell>
          <cell r="BO13">
            <v>3768.5</v>
          </cell>
          <cell r="BQ13">
            <v>326524.80499999999</v>
          </cell>
          <cell r="BU13">
            <v>326524.80499999999</v>
          </cell>
          <cell r="BW13">
            <v>117928.5</v>
          </cell>
          <cell r="BX13">
            <v>117928.5</v>
          </cell>
          <cell r="BZ13">
            <v>6038.6689999999999</v>
          </cell>
          <cell r="CD13">
            <v>568420.47399999993</v>
          </cell>
          <cell r="CH13">
            <v>0</v>
          </cell>
          <cell r="CJ13">
            <v>0</v>
          </cell>
          <cell r="CL13">
            <v>254841</v>
          </cell>
          <cell r="CN13">
            <v>0</v>
          </cell>
          <cell r="CP13">
            <v>254841</v>
          </cell>
          <cell r="CR13">
            <v>76213.039000000004</v>
          </cell>
          <cell r="CT13">
            <v>903312.04349999991</v>
          </cell>
          <cell r="CV13">
            <v>0</v>
          </cell>
          <cell r="CX13">
            <v>903312.04349999991</v>
          </cell>
          <cell r="FF13">
            <v>0</v>
          </cell>
          <cell r="FG13">
            <v>72.737499999999997</v>
          </cell>
          <cell r="FH13">
            <v>4569</v>
          </cell>
          <cell r="FI13">
            <v>492225.87800000003</v>
          </cell>
          <cell r="FJ13">
            <v>184884.5</v>
          </cell>
          <cell r="FK13">
            <v>184884.5</v>
          </cell>
          <cell r="FL13">
            <v>7273.2939999999999</v>
          </cell>
          <cell r="FN13">
            <v>869268.17200000002</v>
          </cell>
          <cell r="FO13">
            <v>0</v>
          </cell>
          <cell r="FP13">
            <v>372163.45852384064</v>
          </cell>
          <cell r="FQ13">
            <v>0</v>
          </cell>
          <cell r="FR13">
            <v>372163.45852384064</v>
          </cell>
          <cell r="FS13">
            <v>83754.096999999994</v>
          </cell>
          <cell r="FT13">
            <v>1329827.4650238408</v>
          </cell>
          <cell r="FU13">
            <v>0</v>
          </cell>
          <cell r="FV13">
            <v>1329827.4650238408</v>
          </cell>
          <cell r="FW13" t="str">
            <v>total-cost</v>
          </cell>
          <cell r="FX13">
            <v>869268.17200000002</v>
          </cell>
          <cell r="FY13">
            <v>372163.45852384064</v>
          </cell>
          <cell r="GA13">
            <v>1241431.6305238407</v>
          </cell>
          <cell r="GB13">
            <v>1258078.6090931019</v>
          </cell>
          <cell r="GC13">
            <v>1329827.4650238408</v>
          </cell>
          <cell r="GD13">
            <v>1347659.7876155614</v>
          </cell>
          <cell r="GE13">
            <v>88395.834500000114</v>
          </cell>
          <cell r="GF13">
            <v>4.3000727916576915</v>
          </cell>
          <cell r="GG13">
            <v>834613</v>
          </cell>
          <cell r="GH13">
            <v>-834613</v>
          </cell>
          <cell r="GT13" t="str">
            <v>{MENUBRANCH main}</v>
          </cell>
        </row>
        <row r="14">
          <cell r="A14" t="str">
            <v>Depreciation</v>
          </cell>
          <cell r="G14">
            <v>0</v>
          </cell>
          <cell r="I14">
            <v>0</v>
          </cell>
          <cell r="M14">
            <v>-3.9669471153846154</v>
          </cell>
          <cell r="O14">
            <v>-428</v>
          </cell>
          <cell r="Q14">
            <v>-54907.004000000001</v>
          </cell>
          <cell r="U14">
            <v>-54907.004000000001</v>
          </cell>
          <cell r="W14">
            <v>-20771.5</v>
          </cell>
          <cell r="X14">
            <v>-20771.5</v>
          </cell>
          <cell r="Z14">
            <v>-546.55600000000004</v>
          </cell>
          <cell r="AB14">
            <v>-80.430000000000007</v>
          </cell>
          <cell r="AD14">
            <v>-97076.99</v>
          </cell>
          <cell r="AL14">
            <v>-35176</v>
          </cell>
          <cell r="AN14">
            <v>0</v>
          </cell>
          <cell r="AP14">
            <v>-35176</v>
          </cell>
          <cell r="AR14">
            <v>-1266.8440000000001</v>
          </cell>
          <cell r="AT14">
            <v>-133951.80094711535</v>
          </cell>
          <cell r="AV14">
            <v>0</v>
          </cell>
          <cell r="AX14">
            <v>-133951.80094711535</v>
          </cell>
          <cell r="AY14">
            <v>0</v>
          </cell>
          <cell r="AZ14" t="str">
            <v>Depreciation</v>
          </cell>
          <cell r="BC14">
            <v>0</v>
          </cell>
          <cell r="BE14">
            <v>0</v>
          </cell>
          <cell r="BG14">
            <v>0</v>
          </cell>
          <cell r="BI14">
            <v>0</v>
          </cell>
          <cell r="BM14">
            <v>-15.066000000000001</v>
          </cell>
          <cell r="BO14">
            <v>-1337.5</v>
          </cell>
          <cell r="BQ14">
            <v>-137589.96799999999</v>
          </cell>
          <cell r="BU14">
            <v>-137589.96799999999</v>
          </cell>
          <cell r="BW14">
            <v>-53533</v>
          </cell>
          <cell r="BX14">
            <v>-53533</v>
          </cell>
          <cell r="BZ14">
            <v>-1706.154</v>
          </cell>
          <cell r="CB14">
            <v>0</v>
          </cell>
          <cell r="CD14">
            <v>-246362.122</v>
          </cell>
          <cell r="CH14">
            <v>0</v>
          </cell>
          <cell r="CJ14">
            <v>0</v>
          </cell>
          <cell r="CL14">
            <v>-97795</v>
          </cell>
          <cell r="CN14">
            <v>0</v>
          </cell>
          <cell r="CP14">
            <v>-97795</v>
          </cell>
          <cell r="CR14">
            <v>-4389.5519999999997</v>
          </cell>
          <cell r="CT14">
            <v>-349899.24</v>
          </cell>
          <cell r="CV14">
            <v>0</v>
          </cell>
          <cell r="CX14">
            <v>-349899.24</v>
          </cell>
          <cell r="DU14">
            <v>-17553</v>
          </cell>
          <cell r="FC14">
            <v>0</v>
          </cell>
          <cell r="FE14">
            <v>0</v>
          </cell>
          <cell r="FF14">
            <v>0</v>
          </cell>
          <cell r="FG14">
            <v>-16.502500000000001</v>
          </cell>
          <cell r="FH14">
            <v>-1762</v>
          </cell>
          <cell r="FI14">
            <v>-252037.40599999999</v>
          </cell>
          <cell r="FJ14">
            <v>-95140.5</v>
          </cell>
          <cell r="FK14">
            <v>-95140.5</v>
          </cell>
          <cell r="FL14">
            <v>-2079.0160000000001</v>
          </cell>
          <cell r="FM14">
            <v>0</v>
          </cell>
          <cell r="FN14">
            <v>-444397.42199999996</v>
          </cell>
          <cell r="FO14">
            <v>0</v>
          </cell>
          <cell r="FP14">
            <v>-155845</v>
          </cell>
          <cell r="FQ14">
            <v>0</v>
          </cell>
          <cell r="FR14">
            <v>-155845</v>
          </cell>
          <cell r="FS14">
            <v>-4815.6570000000002</v>
          </cell>
          <cell r="FT14">
            <v>-606836.58149999997</v>
          </cell>
          <cell r="FU14">
            <v>0</v>
          </cell>
          <cell r="FV14">
            <v>-606836.58149999997</v>
          </cell>
          <cell r="FW14" t="str">
            <v>Depreciation</v>
          </cell>
          <cell r="FX14">
            <v>-444397.42199999996</v>
          </cell>
          <cell r="FY14">
            <v>-155845</v>
          </cell>
          <cell r="GA14">
            <v>-600242.42200000002</v>
          </cell>
          <cell r="GB14">
            <v>-608291.37329921825</v>
          </cell>
          <cell r="GC14">
            <v>-606836.58149999997</v>
          </cell>
          <cell r="GD14">
            <v>-614973.95718698134</v>
          </cell>
          <cell r="GE14">
            <v>-6594.1594999999506</v>
          </cell>
          <cell r="GF14">
            <v>4.5302607147445615</v>
          </cell>
          <cell r="GG14">
            <v>-319946.32149902027</v>
          </cell>
          <cell r="GH14">
            <v>0</v>
          </cell>
        </row>
        <row r="15">
          <cell r="A15" t="str">
            <v>Total Fix.Assets</v>
          </cell>
          <cell r="C15">
            <v>0</v>
          </cell>
          <cell r="E15">
            <v>0</v>
          </cell>
          <cell r="G15">
            <v>0</v>
          </cell>
          <cell r="I15">
            <v>0</v>
          </cell>
          <cell r="M15">
            <v>13.518028846153845</v>
          </cell>
          <cell r="O15">
            <v>716</v>
          </cell>
          <cell r="Q15">
            <v>57576.672000000006</v>
          </cell>
          <cell r="S15">
            <v>0</v>
          </cell>
          <cell r="U15">
            <v>57576.672000000006</v>
          </cell>
          <cell r="W15">
            <v>21134</v>
          </cell>
          <cell r="X15">
            <v>21134</v>
          </cell>
          <cell r="Z15">
            <v>1350.23</v>
          </cell>
          <cell r="AB15">
            <v>1297.4079999999999</v>
          </cell>
          <cell r="AD15">
            <v>102492.31</v>
          </cell>
          <cell r="AH15">
            <v>0</v>
          </cell>
          <cell r="AJ15">
            <v>0</v>
          </cell>
          <cell r="AL15">
            <v>51483</v>
          </cell>
          <cell r="AN15">
            <v>0</v>
          </cell>
          <cell r="AP15">
            <v>51483</v>
          </cell>
          <cell r="AR15">
            <v>20600.337</v>
          </cell>
          <cell r="AT15">
            <v>175305.16502884624</v>
          </cell>
          <cell r="AV15">
            <v>0</v>
          </cell>
          <cell r="AX15">
            <v>175305.16502884624</v>
          </cell>
          <cell r="AY15">
            <v>0</v>
          </cell>
          <cell r="AZ15" t="str">
            <v>Total Fix.Assets</v>
          </cell>
          <cell r="BC15">
            <v>0</v>
          </cell>
          <cell r="BE15">
            <v>0</v>
          </cell>
          <cell r="BG15">
            <v>0</v>
          </cell>
          <cell r="BI15">
            <v>0</v>
          </cell>
          <cell r="BM15">
            <v>53.964500000000001</v>
          </cell>
          <cell r="BO15">
            <v>2431</v>
          </cell>
          <cell r="BQ15">
            <v>188934.837</v>
          </cell>
          <cell r="BS15">
            <v>0</v>
          </cell>
          <cell r="BU15">
            <v>188934.837</v>
          </cell>
          <cell r="BW15">
            <v>64395.5</v>
          </cell>
          <cell r="BX15">
            <v>64395.5</v>
          </cell>
          <cell r="BZ15">
            <v>4332.5149999999994</v>
          </cell>
          <cell r="CB15">
            <v>0</v>
          </cell>
          <cell r="CD15">
            <v>322058.35200000001</v>
          </cell>
          <cell r="CF15">
            <v>0</v>
          </cell>
          <cell r="CH15">
            <v>0</v>
          </cell>
          <cell r="CJ15">
            <v>0</v>
          </cell>
          <cell r="CL15">
            <v>157046</v>
          </cell>
          <cell r="CN15">
            <v>0</v>
          </cell>
          <cell r="CP15">
            <v>157046</v>
          </cell>
          <cell r="CR15">
            <v>71823.487000000008</v>
          </cell>
          <cell r="CT15">
            <v>553412.80349999992</v>
          </cell>
          <cell r="CV15">
            <v>0</v>
          </cell>
          <cell r="CX15">
            <v>553412.80349999992</v>
          </cell>
          <cell r="FC15">
            <v>0</v>
          </cell>
          <cell r="FD15">
            <v>0</v>
          </cell>
          <cell r="FE15">
            <v>0</v>
          </cell>
          <cell r="FF15">
            <v>0</v>
          </cell>
          <cell r="FG15">
            <v>56.234999999999999</v>
          </cell>
          <cell r="FH15">
            <v>2807</v>
          </cell>
          <cell r="FI15">
            <v>240188.47200000004</v>
          </cell>
          <cell r="FJ15">
            <v>89744</v>
          </cell>
          <cell r="FK15">
            <v>89744</v>
          </cell>
          <cell r="FL15">
            <v>5194.2780000000002</v>
          </cell>
          <cell r="FM15">
            <v>0</v>
          </cell>
          <cell r="FN15">
            <v>424870.75</v>
          </cell>
          <cell r="FO15">
            <v>0</v>
          </cell>
          <cell r="FP15">
            <v>216318.45852384064</v>
          </cell>
          <cell r="FQ15">
            <v>0</v>
          </cell>
          <cell r="FR15">
            <v>216318.45852384064</v>
          </cell>
          <cell r="FS15">
            <v>78938.44</v>
          </cell>
          <cell r="FT15">
            <v>722990.88352384081</v>
          </cell>
          <cell r="FU15">
            <v>0</v>
          </cell>
          <cell r="FV15">
            <v>722990.88352384081</v>
          </cell>
          <cell r="FW15" t="str">
            <v>Total Fix.Assets</v>
          </cell>
          <cell r="FX15">
            <v>424870.75</v>
          </cell>
          <cell r="FY15">
            <v>216318.45852384064</v>
          </cell>
          <cell r="FZ15">
            <v>0</v>
          </cell>
          <cell r="GA15">
            <v>641189.20852384064</v>
          </cell>
          <cell r="GB15">
            <v>649787.23579388368</v>
          </cell>
          <cell r="GC15">
            <v>722990.88352384081</v>
          </cell>
          <cell r="GD15">
            <v>732685.83042858006</v>
          </cell>
          <cell r="GE15">
            <v>81801.675000000163</v>
          </cell>
          <cell r="GF15">
            <v>4.124184723278824</v>
          </cell>
          <cell r="GG15">
            <v>514666.67850097973</v>
          </cell>
          <cell r="GH15">
            <v>0</v>
          </cell>
          <cell r="GT15" t="str">
            <v xml:space="preserve"> עורק שמ"מ </v>
          </cell>
        </row>
        <row r="16">
          <cell r="FX16">
            <v>0</v>
          </cell>
          <cell r="FY16">
            <v>0</v>
          </cell>
          <cell r="GA16">
            <v>0</v>
          </cell>
          <cell r="GB16">
            <v>0</v>
          </cell>
          <cell r="GC16">
            <v>0</v>
          </cell>
          <cell r="GD16">
            <v>0</v>
          </cell>
          <cell r="GE16">
            <v>0</v>
          </cell>
        </row>
        <row r="17">
          <cell r="A17" t="str">
            <v>INVESTMENTS</v>
          </cell>
          <cell r="AT17">
            <v>0</v>
          </cell>
          <cell r="AY17">
            <v>0</v>
          </cell>
          <cell r="AZ17" t="str">
            <v>INVESTMENTS</v>
          </cell>
          <cell r="BX17">
            <v>0</v>
          </cell>
          <cell r="CD17">
            <v>0</v>
          </cell>
          <cell r="FS17">
            <v>0</v>
          </cell>
          <cell r="FT17">
            <v>0</v>
          </cell>
          <cell r="FW17" t="str">
            <v>INVESTMENTS</v>
          </cell>
          <cell r="FX17">
            <v>0</v>
          </cell>
          <cell r="FY17">
            <v>0</v>
          </cell>
          <cell r="GA17">
            <v>0</v>
          </cell>
          <cell r="GB17">
            <v>0</v>
          </cell>
          <cell r="GC17">
            <v>0</v>
          </cell>
          <cell r="GD17">
            <v>0</v>
          </cell>
          <cell r="GE17">
            <v>0</v>
          </cell>
          <cell r="GF17" t="e">
            <v>#DIV/0!</v>
          </cell>
          <cell r="GH17">
            <v>0</v>
          </cell>
        </row>
        <row r="18">
          <cell r="A18" t="str">
            <v>G.C.&amp; CO.</v>
          </cell>
          <cell r="B18">
            <v>0.7</v>
          </cell>
          <cell r="C18">
            <v>-3591.5340000000001</v>
          </cell>
          <cell r="G18">
            <v>984.702</v>
          </cell>
          <cell r="I18">
            <v>-2606.8320000000003</v>
          </cell>
          <cell r="U18">
            <v>0</v>
          </cell>
          <cell r="AD18">
            <v>0</v>
          </cell>
          <cell r="AJ18">
            <v>0</v>
          </cell>
          <cell r="AP18">
            <v>0</v>
          </cell>
          <cell r="AR18">
            <v>0</v>
          </cell>
          <cell r="AT18">
            <v>-2606.8320000000003</v>
          </cell>
          <cell r="AV18">
            <v>2606.8320000000003</v>
          </cell>
          <cell r="AX18">
            <v>0</v>
          </cell>
          <cell r="AY18">
            <v>0</v>
          </cell>
          <cell r="AZ18" t="str">
            <v>G.C.&amp; CO.</v>
          </cell>
          <cell r="BA18">
            <v>0.7</v>
          </cell>
          <cell r="BC18">
            <v>-14783.111000000001</v>
          </cell>
          <cell r="BE18">
            <v>0</v>
          </cell>
          <cell r="BG18">
            <v>26872.384000000002</v>
          </cell>
          <cell r="BI18">
            <v>12089.273000000001</v>
          </cell>
          <cell r="BQ18">
            <v>0</v>
          </cell>
          <cell r="BU18">
            <v>0</v>
          </cell>
          <cell r="BX18">
            <v>0</v>
          </cell>
          <cell r="CD18">
            <v>0</v>
          </cell>
          <cell r="CF18">
            <v>0</v>
          </cell>
          <cell r="CH18">
            <v>0</v>
          </cell>
          <cell r="CJ18">
            <v>0</v>
          </cell>
          <cell r="CN18">
            <v>0</v>
          </cell>
          <cell r="CP18">
            <v>0</v>
          </cell>
          <cell r="CR18">
            <v>0</v>
          </cell>
          <cell r="CT18">
            <v>12089.273000000001</v>
          </cell>
          <cell r="CV18">
            <v>-12089.273000000001</v>
          </cell>
          <cell r="CX18">
            <v>0</v>
          </cell>
          <cell r="FC18">
            <v>11180.316000000001</v>
          </cell>
          <cell r="FF18">
            <v>11180.316000000001</v>
          </cell>
          <cell r="FR18">
            <v>0</v>
          </cell>
          <cell r="FS18">
            <v>0</v>
          </cell>
          <cell r="FT18">
            <v>11180.316000000001</v>
          </cell>
          <cell r="FU18">
            <v>-11180.316000000001</v>
          </cell>
          <cell r="FV18">
            <v>0</v>
          </cell>
          <cell r="FW18" t="str">
            <v>G.C.&amp; CO.</v>
          </cell>
          <cell r="FX18">
            <v>0</v>
          </cell>
          <cell r="FY18">
            <v>0</v>
          </cell>
          <cell r="GA18">
            <v>0</v>
          </cell>
          <cell r="GB18">
            <v>0</v>
          </cell>
          <cell r="GC18">
            <v>0</v>
          </cell>
          <cell r="GD18">
            <v>0</v>
          </cell>
          <cell r="GE18">
            <v>0</v>
          </cell>
          <cell r="GF18" t="e">
            <v>#DIV/0!</v>
          </cell>
          <cell r="GH18">
            <v>0</v>
          </cell>
        </row>
        <row r="19">
          <cell r="A19" t="str">
            <v xml:space="preserve"> long term loans</v>
          </cell>
          <cell r="I19">
            <v>0</v>
          </cell>
          <cell r="U19">
            <v>0</v>
          </cell>
          <cell r="AD19">
            <v>0</v>
          </cell>
          <cell r="AJ19">
            <v>0</v>
          </cell>
          <cell r="AN19">
            <v>0</v>
          </cell>
          <cell r="AP19">
            <v>0</v>
          </cell>
          <cell r="AR19">
            <v>0</v>
          </cell>
          <cell r="AT19">
            <v>0</v>
          </cell>
          <cell r="AV19">
            <v>0</v>
          </cell>
          <cell r="AX19">
            <v>0</v>
          </cell>
          <cell r="AY19">
            <v>0</v>
          </cell>
          <cell r="AZ19" t="str">
            <v xml:space="preserve"> long term loans</v>
          </cell>
          <cell r="BC19">
            <v>0</v>
          </cell>
          <cell r="BE19">
            <v>0</v>
          </cell>
          <cell r="BG19">
            <v>0</v>
          </cell>
          <cell r="BI19">
            <v>0</v>
          </cell>
          <cell r="BQ19">
            <v>0</v>
          </cell>
          <cell r="BU19">
            <v>0</v>
          </cell>
          <cell r="BX19">
            <v>0</v>
          </cell>
          <cell r="CD19">
            <v>0</v>
          </cell>
          <cell r="CF19">
            <v>0</v>
          </cell>
          <cell r="CH19">
            <v>0</v>
          </cell>
          <cell r="CJ19">
            <v>0</v>
          </cell>
          <cell r="CP19">
            <v>0</v>
          </cell>
          <cell r="CR19">
            <v>0</v>
          </cell>
          <cell r="CT19">
            <v>0</v>
          </cell>
          <cell r="CV19">
            <v>0</v>
          </cell>
          <cell r="CX19">
            <v>0</v>
          </cell>
          <cell r="FF19">
            <v>0</v>
          </cell>
          <cell r="FN19">
            <v>0</v>
          </cell>
          <cell r="FO19">
            <v>0</v>
          </cell>
          <cell r="FQ19">
            <v>0</v>
          </cell>
          <cell r="FR19">
            <v>0</v>
          </cell>
          <cell r="FS19">
            <v>0</v>
          </cell>
          <cell r="FT19">
            <v>0</v>
          </cell>
          <cell r="FU19">
            <v>0</v>
          </cell>
          <cell r="FV19">
            <v>0</v>
          </cell>
          <cell r="FW19" t="str">
            <v xml:space="preserve"> long term loans</v>
          </cell>
          <cell r="FX19">
            <v>0</v>
          </cell>
          <cell r="FY19">
            <v>0</v>
          </cell>
          <cell r="GA19">
            <v>0</v>
          </cell>
          <cell r="GB19">
            <v>0</v>
          </cell>
          <cell r="GC19">
            <v>0</v>
          </cell>
          <cell r="GD19">
            <v>0</v>
          </cell>
          <cell r="GE19">
            <v>0</v>
          </cell>
          <cell r="GF19" t="e">
            <v>#DIV/0!</v>
          </cell>
          <cell r="GH19">
            <v>0</v>
          </cell>
        </row>
        <row r="20">
          <cell r="A20" t="str">
            <v xml:space="preserve"> accumulated profit</v>
          </cell>
          <cell r="C20">
            <v>33834.866000000002</v>
          </cell>
          <cell r="I20">
            <v>33834.866000000002</v>
          </cell>
          <cell r="U20">
            <v>0</v>
          </cell>
          <cell r="AD20">
            <v>0</v>
          </cell>
          <cell r="AJ20">
            <v>0</v>
          </cell>
          <cell r="AP20">
            <v>0</v>
          </cell>
          <cell r="AR20">
            <v>0</v>
          </cell>
          <cell r="AT20">
            <v>33834.866000000002</v>
          </cell>
          <cell r="AV20">
            <v>-33834.866000000002</v>
          </cell>
          <cell r="AX20">
            <v>0</v>
          </cell>
          <cell r="AY20">
            <v>0</v>
          </cell>
          <cell r="AZ20" t="str">
            <v xml:space="preserve"> accumulated profit</v>
          </cell>
          <cell r="BC20">
            <v>99863.627999999997</v>
          </cell>
          <cell r="BE20">
            <v>0</v>
          </cell>
          <cell r="BG20">
            <v>0</v>
          </cell>
          <cell r="BI20">
            <v>99863.627999999997</v>
          </cell>
          <cell r="BQ20">
            <v>0</v>
          </cell>
          <cell r="BU20">
            <v>0</v>
          </cell>
          <cell r="BX20">
            <v>0</v>
          </cell>
          <cell r="CD20">
            <v>0</v>
          </cell>
          <cell r="CF20">
            <v>0</v>
          </cell>
          <cell r="CH20">
            <v>0</v>
          </cell>
          <cell r="CJ20">
            <v>0</v>
          </cell>
          <cell r="CP20">
            <v>0</v>
          </cell>
          <cell r="CR20">
            <v>0</v>
          </cell>
          <cell r="CT20">
            <v>99863.627999999997</v>
          </cell>
          <cell r="CV20">
            <v>-99863.627999999997</v>
          </cell>
          <cell r="CX20">
            <v>0</v>
          </cell>
          <cell r="FC20">
            <v>137520.64990202483</v>
          </cell>
          <cell r="FF20">
            <v>137520.64990202483</v>
          </cell>
          <cell r="FN20">
            <v>0</v>
          </cell>
          <cell r="FO20">
            <v>0</v>
          </cell>
          <cell r="FR20">
            <v>0</v>
          </cell>
          <cell r="FS20">
            <v>0</v>
          </cell>
          <cell r="FT20">
            <v>137520.64990202483</v>
          </cell>
          <cell r="FU20">
            <v>-137520.64990202483</v>
          </cell>
          <cell r="FV20">
            <v>0</v>
          </cell>
          <cell r="FW20" t="str">
            <v xml:space="preserve"> accumulated profit</v>
          </cell>
          <cell r="FX20">
            <v>0</v>
          </cell>
          <cell r="FY20">
            <v>0</v>
          </cell>
          <cell r="GA20">
            <v>0</v>
          </cell>
          <cell r="GB20">
            <v>0</v>
          </cell>
          <cell r="GC20">
            <v>0</v>
          </cell>
          <cell r="GD20">
            <v>0</v>
          </cell>
          <cell r="GE20">
            <v>0</v>
          </cell>
          <cell r="GF20" t="e">
            <v>#DIV/0!</v>
          </cell>
          <cell r="GH20">
            <v>0</v>
          </cell>
          <cell r="GT20" t="str">
            <v xml:space="preserve">דוח דולר  </v>
          </cell>
        </row>
        <row r="21">
          <cell r="A21" t="str">
            <v xml:space="preserve"> profit-(equity method)</v>
          </cell>
          <cell r="C21">
            <v>13677</v>
          </cell>
          <cell r="E21" t="str">
            <v xml:space="preserve"> </v>
          </cell>
          <cell r="G21">
            <v>4397</v>
          </cell>
          <cell r="I21">
            <v>18074</v>
          </cell>
          <cell r="U21">
            <v>0</v>
          </cell>
          <cell r="AD21">
            <v>0</v>
          </cell>
          <cell r="AJ21">
            <v>0</v>
          </cell>
          <cell r="AP21">
            <v>0</v>
          </cell>
          <cell r="AR21">
            <v>0</v>
          </cell>
          <cell r="AT21">
            <v>18074</v>
          </cell>
          <cell r="AV21">
            <v>-18074</v>
          </cell>
          <cell r="AX21">
            <v>0</v>
          </cell>
          <cell r="AY21">
            <v>0</v>
          </cell>
          <cell r="AZ21" t="str">
            <v xml:space="preserve"> profit-(equity method)</v>
          </cell>
          <cell r="BC21">
            <v>31186</v>
          </cell>
          <cell r="BE21">
            <v>0</v>
          </cell>
          <cell r="BG21">
            <v>-758</v>
          </cell>
          <cell r="BI21">
            <v>30428</v>
          </cell>
          <cell r="BQ21">
            <v>0</v>
          </cell>
          <cell r="BU21">
            <v>0</v>
          </cell>
          <cell r="BX21">
            <v>0</v>
          </cell>
          <cell r="CD21">
            <v>0</v>
          </cell>
          <cell r="CF21">
            <v>0</v>
          </cell>
          <cell r="CH21">
            <v>0</v>
          </cell>
          <cell r="CJ21">
            <v>0</v>
          </cell>
          <cell r="CP21">
            <v>0</v>
          </cell>
          <cell r="CR21">
            <v>0</v>
          </cell>
          <cell r="CT21">
            <v>30428</v>
          </cell>
          <cell r="CV21">
            <v>-30428</v>
          </cell>
          <cell r="CX21">
            <v>0</v>
          </cell>
          <cell r="FC21">
            <v>44193</v>
          </cell>
          <cell r="FE21">
            <v>1019</v>
          </cell>
          <cell r="FF21">
            <v>45212</v>
          </cell>
          <cell r="FN21">
            <v>0</v>
          </cell>
          <cell r="FO21">
            <v>0</v>
          </cell>
          <cell r="FR21">
            <v>0</v>
          </cell>
          <cell r="FS21">
            <v>0</v>
          </cell>
          <cell r="FT21">
            <v>45212</v>
          </cell>
          <cell r="FU21">
            <v>-45212</v>
          </cell>
          <cell r="FV21">
            <v>0</v>
          </cell>
          <cell r="FW21" t="str">
            <v xml:space="preserve"> profit-(equity method)</v>
          </cell>
          <cell r="FX21">
            <v>0</v>
          </cell>
          <cell r="FY21">
            <v>0</v>
          </cell>
          <cell r="GA21">
            <v>0</v>
          </cell>
          <cell r="GB21">
            <v>0</v>
          </cell>
          <cell r="GC21">
            <v>0</v>
          </cell>
          <cell r="GD21">
            <v>0</v>
          </cell>
          <cell r="GE21">
            <v>0</v>
          </cell>
          <cell r="GF21" t="e">
            <v>#DIV/0!</v>
          </cell>
          <cell r="GH21">
            <v>0</v>
          </cell>
        </row>
        <row r="22">
          <cell r="A22" t="str">
            <v xml:space="preserve"> s. IEDIOT accumulated loss</v>
          </cell>
          <cell r="C22">
            <v>-735</v>
          </cell>
          <cell r="I22">
            <v>-735</v>
          </cell>
          <cell r="U22">
            <v>0</v>
          </cell>
          <cell r="AD22">
            <v>0</v>
          </cell>
          <cell r="AJ22">
            <v>0</v>
          </cell>
          <cell r="AP22">
            <v>0</v>
          </cell>
          <cell r="AT22">
            <v>-735</v>
          </cell>
          <cell r="AV22">
            <v>735</v>
          </cell>
          <cell r="AX22">
            <v>0</v>
          </cell>
          <cell r="AY22">
            <v>0</v>
          </cell>
          <cell r="AZ22" t="str">
            <v xml:space="preserve"> s. IEDIOT accumulated loss</v>
          </cell>
          <cell r="BC22">
            <v>-2458.9899999999998</v>
          </cell>
          <cell r="BG22">
            <v>0</v>
          </cell>
          <cell r="BI22">
            <v>-2458.9899999999998</v>
          </cell>
          <cell r="BU22">
            <v>0</v>
          </cell>
          <cell r="BX22">
            <v>0</v>
          </cell>
          <cell r="CD22">
            <v>0</v>
          </cell>
          <cell r="CJ22">
            <v>0</v>
          </cell>
          <cell r="CP22">
            <v>0</v>
          </cell>
          <cell r="CT22">
            <v>-2458.9899999999998</v>
          </cell>
          <cell r="CV22">
            <v>2458.9899999999998</v>
          </cell>
          <cell r="CX22">
            <v>0</v>
          </cell>
          <cell r="FC22">
            <v>-2791.5806662312216</v>
          </cell>
          <cell r="FF22">
            <v>-2791.5806662312216</v>
          </cell>
          <cell r="FN22">
            <v>0</v>
          </cell>
          <cell r="FO22">
            <v>0</v>
          </cell>
          <cell r="FR22">
            <v>0</v>
          </cell>
          <cell r="FS22">
            <v>0</v>
          </cell>
          <cell r="FT22">
            <v>-2791.5806662312216</v>
          </cell>
          <cell r="FU22">
            <v>2791.5806662312216</v>
          </cell>
          <cell r="FV22">
            <v>0</v>
          </cell>
          <cell r="FW22" t="str">
            <v xml:space="preserve"> s. IEDIOT accumulated loss</v>
          </cell>
          <cell r="FX22">
            <v>0</v>
          </cell>
          <cell r="FY22">
            <v>0</v>
          </cell>
          <cell r="GA22">
            <v>0</v>
          </cell>
          <cell r="GB22">
            <v>0</v>
          </cell>
          <cell r="GC22">
            <v>0</v>
          </cell>
          <cell r="GD22">
            <v>0</v>
          </cell>
          <cell r="GE22">
            <v>0</v>
          </cell>
          <cell r="GF22" t="e">
            <v>#DIV/0!</v>
          </cell>
          <cell r="GH22">
            <v>0</v>
          </cell>
        </row>
        <row r="23">
          <cell r="A23" t="str">
            <v xml:space="preserve"> s. IEDIOT loss-(equity method)</v>
          </cell>
          <cell r="G23">
            <v>-245</v>
          </cell>
          <cell r="I23">
            <v>-245</v>
          </cell>
          <cell r="U23">
            <v>0</v>
          </cell>
          <cell r="AD23">
            <v>0</v>
          </cell>
          <cell r="AJ23">
            <v>0</v>
          </cell>
          <cell r="AP23">
            <v>0</v>
          </cell>
          <cell r="AT23">
            <v>-245</v>
          </cell>
          <cell r="AV23">
            <v>245</v>
          </cell>
          <cell r="AX23">
            <v>0</v>
          </cell>
          <cell r="AY23">
            <v>0</v>
          </cell>
          <cell r="AZ23" t="str">
            <v xml:space="preserve"> s. IEDIOT loss-(equity method)</v>
          </cell>
          <cell r="BG23">
            <v>-1019.2</v>
          </cell>
          <cell r="BI23">
            <v>-1019.2</v>
          </cell>
          <cell r="BX23">
            <v>0</v>
          </cell>
          <cell r="CD23">
            <v>0</v>
          </cell>
          <cell r="CT23">
            <v>-1019.2</v>
          </cell>
          <cell r="CV23">
            <v>1019.2</v>
          </cell>
          <cell r="CX23">
            <v>0</v>
          </cell>
          <cell r="FE23">
            <v>-1019.2</v>
          </cell>
          <cell r="FF23">
            <v>-1019.2</v>
          </cell>
          <cell r="FN23">
            <v>0</v>
          </cell>
          <cell r="FR23">
            <v>0</v>
          </cell>
          <cell r="FS23">
            <v>0</v>
          </cell>
          <cell r="FT23">
            <v>-1019.2</v>
          </cell>
          <cell r="FU23">
            <v>1019.2</v>
          </cell>
          <cell r="FV23">
            <v>0</v>
          </cell>
          <cell r="FW23" t="str">
            <v xml:space="preserve"> s. IEDIOT loss-(equity method)</v>
          </cell>
          <cell r="FX23">
            <v>0</v>
          </cell>
          <cell r="FY23">
            <v>0</v>
          </cell>
          <cell r="GA23">
            <v>0</v>
          </cell>
          <cell r="GB23">
            <v>0</v>
          </cell>
          <cell r="GC23">
            <v>0</v>
          </cell>
          <cell r="GD23">
            <v>0</v>
          </cell>
          <cell r="GE23">
            <v>0</v>
          </cell>
          <cell r="GF23" t="e">
            <v>#DIV/0!</v>
          </cell>
          <cell r="GH23">
            <v>0</v>
          </cell>
        </row>
        <row r="24">
          <cell r="B24" t="str">
            <v xml:space="preserve">total </v>
          </cell>
          <cell r="C24">
            <v>43185.332000000002</v>
          </cell>
          <cell r="E24">
            <v>0</v>
          </cell>
          <cell r="G24">
            <v>5136.7020000000002</v>
          </cell>
          <cell r="I24">
            <v>48322.034</v>
          </cell>
          <cell r="M24">
            <v>0</v>
          </cell>
          <cell r="O24">
            <v>0</v>
          </cell>
          <cell r="Q24">
            <v>0</v>
          </cell>
          <cell r="S24">
            <v>0</v>
          </cell>
          <cell r="U24">
            <v>0</v>
          </cell>
          <cell r="Z24">
            <v>0</v>
          </cell>
          <cell r="AB24">
            <v>0</v>
          </cell>
          <cell r="AD24">
            <v>0</v>
          </cell>
          <cell r="AF24">
            <v>0</v>
          </cell>
          <cell r="AH24">
            <v>0</v>
          </cell>
          <cell r="AJ24">
            <v>0</v>
          </cell>
          <cell r="AL24">
            <v>0</v>
          </cell>
          <cell r="AN24">
            <v>0</v>
          </cell>
          <cell r="AP24">
            <v>0</v>
          </cell>
          <cell r="AR24">
            <v>0</v>
          </cell>
          <cell r="AT24">
            <v>48322.034</v>
          </cell>
          <cell r="AV24">
            <v>-48322.034</v>
          </cell>
          <cell r="AX24">
            <v>0</v>
          </cell>
          <cell r="AY24">
            <v>0</v>
          </cell>
          <cell r="BA24" t="str">
            <v xml:space="preserve">total </v>
          </cell>
          <cell r="BC24">
            <v>113807.52699999999</v>
          </cell>
          <cell r="BE24">
            <v>0</v>
          </cell>
          <cell r="BG24">
            <v>25095.184000000001</v>
          </cell>
          <cell r="BI24">
            <v>138902.71100000001</v>
          </cell>
          <cell r="BO24">
            <v>0</v>
          </cell>
          <cell r="BQ24">
            <v>0</v>
          </cell>
          <cell r="BS24">
            <v>0</v>
          </cell>
          <cell r="BU24">
            <v>0</v>
          </cell>
          <cell r="BX24">
            <v>0</v>
          </cell>
          <cell r="BZ24">
            <v>0</v>
          </cell>
          <cell r="CB24">
            <v>0</v>
          </cell>
          <cell r="CD24">
            <v>0</v>
          </cell>
          <cell r="CF24">
            <v>0</v>
          </cell>
          <cell r="CH24">
            <v>0</v>
          </cell>
          <cell r="CJ24">
            <v>0</v>
          </cell>
          <cell r="CL24">
            <v>0</v>
          </cell>
          <cell r="CN24">
            <v>0</v>
          </cell>
          <cell r="CP24">
            <v>0</v>
          </cell>
          <cell r="CR24">
            <v>0</v>
          </cell>
          <cell r="CT24">
            <v>138902.71100000001</v>
          </cell>
          <cell r="CV24">
            <v>-138902.71100000001</v>
          </cell>
          <cell r="CX24">
            <v>0</v>
          </cell>
          <cell r="FC24">
            <v>190102.3852357936</v>
          </cell>
          <cell r="FE24">
            <v>-0.19999999999993179</v>
          </cell>
          <cell r="FF24">
            <v>190102.18523579359</v>
          </cell>
          <cell r="FI24">
            <v>0</v>
          </cell>
          <cell r="FL24">
            <v>0</v>
          </cell>
          <cell r="FM24">
            <v>0</v>
          </cell>
          <cell r="FN24">
            <v>0</v>
          </cell>
          <cell r="FO24">
            <v>0</v>
          </cell>
          <cell r="FQ24">
            <v>0</v>
          </cell>
          <cell r="FR24">
            <v>0</v>
          </cell>
          <cell r="FS24">
            <v>0</v>
          </cell>
          <cell r="FT24">
            <v>190102.18523579359</v>
          </cell>
          <cell r="FU24">
            <v>-190102.18523579359</v>
          </cell>
          <cell r="FV24">
            <v>0</v>
          </cell>
          <cell r="FX24">
            <v>0</v>
          </cell>
          <cell r="FY24">
            <v>0</v>
          </cell>
          <cell r="FZ24">
            <v>0</v>
          </cell>
          <cell r="GA24">
            <v>0</v>
          </cell>
          <cell r="GB24">
            <v>0</v>
          </cell>
          <cell r="GC24">
            <v>0</v>
          </cell>
          <cell r="GD24">
            <v>0</v>
          </cell>
          <cell r="GE24">
            <v>0</v>
          </cell>
          <cell r="GF24" t="e">
            <v>#DIV/0!</v>
          </cell>
          <cell r="GG24">
            <v>0</v>
          </cell>
          <cell r="GH24">
            <v>0</v>
          </cell>
        </row>
        <row r="25">
          <cell r="A25" t="str">
            <v>IDAN</v>
          </cell>
          <cell r="B25">
            <v>0.75</v>
          </cell>
          <cell r="Q25">
            <v>4.5</v>
          </cell>
          <cell r="U25">
            <v>4.5</v>
          </cell>
          <cell r="W25">
            <v>-4.5</v>
          </cell>
          <cell r="AD25">
            <v>0</v>
          </cell>
          <cell r="AJ25">
            <v>0</v>
          </cell>
          <cell r="AP25">
            <v>0</v>
          </cell>
          <cell r="AT25">
            <v>0</v>
          </cell>
          <cell r="AV25">
            <v>0</v>
          </cell>
          <cell r="AX25">
            <v>0</v>
          </cell>
          <cell r="AY25">
            <v>0</v>
          </cell>
          <cell r="AZ25" t="str">
            <v>IDAN</v>
          </cell>
          <cell r="BA25">
            <v>0.5</v>
          </cell>
          <cell r="BQ25">
            <v>7.5</v>
          </cell>
          <cell r="BU25">
            <v>7.5</v>
          </cell>
          <cell r="BW25">
            <v>-7.5</v>
          </cell>
          <cell r="BX25">
            <v>0</v>
          </cell>
          <cell r="CD25">
            <v>0</v>
          </cell>
          <cell r="CT25">
            <v>0</v>
          </cell>
          <cell r="CX25">
            <v>0</v>
          </cell>
          <cell r="FI25">
            <v>27.7</v>
          </cell>
          <cell r="FJ25">
            <v>-27.7</v>
          </cell>
          <cell r="FN25">
            <v>0</v>
          </cell>
          <cell r="FS25">
            <v>0</v>
          </cell>
          <cell r="FT25">
            <v>0</v>
          </cell>
          <cell r="FU25">
            <v>0</v>
          </cell>
          <cell r="FV25">
            <v>0</v>
          </cell>
          <cell r="FW25" t="str">
            <v>IDAN</v>
          </cell>
          <cell r="FX25">
            <v>0</v>
          </cell>
          <cell r="FY25">
            <v>0</v>
          </cell>
          <cell r="GA25">
            <v>0</v>
          </cell>
          <cell r="GB25">
            <v>0</v>
          </cell>
          <cell r="GC25">
            <v>0</v>
          </cell>
          <cell r="GD25">
            <v>0</v>
          </cell>
          <cell r="GE25">
            <v>0</v>
          </cell>
          <cell r="GF25" t="e">
            <v>#DIV/0!</v>
          </cell>
          <cell r="GH25">
            <v>0</v>
          </cell>
        </row>
        <row r="26">
          <cell r="A26" t="str">
            <v xml:space="preserve"> long term loans</v>
          </cell>
          <cell r="Q26">
            <v>188</v>
          </cell>
          <cell r="U26">
            <v>188</v>
          </cell>
          <cell r="W26">
            <v>-188</v>
          </cell>
          <cell r="AD26">
            <v>0</v>
          </cell>
          <cell r="AP26">
            <v>0</v>
          </cell>
          <cell r="AT26">
            <v>0</v>
          </cell>
          <cell r="AX26">
            <v>0</v>
          </cell>
          <cell r="AY26">
            <v>0</v>
          </cell>
          <cell r="AZ26" t="str">
            <v xml:space="preserve"> long term loans</v>
          </cell>
          <cell r="BQ26">
            <v>784.28300000000002</v>
          </cell>
          <cell r="BU26">
            <v>784.28300000000002</v>
          </cell>
          <cell r="BW26">
            <v>-784.28300000000002</v>
          </cell>
          <cell r="BX26">
            <v>0</v>
          </cell>
          <cell r="CD26">
            <v>0</v>
          </cell>
          <cell r="CT26">
            <v>0</v>
          </cell>
          <cell r="CX26">
            <v>0</v>
          </cell>
          <cell r="FF26">
            <v>0</v>
          </cell>
          <cell r="FI26">
            <v>784.28300000000002</v>
          </cell>
          <cell r="FJ26">
            <v>-784.28300000000002</v>
          </cell>
          <cell r="FN26">
            <v>0</v>
          </cell>
          <cell r="FR26">
            <v>0</v>
          </cell>
          <cell r="FS26">
            <v>0</v>
          </cell>
          <cell r="FT26">
            <v>0</v>
          </cell>
          <cell r="FU26">
            <v>0</v>
          </cell>
          <cell r="FV26">
            <v>0</v>
          </cell>
          <cell r="FW26" t="str">
            <v xml:space="preserve"> long term loans</v>
          </cell>
          <cell r="FX26">
            <v>0</v>
          </cell>
          <cell r="FY26">
            <v>0</v>
          </cell>
          <cell r="GA26">
            <v>0</v>
          </cell>
          <cell r="GB26">
            <v>0</v>
          </cell>
          <cell r="GC26">
            <v>0</v>
          </cell>
          <cell r="GD26">
            <v>0</v>
          </cell>
          <cell r="GE26">
            <v>0</v>
          </cell>
          <cell r="GF26" t="e">
            <v>#DIV/0!</v>
          </cell>
          <cell r="GH26">
            <v>0</v>
          </cell>
        </row>
        <row r="27">
          <cell r="A27" t="str">
            <v xml:space="preserve"> accumulated profit</v>
          </cell>
          <cell r="Q27">
            <v>11223.25</v>
          </cell>
          <cell r="U27">
            <v>11223.25</v>
          </cell>
          <cell r="W27">
            <v>-11223.25</v>
          </cell>
          <cell r="AD27">
            <v>0</v>
          </cell>
          <cell r="AP27">
            <v>0</v>
          </cell>
          <cell r="AT27">
            <v>0</v>
          </cell>
          <cell r="AX27">
            <v>0</v>
          </cell>
          <cell r="AY27">
            <v>0</v>
          </cell>
          <cell r="AZ27" t="str">
            <v xml:space="preserve"> accumulated profit</v>
          </cell>
          <cell r="BQ27">
            <v>10619</v>
          </cell>
          <cell r="BU27">
            <v>10619</v>
          </cell>
          <cell r="BW27">
            <v>-10619</v>
          </cell>
          <cell r="BX27">
            <v>0</v>
          </cell>
          <cell r="CD27">
            <v>0</v>
          </cell>
          <cell r="CT27">
            <v>0</v>
          </cell>
          <cell r="CX27">
            <v>0</v>
          </cell>
          <cell r="FF27">
            <v>0</v>
          </cell>
          <cell r="FI27">
            <v>49741.858</v>
          </cell>
          <cell r="FJ27">
            <v>-49741.858</v>
          </cell>
          <cell r="FN27">
            <v>0</v>
          </cell>
          <cell r="FR27">
            <v>0</v>
          </cell>
          <cell r="FS27">
            <v>0</v>
          </cell>
          <cell r="FT27">
            <v>0</v>
          </cell>
          <cell r="FU27">
            <v>0</v>
          </cell>
          <cell r="FV27">
            <v>0</v>
          </cell>
          <cell r="FW27" t="str">
            <v xml:space="preserve"> accumulated profit</v>
          </cell>
          <cell r="FX27">
            <v>0</v>
          </cell>
          <cell r="FY27">
            <v>0</v>
          </cell>
          <cell r="GA27">
            <v>0</v>
          </cell>
          <cell r="GB27">
            <v>0</v>
          </cell>
          <cell r="GC27">
            <v>0</v>
          </cell>
          <cell r="GD27">
            <v>0</v>
          </cell>
          <cell r="GE27">
            <v>0</v>
          </cell>
          <cell r="GF27" t="e">
            <v>#DIV/0!</v>
          </cell>
          <cell r="GH27">
            <v>0</v>
          </cell>
        </row>
        <row r="28">
          <cell r="A28" t="str">
            <v xml:space="preserve"> profit-(equity method)</v>
          </cell>
          <cell r="Q28">
            <v>-5924.5</v>
          </cell>
          <cell r="U28">
            <v>-5924.5</v>
          </cell>
          <cell r="W28">
            <v>5924.5</v>
          </cell>
          <cell r="AD28">
            <v>0</v>
          </cell>
          <cell r="AP28">
            <v>0</v>
          </cell>
          <cell r="AT28">
            <v>0</v>
          </cell>
          <cell r="AV28">
            <v>0</v>
          </cell>
          <cell r="AX28">
            <v>0</v>
          </cell>
          <cell r="AY28">
            <v>0</v>
          </cell>
          <cell r="AZ28" t="str">
            <v xml:space="preserve"> profit-(equity method)</v>
          </cell>
          <cell r="BQ28">
            <v>-25673</v>
          </cell>
          <cell r="BU28">
            <v>-25673</v>
          </cell>
          <cell r="BW28">
            <v>25673</v>
          </cell>
          <cell r="BX28">
            <v>0</v>
          </cell>
          <cell r="CD28">
            <v>0</v>
          </cell>
          <cell r="CT28">
            <v>0</v>
          </cell>
          <cell r="CX28">
            <v>0</v>
          </cell>
          <cell r="FF28">
            <v>0</v>
          </cell>
          <cell r="FI28">
            <v>-26083.058000000001</v>
          </cell>
          <cell r="FJ28">
            <v>26083.058000000001</v>
          </cell>
          <cell r="FN28">
            <v>0</v>
          </cell>
          <cell r="FS28">
            <v>0</v>
          </cell>
          <cell r="FT28">
            <v>0</v>
          </cell>
          <cell r="FU28">
            <v>0</v>
          </cell>
          <cell r="FV28">
            <v>0</v>
          </cell>
          <cell r="FW28" t="str">
            <v xml:space="preserve"> profit-(equity method)</v>
          </cell>
          <cell r="FX28">
            <v>0</v>
          </cell>
          <cell r="FY28">
            <v>0</v>
          </cell>
          <cell r="GA28">
            <v>0</v>
          </cell>
          <cell r="GB28">
            <v>0</v>
          </cell>
          <cell r="GC28">
            <v>0</v>
          </cell>
          <cell r="GD28">
            <v>0</v>
          </cell>
          <cell r="GE28">
            <v>0</v>
          </cell>
          <cell r="GF28" t="e">
            <v>#DIV/0!</v>
          </cell>
          <cell r="GH28">
            <v>0</v>
          </cell>
        </row>
        <row r="29">
          <cell r="A29" t="str">
            <v>GOODWILL</v>
          </cell>
          <cell r="Q29">
            <v>82508.133000000002</v>
          </cell>
          <cell r="U29">
            <v>82508.133000000002</v>
          </cell>
          <cell r="AB29">
            <v>-1297.4079999999999</v>
          </cell>
          <cell r="AD29">
            <v>81210.725000000006</v>
          </cell>
          <cell r="AP29">
            <v>0</v>
          </cell>
          <cell r="AT29">
            <v>81210.725000000006</v>
          </cell>
          <cell r="AV29">
            <v>-81210.725000000006</v>
          </cell>
          <cell r="AX29">
            <v>0</v>
          </cell>
          <cell r="AY29">
            <v>0</v>
          </cell>
          <cell r="AZ29" t="str">
            <v>GOODWILL</v>
          </cell>
          <cell r="BQ29">
            <v>351680.27600000001</v>
          </cell>
          <cell r="BU29">
            <v>351680.27600000001</v>
          </cell>
          <cell r="BX29">
            <v>0</v>
          </cell>
          <cell r="CD29">
            <v>351680.27600000001</v>
          </cell>
          <cell r="CT29">
            <v>351680.27600000001</v>
          </cell>
          <cell r="CV29">
            <v>-351680.27600000001</v>
          </cell>
          <cell r="CX29">
            <v>0</v>
          </cell>
          <cell r="FF29">
            <v>0</v>
          </cell>
          <cell r="FI29">
            <v>328376.951</v>
          </cell>
          <cell r="FN29">
            <v>328376.951</v>
          </cell>
          <cell r="FR29">
            <v>0</v>
          </cell>
          <cell r="FS29">
            <v>0</v>
          </cell>
          <cell r="FT29">
            <v>328376.951</v>
          </cell>
          <cell r="FU29">
            <v>-328376.951</v>
          </cell>
          <cell r="FV29">
            <v>0</v>
          </cell>
          <cell r="FW29" t="str">
            <v>GOODWILL</v>
          </cell>
          <cell r="FX29">
            <v>328376.951</v>
          </cell>
          <cell r="FY29">
            <v>0</v>
          </cell>
          <cell r="FZ29">
            <v>-328376.951</v>
          </cell>
          <cell r="GA29">
            <v>0</v>
          </cell>
          <cell r="GB29">
            <v>0</v>
          </cell>
          <cell r="GC29">
            <v>0</v>
          </cell>
          <cell r="GD29">
            <v>0</v>
          </cell>
          <cell r="GE29">
            <v>0</v>
          </cell>
          <cell r="GF29" t="e">
            <v>#DIV/0!</v>
          </cell>
          <cell r="GH29">
            <v>0</v>
          </cell>
        </row>
        <row r="30">
          <cell r="A30" t="str">
            <v>TOTAL</v>
          </cell>
          <cell r="Q30">
            <v>87999.383000000002</v>
          </cell>
          <cell r="S30">
            <v>0</v>
          </cell>
          <cell r="U30">
            <v>87999.383000000002</v>
          </cell>
          <cell r="W30">
            <v>-5491.25</v>
          </cell>
          <cell r="Z30">
            <v>0</v>
          </cell>
          <cell r="AB30">
            <v>-1297.4079999999999</v>
          </cell>
          <cell r="AD30">
            <v>81210.725000000006</v>
          </cell>
          <cell r="AF30">
            <v>0</v>
          </cell>
          <cell r="AH30">
            <v>0</v>
          </cell>
          <cell r="AJ30">
            <v>0</v>
          </cell>
          <cell r="AL30">
            <v>0</v>
          </cell>
          <cell r="AN30">
            <v>0</v>
          </cell>
          <cell r="AP30">
            <v>0</v>
          </cell>
          <cell r="AR30">
            <v>0</v>
          </cell>
          <cell r="AT30">
            <v>81210.725000000006</v>
          </cell>
          <cell r="AV30">
            <v>-81210.725000000006</v>
          </cell>
          <cell r="AX30">
            <v>0</v>
          </cell>
          <cell r="AY30">
            <v>0</v>
          </cell>
          <cell r="AZ30" t="str">
            <v>TOTAL</v>
          </cell>
          <cell r="BC30">
            <v>0</v>
          </cell>
          <cell r="BE30">
            <v>0</v>
          </cell>
          <cell r="BG30">
            <v>0</v>
          </cell>
          <cell r="BI30">
            <v>0</v>
          </cell>
          <cell r="BQ30">
            <v>337418.05900000001</v>
          </cell>
          <cell r="BS30">
            <v>0</v>
          </cell>
          <cell r="BU30">
            <v>337418.05900000001</v>
          </cell>
          <cell r="BW30">
            <v>14262.217000000001</v>
          </cell>
          <cell r="BX30">
            <v>0</v>
          </cell>
          <cell r="CB30">
            <v>0</v>
          </cell>
          <cell r="CD30">
            <v>351680.27600000001</v>
          </cell>
          <cell r="CL30">
            <v>0</v>
          </cell>
          <cell r="CT30">
            <v>351680.27600000001</v>
          </cell>
          <cell r="CV30">
            <v>-351680.27600000001</v>
          </cell>
          <cell r="CX30">
            <v>0</v>
          </cell>
          <cell r="FC30">
            <v>0</v>
          </cell>
          <cell r="FF30">
            <v>0</v>
          </cell>
          <cell r="FI30">
            <v>352847.734</v>
          </cell>
          <cell r="FJ30">
            <v>-24470.782999999999</v>
          </cell>
          <cell r="FM30">
            <v>0</v>
          </cell>
          <cell r="FN30">
            <v>328376.951</v>
          </cell>
          <cell r="FQ30">
            <v>0</v>
          </cell>
          <cell r="FR30">
            <v>0</v>
          </cell>
          <cell r="FS30">
            <v>0</v>
          </cell>
          <cell r="FT30">
            <v>328376.951</v>
          </cell>
          <cell r="FU30">
            <v>-328376.951</v>
          </cell>
          <cell r="FV30">
            <v>0</v>
          </cell>
          <cell r="FW30" t="str">
            <v>TOTAL</v>
          </cell>
          <cell r="FX30">
            <v>328376.951</v>
          </cell>
          <cell r="FY30">
            <v>0</v>
          </cell>
          <cell r="FZ30">
            <v>-328376.951</v>
          </cell>
          <cell r="GA30">
            <v>0</v>
          </cell>
          <cell r="GB30">
            <v>0</v>
          </cell>
          <cell r="GC30">
            <v>0</v>
          </cell>
          <cell r="GD30">
            <v>0</v>
          </cell>
          <cell r="GE30">
            <v>0</v>
          </cell>
          <cell r="GF30" t="e">
            <v>#DIV/0!</v>
          </cell>
          <cell r="GH30">
            <v>0</v>
          </cell>
        </row>
        <row r="31">
          <cell r="AT31">
            <v>0</v>
          </cell>
          <cell r="AY31">
            <v>0</v>
          </cell>
          <cell r="BX31">
            <v>0</v>
          </cell>
          <cell r="CD31">
            <v>0</v>
          </cell>
          <cell r="CT31">
            <v>0</v>
          </cell>
          <cell r="FN31">
            <v>0</v>
          </cell>
          <cell r="FS31">
            <v>0</v>
          </cell>
          <cell r="FX31">
            <v>0</v>
          </cell>
          <cell r="FY31">
            <v>0</v>
          </cell>
          <cell r="GA31">
            <v>0</v>
          </cell>
          <cell r="GB31">
            <v>0</v>
          </cell>
          <cell r="GC31">
            <v>0</v>
          </cell>
          <cell r="GD31">
            <v>0</v>
          </cell>
          <cell r="GE31">
            <v>0</v>
          </cell>
          <cell r="GF31" t="e">
            <v>#DIV/0!</v>
          </cell>
          <cell r="GH31">
            <v>0</v>
          </cell>
        </row>
        <row r="32">
          <cell r="A32" t="str">
            <v>ICP-shares</v>
          </cell>
          <cell r="B32">
            <v>0.3</v>
          </cell>
          <cell r="I32">
            <v>0</v>
          </cell>
          <cell r="Q32">
            <v>14.6</v>
          </cell>
          <cell r="U32">
            <v>14.6</v>
          </cell>
          <cell r="W32">
            <v>164</v>
          </cell>
          <cell r="X32">
            <v>164</v>
          </cell>
          <cell r="AD32">
            <v>342.6</v>
          </cell>
          <cell r="AF32">
            <v>0</v>
          </cell>
          <cell r="AH32">
            <v>0</v>
          </cell>
          <cell r="AJ32">
            <v>0</v>
          </cell>
          <cell r="AP32">
            <v>0</v>
          </cell>
          <cell r="AR32">
            <v>0</v>
          </cell>
          <cell r="AT32">
            <v>342.6</v>
          </cell>
          <cell r="AV32">
            <v>0</v>
          </cell>
          <cell r="AX32">
            <v>342.6</v>
          </cell>
          <cell r="AY32">
            <v>0</v>
          </cell>
          <cell r="AZ32" t="str">
            <v>ICP-shares</v>
          </cell>
          <cell r="BA32">
            <v>0.3</v>
          </cell>
          <cell r="BC32">
            <v>0</v>
          </cell>
          <cell r="BG32">
            <v>0</v>
          </cell>
          <cell r="BI32">
            <v>0</v>
          </cell>
          <cell r="BQ32">
            <v>27</v>
          </cell>
          <cell r="BU32">
            <v>27</v>
          </cell>
          <cell r="BW32">
            <v>-54</v>
          </cell>
          <cell r="BX32">
            <v>-54</v>
          </cell>
          <cell r="CD32">
            <v>-81</v>
          </cell>
          <cell r="CF32">
            <v>0</v>
          </cell>
          <cell r="CH32">
            <v>0</v>
          </cell>
          <cell r="CJ32">
            <v>0</v>
          </cell>
          <cell r="CP32">
            <v>0</v>
          </cell>
          <cell r="CR32">
            <v>0</v>
          </cell>
          <cell r="CT32">
            <v>-81</v>
          </cell>
          <cell r="CV32">
            <v>0</v>
          </cell>
          <cell r="CX32">
            <v>-81</v>
          </cell>
          <cell r="FC32">
            <v>0</v>
          </cell>
          <cell r="FF32">
            <v>0</v>
          </cell>
          <cell r="FI32">
            <v>79.5</v>
          </cell>
          <cell r="FJ32">
            <v>417</v>
          </cell>
          <cell r="FK32">
            <v>417</v>
          </cell>
          <cell r="FN32">
            <v>913.5</v>
          </cell>
          <cell r="FO32">
            <v>0</v>
          </cell>
          <cell r="FR32">
            <v>0</v>
          </cell>
          <cell r="FS32">
            <v>0</v>
          </cell>
          <cell r="FT32">
            <v>913.5</v>
          </cell>
          <cell r="FU32">
            <v>0</v>
          </cell>
          <cell r="FV32">
            <v>913.5</v>
          </cell>
          <cell r="FW32" t="str">
            <v>ICP-shares</v>
          </cell>
          <cell r="FX32">
            <v>913.5</v>
          </cell>
          <cell r="FY32">
            <v>0</v>
          </cell>
          <cell r="GA32">
            <v>913.5</v>
          </cell>
          <cell r="GB32">
            <v>925.74957907396265</v>
          </cell>
          <cell r="GC32">
            <v>913.5</v>
          </cell>
          <cell r="GD32">
            <v>925.74957907396265</v>
          </cell>
          <cell r="GE32">
            <v>0</v>
          </cell>
          <cell r="GF32">
            <v>2.666374781085814</v>
          </cell>
          <cell r="GG32">
            <v>79.612187459177022</v>
          </cell>
          <cell r="GH32">
            <v>0</v>
          </cell>
        </row>
        <row r="33">
          <cell r="A33" t="str">
            <v xml:space="preserve"> long term loans</v>
          </cell>
          <cell r="I33">
            <v>0</v>
          </cell>
          <cell r="Q33">
            <v>486.709</v>
          </cell>
          <cell r="U33">
            <v>486.709</v>
          </cell>
          <cell r="W33">
            <v>162</v>
          </cell>
          <cell r="X33">
            <v>162</v>
          </cell>
          <cell r="AD33">
            <v>810.70900000000006</v>
          </cell>
          <cell r="AF33">
            <v>0</v>
          </cell>
          <cell r="AH33">
            <v>0</v>
          </cell>
          <cell r="AJ33">
            <v>0</v>
          </cell>
          <cell r="AP33">
            <v>0</v>
          </cell>
          <cell r="AR33">
            <v>0</v>
          </cell>
          <cell r="AT33">
            <v>810.70900000000006</v>
          </cell>
          <cell r="AV33">
            <v>0</v>
          </cell>
          <cell r="AX33">
            <v>810.70900000000006</v>
          </cell>
          <cell r="AY33">
            <v>0</v>
          </cell>
          <cell r="AZ33" t="str">
            <v xml:space="preserve"> long term loans</v>
          </cell>
          <cell r="BG33">
            <v>0</v>
          </cell>
          <cell r="BI33">
            <v>0</v>
          </cell>
          <cell r="BQ33">
            <v>2025</v>
          </cell>
          <cell r="BU33">
            <v>2025</v>
          </cell>
          <cell r="BW33">
            <v>675</v>
          </cell>
          <cell r="BX33">
            <v>675</v>
          </cell>
          <cell r="CD33">
            <v>3375</v>
          </cell>
          <cell r="CF33">
            <v>0</v>
          </cell>
          <cell r="CH33">
            <v>0</v>
          </cell>
          <cell r="CJ33">
            <v>0</v>
          </cell>
          <cell r="CP33">
            <v>0</v>
          </cell>
          <cell r="CR33">
            <v>0</v>
          </cell>
          <cell r="CT33">
            <v>3375</v>
          </cell>
          <cell r="CV33">
            <v>0</v>
          </cell>
          <cell r="CX33">
            <v>3375</v>
          </cell>
          <cell r="FC33">
            <v>0</v>
          </cell>
          <cell r="FF33">
            <v>0</v>
          </cell>
          <cell r="FI33">
            <v>2025</v>
          </cell>
          <cell r="FJ33">
            <v>675</v>
          </cell>
          <cell r="FK33">
            <v>675</v>
          </cell>
          <cell r="FN33">
            <v>3375</v>
          </cell>
          <cell r="FO33">
            <v>0</v>
          </cell>
          <cell r="FR33">
            <v>0</v>
          </cell>
          <cell r="FS33">
            <v>0</v>
          </cell>
          <cell r="FT33">
            <v>3375</v>
          </cell>
          <cell r="FU33">
            <v>0</v>
          </cell>
          <cell r="FV33">
            <v>3375</v>
          </cell>
          <cell r="FW33" t="str">
            <v xml:space="preserve"> long term loans</v>
          </cell>
          <cell r="FX33">
            <v>3375</v>
          </cell>
          <cell r="FY33">
            <v>0</v>
          </cell>
          <cell r="GA33">
            <v>3375</v>
          </cell>
          <cell r="GB33">
            <v>3420.2570655441968</v>
          </cell>
          <cell r="GC33">
            <v>3375</v>
          </cell>
          <cell r="GD33">
            <v>3420.2570655441968</v>
          </cell>
          <cell r="GE33">
            <v>0</v>
          </cell>
          <cell r="GF33">
            <v>4.1630227368883279</v>
          </cell>
          <cell r="GG33">
            <v>1935.6683828606779</v>
          </cell>
          <cell r="GH33">
            <v>0</v>
          </cell>
        </row>
        <row r="34">
          <cell r="A34" t="str">
            <v xml:space="preserve"> accumulated profit</v>
          </cell>
          <cell r="Q34">
            <v>1161</v>
          </cell>
          <cell r="U34">
            <v>1161</v>
          </cell>
          <cell r="AD34">
            <v>1161</v>
          </cell>
          <cell r="AJ34">
            <v>0</v>
          </cell>
          <cell r="AP34">
            <v>0</v>
          </cell>
          <cell r="AT34">
            <v>1161</v>
          </cell>
          <cell r="AX34">
            <v>1161</v>
          </cell>
          <cell r="AY34">
            <v>0</v>
          </cell>
          <cell r="AZ34" t="str">
            <v xml:space="preserve"> accumulated profit</v>
          </cell>
          <cell r="BQ34">
            <v>3204.6</v>
          </cell>
          <cell r="BU34">
            <v>3204.6</v>
          </cell>
          <cell r="BX34">
            <v>0</v>
          </cell>
          <cell r="CD34">
            <v>3204.6</v>
          </cell>
          <cell r="CJ34">
            <v>0</v>
          </cell>
          <cell r="CP34">
            <v>0</v>
          </cell>
          <cell r="CT34">
            <v>3204.6</v>
          </cell>
          <cell r="CV34">
            <v>0</v>
          </cell>
          <cell r="CX34">
            <v>3204.6</v>
          </cell>
          <cell r="FC34">
            <v>0</v>
          </cell>
          <cell r="FF34">
            <v>0</v>
          </cell>
          <cell r="FI34">
            <v>4640.634</v>
          </cell>
          <cell r="FN34">
            <v>4640.634</v>
          </cell>
          <cell r="FO34">
            <v>0</v>
          </cell>
          <cell r="FR34">
            <v>0</v>
          </cell>
          <cell r="FS34">
            <v>0</v>
          </cell>
          <cell r="FT34">
            <v>4640.634</v>
          </cell>
          <cell r="FU34">
            <v>0</v>
          </cell>
          <cell r="FV34">
            <v>4640.634</v>
          </cell>
          <cell r="FW34" t="str">
            <v xml:space="preserve"> accumulated profit</v>
          </cell>
          <cell r="FX34">
            <v>4640.634</v>
          </cell>
          <cell r="FY34">
            <v>0</v>
          </cell>
          <cell r="GA34">
            <v>4640.634</v>
          </cell>
          <cell r="GB34">
            <v>4702.8625858087789</v>
          </cell>
          <cell r="GC34">
            <v>4640.634</v>
          </cell>
          <cell r="GD34">
            <v>4702.8625858087789</v>
          </cell>
          <cell r="GE34">
            <v>0</v>
          </cell>
          <cell r="GF34">
            <v>3.9971007751937986</v>
          </cell>
          <cell r="GG34">
            <v>4474.0057393431171</v>
          </cell>
          <cell r="GH34">
            <v>0</v>
          </cell>
        </row>
        <row r="35">
          <cell r="A35" t="str">
            <v xml:space="preserve"> profit-(equity method)</v>
          </cell>
          <cell r="I35">
            <v>0</v>
          </cell>
          <cell r="Q35">
            <v>-313.3</v>
          </cell>
          <cell r="S35">
            <v>0</v>
          </cell>
          <cell r="U35">
            <v>-313.3</v>
          </cell>
          <cell r="AD35">
            <v>-313.3</v>
          </cell>
          <cell r="AF35">
            <v>0</v>
          </cell>
          <cell r="AH35">
            <v>0</v>
          </cell>
          <cell r="AJ35">
            <v>0</v>
          </cell>
          <cell r="AP35">
            <v>0</v>
          </cell>
          <cell r="AR35">
            <v>0</v>
          </cell>
          <cell r="AT35">
            <v>-313.3</v>
          </cell>
          <cell r="AV35">
            <v>0</v>
          </cell>
          <cell r="AX35">
            <v>-313.3</v>
          </cell>
          <cell r="AY35">
            <v>0</v>
          </cell>
          <cell r="AZ35" t="str">
            <v xml:space="preserve"> profit-(equity method)</v>
          </cell>
          <cell r="BC35">
            <v>0</v>
          </cell>
          <cell r="BG35">
            <v>0</v>
          </cell>
          <cell r="BI35">
            <v>0</v>
          </cell>
          <cell r="BQ35">
            <v>-3610.6</v>
          </cell>
          <cell r="BU35">
            <v>-3610.6</v>
          </cell>
          <cell r="BX35">
            <v>0</v>
          </cell>
          <cell r="CD35">
            <v>-3610.6</v>
          </cell>
          <cell r="CF35">
            <v>0</v>
          </cell>
          <cell r="CH35">
            <v>0</v>
          </cell>
          <cell r="CJ35">
            <v>0</v>
          </cell>
          <cell r="CP35">
            <v>0</v>
          </cell>
          <cell r="CR35">
            <v>0</v>
          </cell>
          <cell r="CT35">
            <v>-3610.6</v>
          </cell>
          <cell r="CV35">
            <v>0</v>
          </cell>
          <cell r="CX35">
            <v>-3610.6</v>
          </cell>
          <cell r="FC35">
            <v>0</v>
          </cell>
          <cell r="FF35">
            <v>0</v>
          </cell>
          <cell r="FI35">
            <v>-2689.9</v>
          </cell>
          <cell r="FN35">
            <v>-2689.9</v>
          </cell>
          <cell r="FO35">
            <v>0</v>
          </cell>
          <cell r="FR35">
            <v>0</v>
          </cell>
          <cell r="FS35">
            <v>0</v>
          </cell>
          <cell r="FT35">
            <v>-2689.9</v>
          </cell>
          <cell r="FU35">
            <v>0</v>
          </cell>
          <cell r="FV35">
            <v>-2689.9</v>
          </cell>
          <cell r="FW35" t="str">
            <v xml:space="preserve"> profit-(equity method)</v>
          </cell>
          <cell r="FX35">
            <v>-2689.9</v>
          </cell>
          <cell r="FY35">
            <v>0</v>
          </cell>
          <cell r="GA35">
            <v>-2689.9</v>
          </cell>
          <cell r="GB35">
            <v>-2725.9702164762475</v>
          </cell>
          <cell r="GC35">
            <v>-2689.9</v>
          </cell>
          <cell r="GD35">
            <v>-2725.9702164762475</v>
          </cell>
          <cell r="GE35">
            <v>0</v>
          </cell>
          <cell r="GF35">
            <v>8.5857006064474941</v>
          </cell>
          <cell r="GG35">
            <v>188.19140696648486</v>
          </cell>
          <cell r="GH35">
            <v>0</v>
          </cell>
        </row>
        <row r="36">
          <cell r="B36" t="str">
            <v xml:space="preserve">total </v>
          </cell>
          <cell r="C36">
            <v>0</v>
          </cell>
          <cell r="E36">
            <v>0</v>
          </cell>
          <cell r="G36">
            <v>0</v>
          </cell>
          <cell r="I36">
            <v>0</v>
          </cell>
          <cell r="M36">
            <v>0</v>
          </cell>
          <cell r="O36">
            <v>0</v>
          </cell>
          <cell r="Q36">
            <v>1349.009</v>
          </cell>
          <cell r="S36">
            <v>0</v>
          </cell>
          <cell r="U36">
            <v>1349.009</v>
          </cell>
          <cell r="W36">
            <v>326</v>
          </cell>
          <cell r="X36">
            <v>326</v>
          </cell>
          <cell r="Z36">
            <v>0</v>
          </cell>
          <cell r="AB36">
            <v>0</v>
          </cell>
          <cell r="AD36">
            <v>2001.0090000000002</v>
          </cell>
          <cell r="AF36">
            <v>0</v>
          </cell>
          <cell r="AH36">
            <v>0</v>
          </cell>
          <cell r="AJ36">
            <v>0</v>
          </cell>
          <cell r="AL36">
            <v>0</v>
          </cell>
          <cell r="AN36">
            <v>0</v>
          </cell>
          <cell r="AP36">
            <v>0</v>
          </cell>
          <cell r="AR36">
            <v>0</v>
          </cell>
          <cell r="AT36">
            <v>2001.0090000000002</v>
          </cell>
          <cell r="AV36">
            <v>0</v>
          </cell>
          <cell r="AX36">
            <v>2001.0090000000002</v>
          </cell>
          <cell r="AY36">
            <v>0</v>
          </cell>
          <cell r="BA36" t="str">
            <v xml:space="preserve">total </v>
          </cell>
          <cell r="BC36">
            <v>0</v>
          </cell>
          <cell r="BE36">
            <v>0</v>
          </cell>
          <cell r="BG36">
            <v>0</v>
          </cell>
          <cell r="BI36">
            <v>0</v>
          </cell>
          <cell r="BO36">
            <v>0</v>
          </cell>
          <cell r="BQ36">
            <v>1646</v>
          </cell>
          <cell r="BS36">
            <v>0</v>
          </cell>
          <cell r="BU36">
            <v>1646</v>
          </cell>
          <cell r="BW36">
            <v>621</v>
          </cell>
          <cell r="BX36">
            <v>621</v>
          </cell>
          <cell r="BZ36">
            <v>0</v>
          </cell>
          <cell r="CB36">
            <v>0</v>
          </cell>
          <cell r="CD36">
            <v>2888</v>
          </cell>
          <cell r="CF36">
            <v>0</v>
          </cell>
          <cell r="CH36">
            <v>0</v>
          </cell>
          <cell r="CJ36">
            <v>0</v>
          </cell>
          <cell r="CL36">
            <v>0</v>
          </cell>
          <cell r="CP36">
            <v>0</v>
          </cell>
          <cell r="CR36">
            <v>0</v>
          </cell>
          <cell r="CT36">
            <v>2888</v>
          </cell>
          <cell r="CV36">
            <v>0</v>
          </cell>
          <cell r="CX36">
            <v>2888</v>
          </cell>
          <cell r="FC36">
            <v>0</v>
          </cell>
          <cell r="FE36">
            <v>0</v>
          </cell>
          <cell r="FF36">
            <v>0</v>
          </cell>
          <cell r="FI36">
            <v>4055.2339999999999</v>
          </cell>
          <cell r="FJ36">
            <v>1092</v>
          </cell>
          <cell r="FK36">
            <v>1092</v>
          </cell>
          <cell r="FM36">
            <v>0</v>
          </cell>
          <cell r="FN36">
            <v>6239.2340000000004</v>
          </cell>
          <cell r="FO36">
            <v>0</v>
          </cell>
          <cell r="FQ36">
            <v>0</v>
          </cell>
          <cell r="FR36">
            <v>0</v>
          </cell>
          <cell r="FS36">
            <v>0</v>
          </cell>
          <cell r="FT36">
            <v>6239.2340000000004</v>
          </cell>
          <cell r="FU36">
            <v>0</v>
          </cell>
          <cell r="FV36">
            <v>6239.2340000000004</v>
          </cell>
          <cell r="FX36">
            <v>6239.2340000000004</v>
          </cell>
          <cell r="FY36">
            <v>0</v>
          </cell>
          <cell r="FZ36">
            <v>0</v>
          </cell>
          <cell r="GA36">
            <v>6239.2340000000004</v>
          </cell>
          <cell r="GB36">
            <v>6322.8990139506914</v>
          </cell>
          <cell r="GC36">
            <v>6239.2340000000004</v>
          </cell>
          <cell r="GD36">
            <v>6322.8990139506914</v>
          </cell>
          <cell r="GE36">
            <v>0</v>
          </cell>
          <cell r="GF36">
            <v>3.1180439468288248</v>
          </cell>
          <cell r="GG36">
            <v>6677.4777166294571</v>
          </cell>
          <cell r="GH36">
            <v>0</v>
          </cell>
        </row>
        <row r="37">
          <cell r="A37" t="str">
            <v>G. LINES-shares</v>
          </cell>
          <cell r="B37">
            <v>0.25</v>
          </cell>
          <cell r="C37">
            <v>3000.395</v>
          </cell>
          <cell r="I37">
            <v>3000.395</v>
          </cell>
          <cell r="U37">
            <v>0</v>
          </cell>
          <cell r="AD37">
            <v>0</v>
          </cell>
          <cell r="AJ37">
            <v>0</v>
          </cell>
          <cell r="AP37">
            <v>0</v>
          </cell>
          <cell r="AT37">
            <v>3000.395</v>
          </cell>
          <cell r="AX37">
            <v>3000.395</v>
          </cell>
          <cell r="AY37">
            <v>0</v>
          </cell>
          <cell r="AZ37" t="str">
            <v>G. LINES-shares</v>
          </cell>
          <cell r="BA37">
            <v>0.25</v>
          </cell>
          <cell r="BC37">
            <v>10208.061</v>
          </cell>
          <cell r="BI37">
            <v>10208.061</v>
          </cell>
          <cell r="BU37">
            <v>0</v>
          </cell>
          <cell r="BX37">
            <v>0</v>
          </cell>
          <cell r="CD37">
            <v>0</v>
          </cell>
          <cell r="CJ37">
            <v>0</v>
          </cell>
          <cell r="CP37">
            <v>0</v>
          </cell>
          <cell r="CT37">
            <v>10208.061</v>
          </cell>
          <cell r="CX37">
            <v>10208.061</v>
          </cell>
          <cell r="FC37">
            <v>11481.325930764207</v>
          </cell>
          <cell r="FF37">
            <v>11481.325930764207</v>
          </cell>
          <cell r="FN37">
            <v>0</v>
          </cell>
          <cell r="FO37">
            <v>0</v>
          </cell>
          <cell r="FR37">
            <v>0</v>
          </cell>
          <cell r="FS37">
            <v>0</v>
          </cell>
          <cell r="FT37">
            <v>11481.325930764207</v>
          </cell>
          <cell r="FV37">
            <v>11481.325930764207</v>
          </cell>
          <cell r="FW37" t="str">
            <v>G. LINES-shares</v>
          </cell>
          <cell r="FX37">
            <v>0</v>
          </cell>
          <cell r="FY37">
            <v>0</v>
          </cell>
          <cell r="GA37">
            <v>0</v>
          </cell>
          <cell r="GB37">
            <v>0</v>
          </cell>
          <cell r="GC37">
            <v>11481.325930764207</v>
          </cell>
          <cell r="GD37">
            <v>11635.284781188766</v>
          </cell>
          <cell r="GE37">
            <v>11481.325930764207</v>
          </cell>
          <cell r="GF37">
            <v>3.8266048072884429</v>
          </cell>
          <cell r="GG37">
            <v>11481.48777726976</v>
          </cell>
          <cell r="GH37">
            <v>0</v>
          </cell>
        </row>
        <row r="38">
          <cell r="A38" t="str">
            <v xml:space="preserve"> long term loans (index)</v>
          </cell>
          <cell r="C38">
            <v>736.54499999999996</v>
          </cell>
          <cell r="G38">
            <v>-25.857559999999999</v>
          </cell>
          <cell r="I38">
            <v>710.68743999999992</v>
          </cell>
          <cell r="U38">
            <v>0</v>
          </cell>
          <cell r="AD38">
            <v>0</v>
          </cell>
          <cell r="AJ38">
            <v>0</v>
          </cell>
          <cell r="AP38">
            <v>0</v>
          </cell>
          <cell r="AT38">
            <v>710.68743999999992</v>
          </cell>
          <cell r="AX38">
            <v>710.68743999999992</v>
          </cell>
          <cell r="AY38">
            <v>0</v>
          </cell>
          <cell r="AZ38" t="str">
            <v xml:space="preserve"> long term loans</v>
          </cell>
          <cell r="BC38">
            <v>2832.0149999999999</v>
          </cell>
          <cell r="BG38">
            <v>124.44499999999999</v>
          </cell>
          <cell r="BI38">
            <v>2956.46</v>
          </cell>
          <cell r="BU38">
            <v>0</v>
          </cell>
          <cell r="BX38">
            <v>0</v>
          </cell>
          <cell r="CD38">
            <v>0</v>
          </cell>
          <cell r="CJ38">
            <v>0</v>
          </cell>
          <cell r="CP38">
            <v>0</v>
          </cell>
          <cell r="CT38">
            <v>2956.46</v>
          </cell>
          <cell r="CX38">
            <v>2956.46</v>
          </cell>
          <cell r="FC38">
            <v>2956.46</v>
          </cell>
          <cell r="FF38">
            <v>2956.46</v>
          </cell>
          <cell r="FN38">
            <v>0</v>
          </cell>
          <cell r="FO38">
            <v>0</v>
          </cell>
          <cell r="FR38">
            <v>0</v>
          </cell>
          <cell r="FS38">
            <v>0</v>
          </cell>
          <cell r="FT38">
            <v>2956.46</v>
          </cell>
          <cell r="FV38">
            <v>2956.46</v>
          </cell>
          <cell r="FW38" t="str">
            <v xml:space="preserve"> long term loans (index)</v>
          </cell>
          <cell r="FX38">
            <v>0</v>
          </cell>
          <cell r="FY38">
            <v>0</v>
          </cell>
          <cell r="GA38">
            <v>0</v>
          </cell>
          <cell r="GB38">
            <v>0</v>
          </cell>
          <cell r="GC38">
            <v>2956.46</v>
          </cell>
          <cell r="GD38">
            <v>2996.1046530366807</v>
          </cell>
          <cell r="GE38">
            <v>2956.46</v>
          </cell>
          <cell r="GF38">
            <v>4.1600003512092467</v>
          </cell>
          <cell r="GG38">
            <v>2956.7770005310836</v>
          </cell>
          <cell r="GH38">
            <v>0</v>
          </cell>
        </row>
        <row r="39">
          <cell r="A39" t="str">
            <v xml:space="preserve"> long term loans $</v>
          </cell>
          <cell r="C39">
            <v>10563.864</v>
          </cell>
          <cell r="G39">
            <v>113.33150000000001</v>
          </cell>
          <cell r="I39">
            <v>10677.1955</v>
          </cell>
          <cell r="U39">
            <v>0</v>
          </cell>
          <cell r="AD39">
            <v>0</v>
          </cell>
          <cell r="AJ39">
            <v>0</v>
          </cell>
          <cell r="AP39">
            <v>0</v>
          </cell>
          <cell r="AT39">
            <v>10677.1955</v>
          </cell>
          <cell r="AX39">
            <v>10677.1955</v>
          </cell>
          <cell r="AY39">
            <v>0</v>
          </cell>
          <cell r="AZ39" t="str">
            <v xml:space="preserve"> long term loans</v>
          </cell>
          <cell r="BC39">
            <v>40618.059000000001</v>
          </cell>
          <cell r="BG39">
            <v>3799.0748699999999</v>
          </cell>
          <cell r="BI39">
            <v>44417.133869999998</v>
          </cell>
          <cell r="BU39">
            <v>0</v>
          </cell>
          <cell r="BX39">
            <v>0</v>
          </cell>
          <cell r="CD39">
            <v>0</v>
          </cell>
          <cell r="CJ39">
            <v>0</v>
          </cell>
          <cell r="CP39">
            <v>0</v>
          </cell>
          <cell r="CT39">
            <v>44417.133869999998</v>
          </cell>
          <cell r="CX39">
            <v>44417.133869999998</v>
          </cell>
          <cell r="FC39">
            <v>44417.133999999998</v>
          </cell>
          <cell r="FF39">
            <v>44417.133999999998</v>
          </cell>
          <cell r="FN39">
            <v>0</v>
          </cell>
          <cell r="FO39">
            <v>0</v>
          </cell>
          <cell r="FR39">
            <v>0</v>
          </cell>
          <cell r="FS39">
            <v>0</v>
          </cell>
          <cell r="FT39">
            <v>44417.133999999998</v>
          </cell>
          <cell r="FV39">
            <v>44417.133999999998</v>
          </cell>
          <cell r="FW39" t="str">
            <v xml:space="preserve"> long term loans $</v>
          </cell>
          <cell r="FX39">
            <v>0</v>
          </cell>
          <cell r="FY39">
            <v>0</v>
          </cell>
          <cell r="GA39">
            <v>0</v>
          </cell>
          <cell r="GB39">
            <v>0</v>
          </cell>
          <cell r="GC39">
            <v>44417.133999999998</v>
          </cell>
          <cell r="GD39">
            <v>45012.745598436552</v>
          </cell>
          <cell r="GE39">
            <v>44417.133999999998</v>
          </cell>
          <cell r="GF39">
            <v>4.1600000674334376</v>
          </cell>
          <cell r="GG39">
            <v>11564.964728935338</v>
          </cell>
          <cell r="GH39">
            <v>0</v>
          </cell>
        </row>
        <row r="40">
          <cell r="A40" t="str">
            <v xml:space="preserve"> accumulated loss</v>
          </cell>
          <cell r="C40">
            <v>-8484.25</v>
          </cell>
          <cell r="I40">
            <v>-8484.25</v>
          </cell>
          <cell r="U40">
            <v>0</v>
          </cell>
          <cell r="AD40">
            <v>0</v>
          </cell>
          <cell r="AJ40">
            <v>0</v>
          </cell>
          <cell r="AP40">
            <v>0</v>
          </cell>
          <cell r="AT40">
            <v>-8484.25</v>
          </cell>
          <cell r="AX40">
            <v>-8484</v>
          </cell>
          <cell r="AY40">
            <v>-0.25</v>
          </cell>
          <cell r="AZ40" t="str">
            <v xml:space="preserve"> accumulated loss</v>
          </cell>
          <cell r="BC40">
            <v>-30299.5</v>
          </cell>
          <cell r="BI40">
            <v>-30299.5</v>
          </cell>
          <cell r="BU40">
            <v>0</v>
          </cell>
          <cell r="BX40">
            <v>0</v>
          </cell>
          <cell r="CD40">
            <v>0</v>
          </cell>
          <cell r="CJ40">
            <v>0</v>
          </cell>
          <cell r="CP40">
            <v>0</v>
          </cell>
          <cell r="CT40">
            <v>-30299.5</v>
          </cell>
          <cell r="CX40">
            <v>-30299.5</v>
          </cell>
          <cell r="FC40">
            <v>-32650.631613324629</v>
          </cell>
          <cell r="FF40">
            <v>-32650.631613324629</v>
          </cell>
          <cell r="FN40">
            <v>0</v>
          </cell>
          <cell r="FO40">
            <v>0</v>
          </cell>
          <cell r="FR40">
            <v>0</v>
          </cell>
          <cell r="FS40">
            <v>0</v>
          </cell>
          <cell r="FT40">
            <v>-32650.631613324629</v>
          </cell>
          <cell r="FV40">
            <v>-32651</v>
          </cell>
          <cell r="FW40" t="str">
            <v xml:space="preserve"> accumulated loss</v>
          </cell>
          <cell r="FX40">
            <v>0</v>
          </cell>
          <cell r="FY40">
            <v>0</v>
          </cell>
          <cell r="GA40">
            <v>0</v>
          </cell>
          <cell r="GB40">
            <v>0</v>
          </cell>
          <cell r="GC40">
            <v>-32651</v>
          </cell>
          <cell r="GD40">
            <v>-33088.833613950694</v>
          </cell>
          <cell r="GE40">
            <v>-32651</v>
          </cell>
          <cell r="GF40">
            <v>3.8485384252710984</v>
          </cell>
          <cell r="GG40">
            <v>-633.26518615284135</v>
          </cell>
          <cell r="GH40">
            <v>0.36838667537085712</v>
          </cell>
        </row>
        <row r="41">
          <cell r="A41" t="str">
            <v xml:space="preserve"> loss-(equity method)</v>
          </cell>
          <cell r="C41">
            <v>-3871.42</v>
          </cell>
          <cell r="G41">
            <v>-948.33</v>
          </cell>
          <cell r="I41">
            <v>-4819.75</v>
          </cell>
          <cell r="U41">
            <v>0</v>
          </cell>
          <cell r="AD41">
            <v>0</v>
          </cell>
          <cell r="AJ41">
            <v>0</v>
          </cell>
          <cell r="AP41">
            <v>0</v>
          </cell>
          <cell r="AT41">
            <v>-4819.75</v>
          </cell>
          <cell r="AX41">
            <v>-4820</v>
          </cell>
          <cell r="AY41">
            <v>0.25</v>
          </cell>
          <cell r="AZ41" t="str">
            <v xml:space="preserve"> loss-(equity method)</v>
          </cell>
          <cell r="BC41">
            <v>-19444.738000000001</v>
          </cell>
          <cell r="BG41">
            <v>-9880.0119999999988</v>
          </cell>
          <cell r="BI41">
            <v>-29324.75</v>
          </cell>
          <cell r="BU41">
            <v>0</v>
          </cell>
          <cell r="BX41">
            <v>0</v>
          </cell>
          <cell r="CD41">
            <v>0</v>
          </cell>
          <cell r="CJ41">
            <v>0</v>
          </cell>
          <cell r="CP41">
            <v>0</v>
          </cell>
          <cell r="CT41">
            <v>-29324.75</v>
          </cell>
          <cell r="CX41">
            <v>-29324.75</v>
          </cell>
          <cell r="FC41">
            <v>-24824.75</v>
          </cell>
          <cell r="FE41">
            <v>0</v>
          </cell>
          <cell r="FF41">
            <v>-24824.75</v>
          </cell>
          <cell r="FN41">
            <v>0</v>
          </cell>
          <cell r="FO41">
            <v>0</v>
          </cell>
          <cell r="FR41">
            <v>0</v>
          </cell>
          <cell r="FS41">
            <v>0</v>
          </cell>
          <cell r="FT41">
            <v>-24824.75</v>
          </cell>
          <cell r="FV41">
            <v>-24825</v>
          </cell>
          <cell r="FW41" t="str">
            <v xml:space="preserve"> loss-(equity method)</v>
          </cell>
          <cell r="FX41">
            <v>0</v>
          </cell>
          <cell r="FY41">
            <v>0</v>
          </cell>
          <cell r="GA41">
            <v>0</v>
          </cell>
          <cell r="GB41">
            <v>0</v>
          </cell>
          <cell r="GC41">
            <v>-24825</v>
          </cell>
          <cell r="GD41">
            <v>-25157.890859891759</v>
          </cell>
          <cell r="GE41">
            <v>-24825</v>
          </cell>
          <cell r="GF41">
            <v>5.1504149377593365</v>
          </cell>
          <cell r="GG41">
            <v>-32017.36642717179</v>
          </cell>
          <cell r="GH41">
            <v>0.25</v>
          </cell>
        </row>
        <row r="42">
          <cell r="A42" t="str">
            <v xml:space="preserve"> goodwill</v>
          </cell>
          <cell r="C42">
            <v>132.119</v>
          </cell>
          <cell r="I42">
            <v>132.119</v>
          </cell>
          <cell r="U42">
            <v>0</v>
          </cell>
          <cell r="AD42">
            <v>0</v>
          </cell>
          <cell r="AJ42">
            <v>0</v>
          </cell>
          <cell r="AP42">
            <v>0</v>
          </cell>
          <cell r="AT42">
            <v>132.119</v>
          </cell>
          <cell r="AX42">
            <v>132.119</v>
          </cell>
          <cell r="AY42">
            <v>0</v>
          </cell>
          <cell r="AZ42" t="str">
            <v xml:space="preserve"> goodwill</v>
          </cell>
          <cell r="BC42">
            <v>429.51774999999998</v>
          </cell>
          <cell r="BI42">
            <v>429.51774999999998</v>
          </cell>
          <cell r="BU42">
            <v>0</v>
          </cell>
          <cell r="BX42">
            <v>0</v>
          </cell>
          <cell r="CD42">
            <v>0</v>
          </cell>
          <cell r="CJ42">
            <v>0</v>
          </cell>
          <cell r="CP42">
            <v>0</v>
          </cell>
          <cell r="CT42">
            <v>429.51774999999998</v>
          </cell>
          <cell r="CX42">
            <v>429.51774999999998</v>
          </cell>
          <cell r="FC42">
            <v>499.15300000000002</v>
          </cell>
          <cell r="FF42">
            <v>499.15300000000002</v>
          </cell>
          <cell r="FN42">
            <v>0</v>
          </cell>
          <cell r="FO42">
            <v>0</v>
          </cell>
          <cell r="FR42">
            <v>0</v>
          </cell>
          <cell r="FS42">
            <v>0</v>
          </cell>
          <cell r="FT42">
            <v>499.15300000000002</v>
          </cell>
          <cell r="FV42">
            <v>499.15300000000002</v>
          </cell>
          <cell r="FW42" t="str">
            <v xml:space="preserve"> goodwill</v>
          </cell>
          <cell r="FX42">
            <v>0</v>
          </cell>
          <cell r="FY42">
            <v>0</v>
          </cell>
          <cell r="GA42">
            <v>0</v>
          </cell>
          <cell r="GB42">
            <v>0</v>
          </cell>
          <cell r="GC42">
            <v>499.15300000000002</v>
          </cell>
          <cell r="GD42">
            <v>505.84639260372819</v>
          </cell>
          <cell r="GE42">
            <v>499.15300000000002</v>
          </cell>
          <cell r="GF42">
            <v>3.7780561463529092</v>
          </cell>
          <cell r="GG42">
            <v>557.87694112508734</v>
          </cell>
          <cell r="GH42">
            <v>0</v>
          </cell>
        </row>
        <row r="43">
          <cell r="C43">
            <v>2077.2530000000002</v>
          </cell>
          <cell r="E43">
            <v>0</v>
          </cell>
          <cell r="G43">
            <v>-860.85605999999996</v>
          </cell>
          <cell r="I43">
            <v>1216.3969399999999</v>
          </cell>
          <cell r="M43">
            <v>0</v>
          </cell>
          <cell r="O43">
            <v>0</v>
          </cell>
          <cell r="Q43">
            <v>0</v>
          </cell>
          <cell r="S43">
            <v>0</v>
          </cell>
          <cell r="U43">
            <v>0</v>
          </cell>
          <cell r="Z43">
            <v>0</v>
          </cell>
          <cell r="AB43">
            <v>0</v>
          </cell>
          <cell r="AD43">
            <v>0</v>
          </cell>
          <cell r="AF43">
            <v>0</v>
          </cell>
          <cell r="AH43">
            <v>0</v>
          </cell>
          <cell r="AJ43">
            <v>0</v>
          </cell>
          <cell r="AL43">
            <v>0</v>
          </cell>
          <cell r="AN43">
            <v>0</v>
          </cell>
          <cell r="AP43">
            <v>0</v>
          </cell>
          <cell r="AR43">
            <v>0</v>
          </cell>
          <cell r="AT43">
            <v>1216.3969399999999</v>
          </cell>
          <cell r="AV43">
            <v>0</v>
          </cell>
          <cell r="AX43">
            <v>1216.3969399999999</v>
          </cell>
          <cell r="AY43">
            <v>0</v>
          </cell>
          <cell r="BC43">
            <v>4343.4147500000008</v>
          </cell>
          <cell r="BE43">
            <v>0</v>
          </cell>
          <cell r="BG43">
            <v>-5956.4921299999987</v>
          </cell>
          <cell r="BI43">
            <v>-1613.0773800000015</v>
          </cell>
          <cell r="BO43">
            <v>0</v>
          </cell>
          <cell r="BQ43">
            <v>0</v>
          </cell>
          <cell r="BS43">
            <v>0</v>
          </cell>
          <cell r="BU43">
            <v>0</v>
          </cell>
          <cell r="BX43">
            <v>0</v>
          </cell>
          <cell r="BZ43">
            <v>0</v>
          </cell>
          <cell r="CB43">
            <v>0</v>
          </cell>
          <cell r="CD43">
            <v>0</v>
          </cell>
          <cell r="CF43">
            <v>0</v>
          </cell>
          <cell r="CH43">
            <v>0</v>
          </cell>
          <cell r="CJ43">
            <v>0</v>
          </cell>
          <cell r="CL43">
            <v>0</v>
          </cell>
          <cell r="CN43">
            <v>0</v>
          </cell>
          <cell r="CP43">
            <v>0</v>
          </cell>
          <cell r="CR43">
            <v>0</v>
          </cell>
          <cell r="CT43">
            <v>-1613.0773800000015</v>
          </cell>
          <cell r="CV43">
            <v>0</v>
          </cell>
          <cell r="CX43">
            <v>-1613.0773800000015</v>
          </cell>
          <cell r="FC43">
            <v>1878.6913174395756</v>
          </cell>
          <cell r="FE43">
            <v>0</v>
          </cell>
          <cell r="FF43">
            <v>1878.6913174395756</v>
          </cell>
          <cell r="FI43">
            <v>0</v>
          </cell>
          <cell r="FM43">
            <v>0</v>
          </cell>
          <cell r="FN43">
            <v>0</v>
          </cell>
          <cell r="FO43">
            <v>0</v>
          </cell>
          <cell r="FQ43">
            <v>0</v>
          </cell>
          <cell r="FR43">
            <v>0</v>
          </cell>
          <cell r="FS43">
            <v>0</v>
          </cell>
          <cell r="FT43">
            <v>1878.6913174395756</v>
          </cell>
          <cell r="FU43">
            <v>0</v>
          </cell>
          <cell r="FV43">
            <v>1878.0729307642048</v>
          </cell>
          <cell r="FX43">
            <v>0</v>
          </cell>
          <cell r="FY43">
            <v>0</v>
          </cell>
          <cell r="FZ43">
            <v>0</v>
          </cell>
          <cell r="GA43">
            <v>0</v>
          </cell>
          <cell r="GB43">
            <v>0</v>
          </cell>
          <cell r="GC43">
            <v>1878.0729307642048</v>
          </cell>
          <cell r="GD43">
            <v>1903.2569514232771</v>
          </cell>
          <cell r="GE43">
            <v>1878.0729307642048</v>
          </cell>
          <cell r="GF43">
            <v>1.5439638731450649</v>
          </cell>
          <cell r="GG43">
            <v>-6089.5251654633603</v>
          </cell>
          <cell r="GH43">
            <v>0.61838667537085712</v>
          </cell>
        </row>
        <row r="44">
          <cell r="A44" t="str">
            <v>MERCAZ-shares</v>
          </cell>
          <cell r="B44">
            <v>0.7</v>
          </cell>
          <cell r="C44">
            <v>0.72399999999999998</v>
          </cell>
          <cell r="I44">
            <v>0.72399999999999998</v>
          </cell>
          <cell r="U44">
            <v>0</v>
          </cell>
          <cell r="AD44">
            <v>0</v>
          </cell>
          <cell r="AJ44">
            <v>0</v>
          </cell>
          <cell r="AP44">
            <v>0</v>
          </cell>
          <cell r="AR44">
            <v>0</v>
          </cell>
          <cell r="AT44">
            <v>0.72399999999999998</v>
          </cell>
          <cell r="AV44">
            <v>-0.72399999999999998</v>
          </cell>
          <cell r="AX44">
            <v>0</v>
          </cell>
          <cell r="AY44">
            <v>0</v>
          </cell>
          <cell r="AZ44" t="str">
            <v>MERCAZ-shares</v>
          </cell>
          <cell r="BA44">
            <v>0.7</v>
          </cell>
          <cell r="BC44">
            <v>1.4</v>
          </cell>
          <cell r="BE44">
            <v>0</v>
          </cell>
          <cell r="BG44">
            <v>0</v>
          </cell>
          <cell r="BI44">
            <v>1.4</v>
          </cell>
          <cell r="BU44">
            <v>0</v>
          </cell>
          <cell r="BX44">
            <v>0</v>
          </cell>
          <cell r="CD44">
            <v>0</v>
          </cell>
          <cell r="CF44">
            <v>0</v>
          </cell>
          <cell r="CH44">
            <v>0</v>
          </cell>
          <cell r="CJ44">
            <v>0</v>
          </cell>
          <cell r="CP44">
            <v>0</v>
          </cell>
          <cell r="CR44">
            <v>0</v>
          </cell>
          <cell r="CT44">
            <v>1.4</v>
          </cell>
          <cell r="CV44">
            <v>-1.4</v>
          </cell>
          <cell r="CX44">
            <v>0</v>
          </cell>
          <cell r="FC44">
            <v>653.90333115610724</v>
          </cell>
          <cell r="FF44">
            <v>653.90333115610724</v>
          </cell>
          <cell r="FN44">
            <v>0</v>
          </cell>
          <cell r="FO44">
            <v>0</v>
          </cell>
          <cell r="FR44">
            <v>0</v>
          </cell>
          <cell r="FS44">
            <v>0</v>
          </cell>
          <cell r="FT44">
            <v>653.90333115610724</v>
          </cell>
          <cell r="FU44">
            <v>-653.90333115610724</v>
          </cell>
          <cell r="FV44">
            <v>0</v>
          </cell>
          <cell r="FW44" t="str">
            <v>MERCAZ-shares</v>
          </cell>
          <cell r="FX44">
            <v>0</v>
          </cell>
          <cell r="FY44">
            <v>0</v>
          </cell>
          <cell r="GA44">
            <v>0</v>
          </cell>
          <cell r="GB44">
            <v>0</v>
          </cell>
          <cell r="GC44">
            <v>0</v>
          </cell>
          <cell r="GD44">
            <v>0</v>
          </cell>
          <cell r="GE44">
            <v>0</v>
          </cell>
          <cell r="GF44" t="e">
            <v>#DIV/0!</v>
          </cell>
          <cell r="GG44">
            <v>0</v>
          </cell>
          <cell r="GH44">
            <v>0</v>
          </cell>
        </row>
        <row r="45">
          <cell r="A45" t="str">
            <v xml:space="preserve"> long term loans</v>
          </cell>
          <cell r="C45">
            <v>5790.5619999999999</v>
          </cell>
          <cell r="I45">
            <v>5790.5619999999999</v>
          </cell>
          <cell r="U45">
            <v>0</v>
          </cell>
          <cell r="AD45">
            <v>0</v>
          </cell>
          <cell r="AJ45">
            <v>0</v>
          </cell>
          <cell r="AP45">
            <v>0</v>
          </cell>
          <cell r="AT45">
            <v>5790.5619999999999</v>
          </cell>
          <cell r="AV45">
            <v>-5790.5619999999999</v>
          </cell>
          <cell r="AX45">
            <v>0</v>
          </cell>
          <cell r="AY45">
            <v>0</v>
          </cell>
          <cell r="AZ45" t="str">
            <v xml:space="preserve"> long term loans</v>
          </cell>
          <cell r="BC45">
            <v>24088.737000000001</v>
          </cell>
          <cell r="BE45">
            <v>0</v>
          </cell>
          <cell r="BG45">
            <v>0</v>
          </cell>
          <cell r="BI45">
            <v>24088.737000000001</v>
          </cell>
          <cell r="BU45">
            <v>0</v>
          </cell>
          <cell r="BX45">
            <v>0</v>
          </cell>
          <cell r="CD45">
            <v>0</v>
          </cell>
          <cell r="CF45">
            <v>0</v>
          </cell>
          <cell r="CH45">
            <v>0</v>
          </cell>
          <cell r="CJ45">
            <v>0</v>
          </cell>
          <cell r="CP45">
            <v>0</v>
          </cell>
          <cell r="CT45">
            <v>24088.737000000001</v>
          </cell>
          <cell r="CV45">
            <v>-24088.737000000001</v>
          </cell>
          <cell r="CX45">
            <v>0</v>
          </cell>
          <cell r="FC45">
            <v>24088.737000000001</v>
          </cell>
          <cell r="FF45">
            <v>24088.737000000001</v>
          </cell>
          <cell r="FN45">
            <v>0</v>
          </cell>
          <cell r="FO45">
            <v>0</v>
          </cell>
          <cell r="FR45">
            <v>0</v>
          </cell>
          <cell r="FS45">
            <v>0</v>
          </cell>
          <cell r="FT45">
            <v>24088.737000000001</v>
          </cell>
          <cell r="FU45">
            <v>-24088.737000000001</v>
          </cell>
          <cell r="FV45">
            <v>0</v>
          </cell>
          <cell r="FW45" t="str">
            <v xml:space="preserve"> long term loans</v>
          </cell>
          <cell r="FX45">
            <v>0</v>
          </cell>
          <cell r="FY45">
            <v>0</v>
          </cell>
          <cell r="GA45">
            <v>0</v>
          </cell>
          <cell r="GB45">
            <v>0</v>
          </cell>
          <cell r="GC45">
            <v>0</v>
          </cell>
          <cell r="GD45">
            <v>0</v>
          </cell>
          <cell r="GE45">
            <v>0</v>
          </cell>
          <cell r="GF45" t="e">
            <v>#DIV/0!</v>
          </cell>
          <cell r="GG45">
            <v>0</v>
          </cell>
          <cell r="GH45">
            <v>0</v>
          </cell>
        </row>
        <row r="46">
          <cell r="A46" t="str">
            <v xml:space="preserve"> long term loans 4.6%</v>
          </cell>
          <cell r="C46">
            <v>9226.8590000000004</v>
          </cell>
          <cell r="I46">
            <v>9226.8590000000004</v>
          </cell>
          <cell r="U46">
            <v>0</v>
          </cell>
          <cell r="AD46">
            <v>0</v>
          </cell>
          <cell r="AJ46">
            <v>0</v>
          </cell>
          <cell r="AP46">
            <v>0</v>
          </cell>
          <cell r="AT46">
            <v>9226.8590000000004</v>
          </cell>
          <cell r="AV46">
            <v>-9226.8590000000004</v>
          </cell>
          <cell r="AX46">
            <v>0</v>
          </cell>
          <cell r="AY46">
            <v>0</v>
          </cell>
          <cell r="AZ46" t="str">
            <v xml:space="preserve"> long term loans4.6%</v>
          </cell>
          <cell r="BC46">
            <v>38383.732000000004</v>
          </cell>
          <cell r="BI46">
            <v>38383.732000000004</v>
          </cell>
          <cell r="BU46">
            <v>0</v>
          </cell>
          <cell r="BX46">
            <v>0</v>
          </cell>
          <cell r="CD46">
            <v>0</v>
          </cell>
          <cell r="CJ46">
            <v>0</v>
          </cell>
          <cell r="CP46">
            <v>0</v>
          </cell>
          <cell r="CT46">
            <v>38383.732000000004</v>
          </cell>
          <cell r="CV46">
            <v>-38383.732000000004</v>
          </cell>
          <cell r="CX46">
            <v>0</v>
          </cell>
          <cell r="FC46">
            <v>38383.732000000004</v>
          </cell>
          <cell r="FF46">
            <v>38383.732000000004</v>
          </cell>
          <cell r="FN46">
            <v>0</v>
          </cell>
          <cell r="FO46">
            <v>0</v>
          </cell>
          <cell r="FR46">
            <v>0</v>
          </cell>
          <cell r="FS46">
            <v>0</v>
          </cell>
          <cell r="FT46">
            <v>38383.732000000004</v>
          </cell>
          <cell r="FU46">
            <v>-38383.732000000004</v>
          </cell>
          <cell r="FV46">
            <v>0</v>
          </cell>
          <cell r="FW46" t="str">
            <v xml:space="preserve"> long term loans 4.6%</v>
          </cell>
          <cell r="FX46">
            <v>0</v>
          </cell>
          <cell r="FY46">
            <v>0</v>
          </cell>
          <cell r="GA46">
            <v>0</v>
          </cell>
          <cell r="GB46">
            <v>0</v>
          </cell>
          <cell r="GC46">
            <v>0</v>
          </cell>
          <cell r="GD46">
            <v>0</v>
          </cell>
          <cell r="GE46">
            <v>0</v>
          </cell>
          <cell r="GF46" t="e">
            <v>#DIV/0!</v>
          </cell>
          <cell r="GG46">
            <v>0</v>
          </cell>
          <cell r="GH46">
            <v>0</v>
          </cell>
        </row>
        <row r="47">
          <cell r="A47" t="str">
            <v xml:space="preserve"> accumulated loss</v>
          </cell>
          <cell r="C47">
            <v>-248.86799999999999</v>
          </cell>
          <cell r="I47">
            <v>-248.86799999999999</v>
          </cell>
          <cell r="U47">
            <v>0</v>
          </cell>
          <cell r="AD47">
            <v>0</v>
          </cell>
          <cell r="AJ47">
            <v>0</v>
          </cell>
          <cell r="AP47">
            <v>0</v>
          </cell>
          <cell r="AT47">
            <v>-248.86799999999999</v>
          </cell>
          <cell r="AV47">
            <v>248.86799999999999</v>
          </cell>
          <cell r="AX47">
            <v>0</v>
          </cell>
          <cell r="AY47">
            <v>0</v>
          </cell>
          <cell r="AZ47" t="str">
            <v xml:space="preserve"> accumulated loss</v>
          </cell>
          <cell r="BC47">
            <v>-1991.3209999999999</v>
          </cell>
          <cell r="BI47">
            <v>-1991.3209999999999</v>
          </cell>
          <cell r="BX47">
            <v>0</v>
          </cell>
          <cell r="CD47">
            <v>0</v>
          </cell>
          <cell r="CJ47">
            <v>0</v>
          </cell>
          <cell r="CP47">
            <v>0</v>
          </cell>
          <cell r="CT47">
            <v>-1991.3209999999999</v>
          </cell>
          <cell r="CV47">
            <v>1991.3209999999999</v>
          </cell>
          <cell r="CX47">
            <v>0</v>
          </cell>
          <cell r="FC47">
            <v>-2102.9183540169824</v>
          </cell>
          <cell r="FF47">
            <v>-2102.9183540169824</v>
          </cell>
          <cell r="FN47">
            <v>0</v>
          </cell>
          <cell r="FO47">
            <v>0</v>
          </cell>
          <cell r="FR47">
            <v>0</v>
          </cell>
          <cell r="FS47">
            <v>0</v>
          </cell>
          <cell r="FT47">
            <v>-2102.9183540169824</v>
          </cell>
          <cell r="FU47">
            <v>2102.9183540169824</v>
          </cell>
          <cell r="FV47">
            <v>0</v>
          </cell>
          <cell r="FW47" t="str">
            <v xml:space="preserve"> accumulated loss</v>
          </cell>
          <cell r="FX47">
            <v>0</v>
          </cell>
          <cell r="FY47">
            <v>0</v>
          </cell>
          <cell r="GA47">
            <v>0</v>
          </cell>
          <cell r="GB47">
            <v>0</v>
          </cell>
          <cell r="GC47">
            <v>0</v>
          </cell>
          <cell r="GD47">
            <v>0</v>
          </cell>
          <cell r="GE47">
            <v>0</v>
          </cell>
          <cell r="GF47" t="e">
            <v>#DIV/0!</v>
          </cell>
          <cell r="GG47">
            <v>0</v>
          </cell>
          <cell r="GH47">
            <v>0</v>
          </cell>
        </row>
        <row r="48">
          <cell r="A48" t="str">
            <v xml:space="preserve"> loss-(equity method)</v>
          </cell>
          <cell r="C48">
            <v>619</v>
          </cell>
          <cell r="G48">
            <v>394</v>
          </cell>
          <cell r="I48">
            <v>1013</v>
          </cell>
          <cell r="U48">
            <v>0</v>
          </cell>
          <cell r="AD48">
            <v>0</v>
          </cell>
          <cell r="AJ48">
            <v>0</v>
          </cell>
          <cell r="AP48">
            <v>0</v>
          </cell>
          <cell r="AR48">
            <v>0</v>
          </cell>
          <cell r="AT48">
            <v>1013</v>
          </cell>
          <cell r="AV48">
            <v>-1013</v>
          </cell>
          <cell r="AX48">
            <v>0</v>
          </cell>
          <cell r="AY48">
            <v>0</v>
          </cell>
          <cell r="AZ48" t="str">
            <v xml:space="preserve"> loss-(equity method)</v>
          </cell>
          <cell r="BC48">
            <v>-1481</v>
          </cell>
          <cell r="BE48">
            <v>0</v>
          </cell>
          <cell r="BG48">
            <v>-3057</v>
          </cell>
          <cell r="BI48">
            <v>-4538</v>
          </cell>
          <cell r="BU48">
            <v>0</v>
          </cell>
          <cell r="BX48">
            <v>0</v>
          </cell>
          <cell r="CD48">
            <v>0</v>
          </cell>
          <cell r="CF48">
            <v>0</v>
          </cell>
          <cell r="CH48">
            <v>0</v>
          </cell>
          <cell r="CJ48">
            <v>0</v>
          </cell>
          <cell r="CP48">
            <v>0</v>
          </cell>
          <cell r="CR48">
            <v>0</v>
          </cell>
          <cell r="CT48">
            <v>-4538</v>
          </cell>
          <cell r="CV48">
            <v>4538</v>
          </cell>
          <cell r="CX48">
            <v>0</v>
          </cell>
          <cell r="FC48">
            <v>-98.7</v>
          </cell>
          <cell r="FE48">
            <v>-2.7999999999224201E-3</v>
          </cell>
          <cell r="FF48">
            <v>-98.702799999999925</v>
          </cell>
          <cell r="FN48">
            <v>0</v>
          </cell>
          <cell r="FO48">
            <v>0</v>
          </cell>
          <cell r="FR48">
            <v>0</v>
          </cell>
          <cell r="FS48">
            <v>0</v>
          </cell>
          <cell r="FT48">
            <v>-98.702799999999925</v>
          </cell>
          <cell r="FU48">
            <v>98.702799999999925</v>
          </cell>
          <cell r="FV48">
            <v>0</v>
          </cell>
          <cell r="FW48" t="str">
            <v xml:space="preserve"> loss-(equity method)</v>
          </cell>
          <cell r="FX48">
            <v>0</v>
          </cell>
          <cell r="FY48">
            <v>0</v>
          </cell>
          <cell r="GA48">
            <v>0</v>
          </cell>
          <cell r="GB48">
            <v>0</v>
          </cell>
          <cell r="GC48">
            <v>0</v>
          </cell>
          <cell r="GD48">
            <v>0</v>
          </cell>
          <cell r="GE48">
            <v>0</v>
          </cell>
          <cell r="GF48" t="e">
            <v>#DIV/0!</v>
          </cell>
          <cell r="GG48">
            <v>0</v>
          </cell>
          <cell r="GH48">
            <v>0</v>
          </cell>
        </row>
        <row r="49">
          <cell r="B49" t="str">
            <v xml:space="preserve">total </v>
          </cell>
          <cell r="C49">
            <v>15388.277</v>
          </cell>
          <cell r="E49">
            <v>0</v>
          </cell>
          <cell r="G49">
            <v>394</v>
          </cell>
          <cell r="I49">
            <v>15782.277</v>
          </cell>
          <cell r="M49">
            <v>0</v>
          </cell>
          <cell r="O49">
            <v>0</v>
          </cell>
          <cell r="Q49">
            <v>0</v>
          </cell>
          <cell r="S49">
            <v>0</v>
          </cell>
          <cell r="U49">
            <v>0</v>
          </cell>
          <cell r="Z49">
            <v>0</v>
          </cell>
          <cell r="AB49">
            <v>0</v>
          </cell>
          <cell r="AD49">
            <v>0</v>
          </cell>
          <cell r="AF49">
            <v>0</v>
          </cell>
          <cell r="AH49">
            <v>0</v>
          </cell>
          <cell r="AJ49">
            <v>0</v>
          </cell>
          <cell r="AL49">
            <v>0</v>
          </cell>
          <cell r="AN49">
            <v>0</v>
          </cell>
          <cell r="AP49">
            <v>0</v>
          </cell>
          <cell r="AR49">
            <v>0</v>
          </cell>
          <cell r="AT49">
            <v>15782.277</v>
          </cell>
          <cell r="AV49">
            <v>-15782.277</v>
          </cell>
          <cell r="AX49">
            <v>0</v>
          </cell>
          <cell r="AY49">
            <v>0</v>
          </cell>
          <cell r="BA49" t="str">
            <v xml:space="preserve">total </v>
          </cell>
          <cell r="BC49">
            <v>59001.54800000001</v>
          </cell>
          <cell r="BE49">
            <v>0</v>
          </cell>
          <cell r="BG49">
            <v>-3057</v>
          </cell>
          <cell r="BI49">
            <v>55944.54800000001</v>
          </cell>
          <cell r="BO49">
            <v>0</v>
          </cell>
          <cell r="BQ49">
            <v>0</v>
          </cell>
          <cell r="BS49">
            <v>0</v>
          </cell>
          <cell r="BU49">
            <v>0</v>
          </cell>
          <cell r="BX49">
            <v>0</v>
          </cell>
          <cell r="BZ49">
            <v>0</v>
          </cell>
          <cell r="CB49">
            <v>0</v>
          </cell>
          <cell r="CD49">
            <v>0</v>
          </cell>
          <cell r="CF49">
            <v>0</v>
          </cell>
          <cell r="CH49">
            <v>0</v>
          </cell>
          <cell r="CJ49">
            <v>0</v>
          </cell>
          <cell r="CL49">
            <v>0</v>
          </cell>
          <cell r="CN49">
            <v>0</v>
          </cell>
          <cell r="CP49">
            <v>0</v>
          </cell>
          <cell r="CR49">
            <v>0</v>
          </cell>
          <cell r="CT49">
            <v>55944.54800000001</v>
          </cell>
          <cell r="CV49">
            <v>-55944.54800000001</v>
          </cell>
          <cell r="CX49">
            <v>0</v>
          </cell>
          <cell r="FC49">
            <v>60924.753977139131</v>
          </cell>
          <cell r="FE49">
            <v>-2.7999999999224201E-3</v>
          </cell>
          <cell r="FF49">
            <v>60924.751177139129</v>
          </cell>
          <cell r="FI49">
            <v>0</v>
          </cell>
          <cell r="FM49">
            <v>0</v>
          </cell>
          <cell r="FN49">
            <v>0</v>
          </cell>
          <cell r="FO49">
            <v>0</v>
          </cell>
          <cell r="FQ49">
            <v>0</v>
          </cell>
          <cell r="FR49">
            <v>0</v>
          </cell>
          <cell r="FS49">
            <v>0</v>
          </cell>
          <cell r="FT49">
            <v>60924.751177139129</v>
          </cell>
          <cell r="FU49">
            <v>-60924.751177139129</v>
          </cell>
          <cell r="FV49">
            <v>0</v>
          </cell>
          <cell r="FX49">
            <v>0</v>
          </cell>
          <cell r="FY49">
            <v>0</v>
          </cell>
          <cell r="FZ49">
            <v>0</v>
          </cell>
          <cell r="GA49">
            <v>0</v>
          </cell>
          <cell r="GB49">
            <v>0</v>
          </cell>
          <cell r="GC49">
            <v>0</v>
          </cell>
          <cell r="GD49">
            <v>0</v>
          </cell>
          <cell r="GE49">
            <v>0</v>
          </cell>
          <cell r="GF49" t="e">
            <v>#DIV/0!</v>
          </cell>
          <cell r="GG49">
            <v>0</v>
          </cell>
          <cell r="GH49">
            <v>0</v>
          </cell>
        </row>
        <row r="50">
          <cell r="A50" t="str">
            <v>SSC-shares</v>
          </cell>
          <cell r="B50">
            <v>0.7</v>
          </cell>
          <cell r="C50">
            <v>-3449.24</v>
          </cell>
          <cell r="I50">
            <v>-3449.24</v>
          </cell>
          <cell r="U50">
            <v>0</v>
          </cell>
          <cell r="AD50">
            <v>0</v>
          </cell>
          <cell r="AJ50">
            <v>0</v>
          </cell>
          <cell r="AP50">
            <v>0</v>
          </cell>
          <cell r="AT50">
            <v>-3449.24</v>
          </cell>
          <cell r="AV50">
            <v>3449.24</v>
          </cell>
          <cell r="AX50">
            <v>0</v>
          </cell>
          <cell r="AY50">
            <v>0</v>
          </cell>
          <cell r="AZ50" t="str">
            <v>SSC-shares</v>
          </cell>
          <cell r="BA50">
            <v>0.7</v>
          </cell>
          <cell r="BC50">
            <v>-19594.575000000001</v>
          </cell>
          <cell r="BI50">
            <v>-19594.575000000001</v>
          </cell>
          <cell r="BX50">
            <v>0</v>
          </cell>
          <cell r="CD50">
            <v>0</v>
          </cell>
          <cell r="CJ50">
            <v>0</v>
          </cell>
          <cell r="CP50">
            <v>0</v>
          </cell>
          <cell r="CT50">
            <v>-19594.575000000001</v>
          </cell>
          <cell r="CV50">
            <v>19594.575000000001</v>
          </cell>
          <cell r="CX50">
            <v>0</v>
          </cell>
          <cell r="FC50">
            <v>-20042.392112998041</v>
          </cell>
          <cell r="FF50">
            <v>-20042.392112998041</v>
          </cell>
          <cell r="FN50">
            <v>0</v>
          </cell>
          <cell r="FO50">
            <v>0</v>
          </cell>
          <cell r="FR50">
            <v>0</v>
          </cell>
          <cell r="FS50">
            <v>0</v>
          </cell>
          <cell r="FT50">
            <v>-20042.392112998041</v>
          </cell>
          <cell r="FU50">
            <v>20042.392112998041</v>
          </cell>
          <cell r="FV50">
            <v>0</v>
          </cell>
          <cell r="FW50" t="str">
            <v>SSC-shares</v>
          </cell>
          <cell r="FX50">
            <v>0</v>
          </cell>
          <cell r="FY50">
            <v>0</v>
          </cell>
          <cell r="GA50">
            <v>0</v>
          </cell>
          <cell r="GB50">
            <v>0</v>
          </cell>
          <cell r="GC50">
            <v>0</v>
          </cell>
          <cell r="GD50">
            <v>0</v>
          </cell>
          <cell r="GE50">
            <v>0</v>
          </cell>
          <cell r="GF50" t="e">
            <v>#DIV/0!</v>
          </cell>
          <cell r="GG50">
            <v>0</v>
          </cell>
          <cell r="GH50">
            <v>0</v>
          </cell>
        </row>
        <row r="51">
          <cell r="A51" t="str">
            <v xml:space="preserve"> long term loans</v>
          </cell>
          <cell r="C51">
            <v>260.149</v>
          </cell>
          <cell r="I51">
            <v>260.149</v>
          </cell>
          <cell r="U51">
            <v>0</v>
          </cell>
          <cell r="AD51">
            <v>0</v>
          </cell>
          <cell r="AJ51">
            <v>0</v>
          </cell>
          <cell r="AN51">
            <v>0</v>
          </cell>
          <cell r="AP51">
            <v>0</v>
          </cell>
          <cell r="AT51">
            <v>260.149</v>
          </cell>
          <cell r="AV51">
            <v>-260.149</v>
          </cell>
          <cell r="AX51">
            <v>0</v>
          </cell>
          <cell r="AY51">
            <v>0</v>
          </cell>
          <cell r="AZ51" t="str">
            <v xml:space="preserve"> long term loans</v>
          </cell>
          <cell r="BC51">
            <v>1082.2190000000001</v>
          </cell>
          <cell r="BE51">
            <v>0</v>
          </cell>
          <cell r="BG51">
            <v>0</v>
          </cell>
          <cell r="BI51">
            <v>1082.2190000000001</v>
          </cell>
          <cell r="BX51">
            <v>0</v>
          </cell>
          <cell r="CD51">
            <v>0</v>
          </cell>
          <cell r="CJ51">
            <v>0</v>
          </cell>
          <cell r="CN51">
            <v>0</v>
          </cell>
          <cell r="CP51">
            <v>0</v>
          </cell>
          <cell r="CT51">
            <v>1082.2190000000001</v>
          </cell>
          <cell r="CV51">
            <v>-1082.2190000000001</v>
          </cell>
          <cell r="CX51">
            <v>0</v>
          </cell>
          <cell r="FC51">
            <v>1082.2190000000001</v>
          </cell>
          <cell r="FF51">
            <v>1082.2190000000001</v>
          </cell>
          <cell r="FN51">
            <v>0</v>
          </cell>
          <cell r="FO51">
            <v>0</v>
          </cell>
          <cell r="FQ51">
            <v>0</v>
          </cell>
          <cell r="FR51">
            <v>0</v>
          </cell>
          <cell r="FS51">
            <v>0</v>
          </cell>
          <cell r="FT51">
            <v>1082.2190000000001</v>
          </cell>
          <cell r="FU51">
            <v>-1082.2190000000001</v>
          </cell>
          <cell r="FV51">
            <v>0</v>
          </cell>
          <cell r="FW51" t="str">
            <v xml:space="preserve"> long term loans</v>
          </cell>
          <cell r="FX51">
            <v>0</v>
          </cell>
          <cell r="FY51">
            <v>0</v>
          </cell>
          <cell r="GA51">
            <v>0</v>
          </cell>
          <cell r="GB51">
            <v>0</v>
          </cell>
          <cell r="GC51">
            <v>0</v>
          </cell>
          <cell r="GD51">
            <v>0</v>
          </cell>
          <cell r="GE51">
            <v>0</v>
          </cell>
          <cell r="GF51" t="e">
            <v>#DIV/0!</v>
          </cell>
          <cell r="GG51">
            <v>0</v>
          </cell>
          <cell r="GH51">
            <v>0</v>
          </cell>
        </row>
        <row r="52">
          <cell r="A52" t="str">
            <v xml:space="preserve"> accumulated profit</v>
          </cell>
          <cell r="C52">
            <v>5869</v>
          </cell>
          <cell r="G52">
            <v>0</v>
          </cell>
          <cell r="I52">
            <v>5869</v>
          </cell>
          <cell r="U52">
            <v>0</v>
          </cell>
          <cell r="AD52">
            <v>0</v>
          </cell>
          <cell r="AJ52">
            <v>0</v>
          </cell>
          <cell r="AP52">
            <v>0</v>
          </cell>
          <cell r="AT52">
            <v>5869</v>
          </cell>
          <cell r="AV52">
            <v>-5869</v>
          </cell>
          <cell r="AX52">
            <v>0</v>
          </cell>
          <cell r="AY52">
            <v>0</v>
          </cell>
          <cell r="AZ52" t="str">
            <v xml:space="preserve"> accumulated profit</v>
          </cell>
          <cell r="BC52">
            <v>8021</v>
          </cell>
          <cell r="BG52">
            <v>0</v>
          </cell>
          <cell r="BI52">
            <v>8021</v>
          </cell>
          <cell r="BX52">
            <v>0</v>
          </cell>
          <cell r="CD52">
            <v>0</v>
          </cell>
          <cell r="CJ52">
            <v>0</v>
          </cell>
          <cell r="CP52">
            <v>0</v>
          </cell>
          <cell r="CT52">
            <v>8021</v>
          </cell>
          <cell r="CV52">
            <v>-8021</v>
          </cell>
          <cell r="CX52">
            <v>0</v>
          </cell>
          <cell r="FC52">
            <v>34674.25604180275</v>
          </cell>
          <cell r="FF52">
            <v>34674.25604180275</v>
          </cell>
          <cell r="FN52">
            <v>0</v>
          </cell>
          <cell r="FO52">
            <v>0</v>
          </cell>
          <cell r="FR52">
            <v>0</v>
          </cell>
          <cell r="FS52">
            <v>0</v>
          </cell>
          <cell r="FT52">
            <v>34674.25604180275</v>
          </cell>
          <cell r="FU52">
            <v>-34674.25604180275</v>
          </cell>
          <cell r="FV52">
            <v>0</v>
          </cell>
          <cell r="FW52" t="str">
            <v xml:space="preserve"> accumulated profit</v>
          </cell>
          <cell r="FX52">
            <v>0</v>
          </cell>
          <cell r="FY52">
            <v>0</v>
          </cell>
          <cell r="GA52">
            <v>0</v>
          </cell>
          <cell r="GB52">
            <v>0</v>
          </cell>
          <cell r="GC52">
            <v>0</v>
          </cell>
          <cell r="GD52">
            <v>0</v>
          </cell>
          <cell r="GE52">
            <v>0</v>
          </cell>
          <cell r="GF52" t="e">
            <v>#DIV/0!</v>
          </cell>
          <cell r="GG52">
            <v>0</v>
          </cell>
          <cell r="GH52">
            <v>0</v>
          </cell>
        </row>
        <row r="53">
          <cell r="A53" t="str">
            <v xml:space="preserve"> profit-(equity method)</v>
          </cell>
          <cell r="C53">
            <v>4191</v>
          </cell>
          <cell r="G53">
            <v>874</v>
          </cell>
          <cell r="I53">
            <v>5065</v>
          </cell>
          <cell r="U53">
            <v>0</v>
          </cell>
          <cell r="AD53">
            <v>0</v>
          </cell>
          <cell r="AJ53">
            <v>0</v>
          </cell>
          <cell r="AP53">
            <v>0</v>
          </cell>
          <cell r="AT53">
            <v>5065</v>
          </cell>
          <cell r="AV53">
            <v>-5065</v>
          </cell>
          <cell r="AX53">
            <v>0</v>
          </cell>
          <cell r="AY53">
            <v>0</v>
          </cell>
          <cell r="AZ53" t="str">
            <v xml:space="preserve"> profit-(equity method)</v>
          </cell>
          <cell r="BC53">
            <v>8778</v>
          </cell>
          <cell r="BG53">
            <v>6822</v>
          </cell>
          <cell r="BI53">
            <v>15600</v>
          </cell>
          <cell r="BX53">
            <v>0</v>
          </cell>
          <cell r="CD53">
            <v>0</v>
          </cell>
          <cell r="CJ53">
            <v>0</v>
          </cell>
          <cell r="CP53">
            <v>0</v>
          </cell>
          <cell r="CT53">
            <v>15600</v>
          </cell>
          <cell r="CV53">
            <v>-15600</v>
          </cell>
          <cell r="CX53">
            <v>0</v>
          </cell>
          <cell r="FC53">
            <v>16984.099999999999</v>
          </cell>
          <cell r="FE53">
            <v>1.2474000000038359</v>
          </cell>
          <cell r="FF53">
            <v>16985.347400000002</v>
          </cell>
          <cell r="FN53">
            <v>0</v>
          </cell>
          <cell r="FO53">
            <v>0</v>
          </cell>
          <cell r="FR53">
            <v>0</v>
          </cell>
          <cell r="FS53">
            <v>0</v>
          </cell>
          <cell r="FT53">
            <v>16985.347400000002</v>
          </cell>
          <cell r="FU53">
            <v>-16985.347400000002</v>
          </cell>
          <cell r="FV53">
            <v>0</v>
          </cell>
          <cell r="FW53" t="str">
            <v xml:space="preserve"> profit-(equity method)</v>
          </cell>
          <cell r="FX53">
            <v>0</v>
          </cell>
          <cell r="FY53">
            <v>0</v>
          </cell>
          <cell r="GA53">
            <v>0</v>
          </cell>
          <cell r="GB53">
            <v>0</v>
          </cell>
          <cell r="GC53">
            <v>0</v>
          </cell>
          <cell r="GD53">
            <v>0</v>
          </cell>
          <cell r="GE53">
            <v>0</v>
          </cell>
          <cell r="GF53" t="e">
            <v>#DIV/0!</v>
          </cell>
          <cell r="GG53">
            <v>0</v>
          </cell>
          <cell r="GH53">
            <v>0</v>
          </cell>
        </row>
        <row r="54">
          <cell r="B54" t="str">
            <v xml:space="preserve">total </v>
          </cell>
          <cell r="C54">
            <v>6870.9089999999997</v>
          </cell>
          <cell r="E54">
            <v>0</v>
          </cell>
          <cell r="G54">
            <v>874</v>
          </cell>
          <cell r="I54">
            <v>7744.9089999999997</v>
          </cell>
          <cell r="M54">
            <v>0</v>
          </cell>
          <cell r="O54">
            <v>0</v>
          </cell>
          <cell r="Q54">
            <v>0</v>
          </cell>
          <cell r="S54">
            <v>0</v>
          </cell>
          <cell r="U54">
            <v>0</v>
          </cell>
          <cell r="Z54">
            <v>0</v>
          </cell>
          <cell r="AB54">
            <v>0</v>
          </cell>
          <cell r="AD54">
            <v>0</v>
          </cell>
          <cell r="AF54">
            <v>0</v>
          </cell>
          <cell r="AH54">
            <v>0</v>
          </cell>
          <cell r="AJ54">
            <v>0</v>
          </cell>
          <cell r="AL54">
            <v>0</v>
          </cell>
          <cell r="AN54">
            <v>0</v>
          </cell>
          <cell r="AP54">
            <v>0</v>
          </cell>
          <cell r="AR54">
            <v>0</v>
          </cell>
          <cell r="AT54">
            <v>7744.9089999999997</v>
          </cell>
          <cell r="AV54">
            <v>-7744.9089999999997</v>
          </cell>
          <cell r="AX54">
            <v>0</v>
          </cell>
          <cell r="AY54">
            <v>0</v>
          </cell>
          <cell r="BA54" t="str">
            <v xml:space="preserve">total </v>
          </cell>
          <cell r="BC54">
            <v>-1713.3559999999998</v>
          </cell>
          <cell r="BE54">
            <v>0</v>
          </cell>
          <cell r="BG54">
            <v>6822</v>
          </cell>
          <cell r="BI54">
            <v>5108.6440000000002</v>
          </cell>
          <cell r="BO54">
            <v>0</v>
          </cell>
          <cell r="BQ54">
            <v>0</v>
          </cell>
          <cell r="BS54">
            <v>0</v>
          </cell>
          <cell r="BU54">
            <v>0</v>
          </cell>
          <cell r="BX54">
            <v>0</v>
          </cell>
          <cell r="BZ54">
            <v>0</v>
          </cell>
          <cell r="CB54">
            <v>0</v>
          </cell>
          <cell r="CD54">
            <v>0</v>
          </cell>
          <cell r="CF54">
            <v>0</v>
          </cell>
          <cell r="CH54">
            <v>0</v>
          </cell>
          <cell r="CJ54">
            <v>0</v>
          </cell>
          <cell r="CL54">
            <v>0</v>
          </cell>
          <cell r="CN54">
            <v>0</v>
          </cell>
          <cell r="CP54">
            <v>0</v>
          </cell>
          <cell r="CR54">
            <v>0</v>
          </cell>
          <cell r="CT54">
            <v>5108.6440000000002</v>
          </cell>
          <cell r="CV54">
            <v>-5108.6440000000002</v>
          </cell>
          <cell r="CX54">
            <v>0</v>
          </cell>
          <cell r="FC54">
            <v>32698.182928804708</v>
          </cell>
          <cell r="FE54">
            <v>1.2474000000038359</v>
          </cell>
          <cell r="FF54">
            <v>32699.430328804712</v>
          </cell>
          <cell r="FI54">
            <v>0</v>
          </cell>
          <cell r="FM54">
            <v>0</v>
          </cell>
          <cell r="FN54">
            <v>0</v>
          </cell>
          <cell r="FO54">
            <v>0</v>
          </cell>
          <cell r="FQ54">
            <v>0</v>
          </cell>
          <cell r="FR54">
            <v>0</v>
          </cell>
          <cell r="FS54">
            <v>0</v>
          </cell>
          <cell r="FT54">
            <v>32699.430328804712</v>
          </cell>
          <cell r="FU54">
            <v>-32699.430328804712</v>
          </cell>
          <cell r="FV54">
            <v>0</v>
          </cell>
          <cell r="FX54">
            <v>0</v>
          </cell>
          <cell r="FY54">
            <v>0</v>
          </cell>
          <cell r="FZ54">
            <v>0</v>
          </cell>
          <cell r="GA54">
            <v>0</v>
          </cell>
          <cell r="GB54">
            <v>0</v>
          </cell>
          <cell r="GC54">
            <v>0</v>
          </cell>
          <cell r="GD54">
            <v>0</v>
          </cell>
          <cell r="GE54">
            <v>0</v>
          </cell>
          <cell r="GF54" t="e">
            <v>#DIV/0!</v>
          </cell>
          <cell r="GG54">
            <v>0</v>
          </cell>
          <cell r="GH54">
            <v>0</v>
          </cell>
        </row>
        <row r="55">
          <cell r="A55" t="str">
            <v>TELEM-shares</v>
          </cell>
          <cell r="B55">
            <v>0.67449999999999999</v>
          </cell>
          <cell r="AD55">
            <v>0</v>
          </cell>
          <cell r="AJ55">
            <v>0</v>
          </cell>
          <cell r="AP55">
            <v>0</v>
          </cell>
          <cell r="AT55">
            <v>0</v>
          </cell>
          <cell r="AV55">
            <v>0</v>
          </cell>
          <cell r="AX55">
            <v>0</v>
          </cell>
          <cell r="AY55">
            <v>0</v>
          </cell>
          <cell r="AZ55" t="str">
            <v>TELEM-shares</v>
          </cell>
          <cell r="BA55">
            <v>0.67449999999999999</v>
          </cell>
          <cell r="BG55">
            <v>0</v>
          </cell>
          <cell r="BI55">
            <v>0</v>
          </cell>
          <cell r="BX55">
            <v>0</v>
          </cell>
          <cell r="CD55">
            <v>0</v>
          </cell>
          <cell r="CH55">
            <v>0</v>
          </cell>
          <cell r="CJ55">
            <v>0</v>
          </cell>
          <cell r="CP55">
            <v>0</v>
          </cell>
          <cell r="CT55">
            <v>0</v>
          </cell>
          <cell r="CV55">
            <v>0</v>
          </cell>
          <cell r="CX55">
            <v>0</v>
          </cell>
          <cell r="FN55">
            <v>0</v>
          </cell>
          <cell r="FO55">
            <v>0</v>
          </cell>
          <cell r="FR55">
            <v>0</v>
          </cell>
          <cell r="FS55">
            <v>0</v>
          </cell>
          <cell r="FT55">
            <v>0</v>
          </cell>
          <cell r="FU55">
            <v>0</v>
          </cell>
          <cell r="FV55">
            <v>0</v>
          </cell>
          <cell r="FW55" t="str">
            <v>TELEM-shares</v>
          </cell>
          <cell r="FX55">
            <v>0</v>
          </cell>
          <cell r="FY55">
            <v>0</v>
          </cell>
          <cell r="GA55">
            <v>0</v>
          </cell>
          <cell r="GB55">
            <v>0</v>
          </cell>
          <cell r="GC55">
            <v>0</v>
          </cell>
          <cell r="GD55">
            <v>0</v>
          </cell>
          <cell r="GE55">
            <v>0</v>
          </cell>
          <cell r="GF55" t="e">
            <v>#DIV/0!</v>
          </cell>
          <cell r="GG55">
            <v>0</v>
          </cell>
          <cell r="GH55">
            <v>0</v>
          </cell>
        </row>
        <row r="56">
          <cell r="A56" t="str">
            <v xml:space="preserve"> long term loans</v>
          </cell>
          <cell r="C56">
            <v>909.452</v>
          </cell>
          <cell r="I56">
            <v>909.452</v>
          </cell>
          <cell r="U56">
            <v>0</v>
          </cell>
          <cell r="AD56">
            <v>0</v>
          </cell>
          <cell r="AH56">
            <v>0</v>
          </cell>
          <cell r="AJ56">
            <v>0</v>
          </cell>
          <cell r="AN56">
            <v>0</v>
          </cell>
          <cell r="AP56">
            <v>0</v>
          </cell>
          <cell r="AT56">
            <v>909.452</v>
          </cell>
          <cell r="AV56">
            <v>-909.452</v>
          </cell>
          <cell r="AX56">
            <v>0</v>
          </cell>
          <cell r="AY56">
            <v>0</v>
          </cell>
          <cell r="AZ56" t="str">
            <v xml:space="preserve"> long term loans</v>
          </cell>
          <cell r="BC56">
            <v>3783.3209999999999</v>
          </cell>
          <cell r="BI56">
            <v>3783.3209999999999</v>
          </cell>
          <cell r="BU56">
            <v>0</v>
          </cell>
          <cell r="BX56">
            <v>0</v>
          </cell>
          <cell r="CD56">
            <v>0</v>
          </cell>
          <cell r="CH56">
            <v>0</v>
          </cell>
          <cell r="CJ56">
            <v>0</v>
          </cell>
          <cell r="CN56">
            <v>0</v>
          </cell>
          <cell r="CP56">
            <v>0</v>
          </cell>
          <cell r="CT56">
            <v>3783.3209999999999</v>
          </cell>
          <cell r="CV56">
            <v>-3783.3209999999999</v>
          </cell>
          <cell r="CX56">
            <v>0</v>
          </cell>
          <cell r="FC56">
            <v>3783.3209999999999</v>
          </cell>
          <cell r="FF56">
            <v>3783.3209999999999</v>
          </cell>
          <cell r="FN56">
            <v>0</v>
          </cell>
          <cell r="FO56">
            <v>0</v>
          </cell>
          <cell r="FQ56">
            <v>0</v>
          </cell>
          <cell r="FR56">
            <v>0</v>
          </cell>
          <cell r="FS56">
            <v>0</v>
          </cell>
          <cell r="FT56">
            <v>3783.3209999999999</v>
          </cell>
          <cell r="FU56">
            <v>-3783.3209999999999</v>
          </cell>
          <cell r="FV56">
            <v>0</v>
          </cell>
          <cell r="FW56" t="str">
            <v xml:space="preserve"> long term loans</v>
          </cell>
          <cell r="FX56">
            <v>0</v>
          </cell>
          <cell r="FY56">
            <v>0</v>
          </cell>
          <cell r="GA56">
            <v>0</v>
          </cell>
          <cell r="GB56">
            <v>0</v>
          </cell>
          <cell r="GC56">
            <v>0</v>
          </cell>
          <cell r="GD56">
            <v>0</v>
          </cell>
          <cell r="GE56">
            <v>0</v>
          </cell>
          <cell r="GF56" t="e">
            <v>#DIV/0!</v>
          </cell>
          <cell r="GG56">
            <v>0</v>
          </cell>
          <cell r="GH56">
            <v>0</v>
          </cell>
        </row>
        <row r="57">
          <cell r="A57" t="str">
            <v xml:space="preserve"> accumulated profit</v>
          </cell>
          <cell r="AD57">
            <v>0</v>
          </cell>
          <cell r="AF57">
            <v>8569.1759999999995</v>
          </cell>
          <cell r="AH57">
            <v>-4927.4849999999997</v>
          </cell>
          <cell r="AJ57">
            <v>3641.6909999999998</v>
          </cell>
          <cell r="AN57">
            <v>-3641.6909999999998</v>
          </cell>
          <cell r="AP57">
            <v>0</v>
          </cell>
          <cell r="AT57">
            <v>0</v>
          </cell>
          <cell r="AX57">
            <v>0</v>
          </cell>
          <cell r="AY57">
            <v>0</v>
          </cell>
          <cell r="AZ57" t="str">
            <v xml:space="preserve"> accumulated profit</v>
          </cell>
          <cell r="BI57">
            <v>0</v>
          </cell>
          <cell r="BU57">
            <v>0</v>
          </cell>
          <cell r="BX57">
            <v>0</v>
          </cell>
          <cell r="CD57">
            <v>0</v>
          </cell>
          <cell r="CF57">
            <v>4915.79</v>
          </cell>
          <cell r="CH57">
            <v>-20572</v>
          </cell>
          <cell r="CJ57">
            <v>-15656.21</v>
          </cell>
          <cell r="CN57">
            <v>15656.21</v>
          </cell>
          <cell r="CP57">
            <v>0</v>
          </cell>
          <cell r="CT57">
            <v>0</v>
          </cell>
          <cell r="CX57">
            <v>0</v>
          </cell>
          <cell r="FF57">
            <v>0</v>
          </cell>
          <cell r="FN57">
            <v>0</v>
          </cell>
          <cell r="FO57">
            <v>21517.448000000004</v>
          </cell>
          <cell r="FQ57">
            <v>-21517.448000000004</v>
          </cell>
          <cell r="FR57">
            <v>0</v>
          </cell>
          <cell r="FS57">
            <v>0</v>
          </cell>
          <cell r="FT57">
            <v>0</v>
          </cell>
          <cell r="FU57">
            <v>0</v>
          </cell>
          <cell r="FV57">
            <v>0</v>
          </cell>
          <cell r="FW57" t="str">
            <v xml:space="preserve"> accumulated profit</v>
          </cell>
          <cell r="FX57">
            <v>0</v>
          </cell>
          <cell r="FY57">
            <v>0</v>
          </cell>
          <cell r="GA57">
            <v>0</v>
          </cell>
          <cell r="GB57">
            <v>0</v>
          </cell>
          <cell r="GC57">
            <v>0</v>
          </cell>
          <cell r="GD57">
            <v>0</v>
          </cell>
          <cell r="GE57">
            <v>0</v>
          </cell>
          <cell r="GF57" t="e">
            <v>#DIV/0!</v>
          </cell>
          <cell r="GG57">
            <v>0</v>
          </cell>
          <cell r="GH57">
            <v>0</v>
          </cell>
          <cell r="HI57">
            <v>159.30000000000001</v>
          </cell>
          <cell r="HJ57">
            <v>153.1</v>
          </cell>
          <cell r="HK57">
            <v>129.4</v>
          </cell>
        </row>
        <row r="58">
          <cell r="A58" t="str">
            <v xml:space="preserve"> profit-(equity method)</v>
          </cell>
          <cell r="AD58">
            <v>0</v>
          </cell>
          <cell r="AH58">
            <v>7257</v>
          </cell>
          <cell r="AJ58">
            <v>7257</v>
          </cell>
          <cell r="AN58">
            <v>-7257</v>
          </cell>
          <cell r="AP58">
            <v>0</v>
          </cell>
          <cell r="AT58">
            <v>0</v>
          </cell>
          <cell r="AX58">
            <v>0</v>
          </cell>
          <cell r="AY58">
            <v>0</v>
          </cell>
          <cell r="AZ58" t="str">
            <v xml:space="preserve"> profit-(equity method)</v>
          </cell>
          <cell r="BI58">
            <v>0</v>
          </cell>
          <cell r="BU58">
            <v>0</v>
          </cell>
          <cell r="BX58">
            <v>0</v>
          </cell>
          <cell r="CD58">
            <v>0</v>
          </cell>
          <cell r="CH58">
            <v>22520.205999999998</v>
          </cell>
          <cell r="CJ58">
            <v>22520.205999999998</v>
          </cell>
          <cell r="CN58">
            <v>-22520.205999999998</v>
          </cell>
          <cell r="CP58">
            <v>0</v>
          </cell>
          <cell r="CT58">
            <v>0</v>
          </cell>
          <cell r="CX58">
            <v>0</v>
          </cell>
          <cell r="FF58">
            <v>0</v>
          </cell>
          <cell r="FN58">
            <v>0</v>
          </cell>
          <cell r="FO58">
            <v>24478.456219</v>
          </cell>
          <cell r="FQ58">
            <v>-24478.456219</v>
          </cell>
          <cell r="FR58">
            <v>0</v>
          </cell>
          <cell r="FS58">
            <v>0</v>
          </cell>
          <cell r="FT58">
            <v>0</v>
          </cell>
          <cell r="FU58">
            <v>0</v>
          </cell>
          <cell r="FV58">
            <v>0</v>
          </cell>
          <cell r="FW58" t="str">
            <v xml:space="preserve"> profit-(equity method)</v>
          </cell>
          <cell r="FX58">
            <v>0</v>
          </cell>
          <cell r="FY58">
            <v>0</v>
          </cell>
          <cell r="GA58">
            <v>0</v>
          </cell>
          <cell r="GB58">
            <v>0</v>
          </cell>
          <cell r="GC58">
            <v>0</v>
          </cell>
          <cell r="GD58">
            <v>0</v>
          </cell>
          <cell r="GE58">
            <v>0</v>
          </cell>
          <cell r="GF58" t="e">
            <v>#DIV/0!</v>
          </cell>
          <cell r="GG58">
            <v>0</v>
          </cell>
          <cell r="GH58">
            <v>0</v>
          </cell>
        </row>
        <row r="59">
          <cell r="A59" t="str">
            <v xml:space="preserve"> goodwill</v>
          </cell>
          <cell r="AD59">
            <v>0</v>
          </cell>
          <cell r="AF59">
            <v>87.563000000000002</v>
          </cell>
          <cell r="AJ59">
            <v>87.563000000000002</v>
          </cell>
          <cell r="AP59">
            <v>87.563000000000002</v>
          </cell>
          <cell r="AT59">
            <v>87.563000000000002</v>
          </cell>
          <cell r="AV59">
            <v>-87.563000000000002</v>
          </cell>
          <cell r="AX59">
            <v>0</v>
          </cell>
          <cell r="AY59">
            <v>0</v>
          </cell>
          <cell r="AZ59" t="str">
            <v xml:space="preserve"> goodwill</v>
          </cell>
          <cell r="BU59">
            <v>0</v>
          </cell>
          <cell r="BX59">
            <v>0</v>
          </cell>
          <cell r="CD59">
            <v>0</v>
          </cell>
          <cell r="CF59">
            <v>203.32400000000001</v>
          </cell>
          <cell r="CJ59">
            <v>203.32400000000001</v>
          </cell>
          <cell r="CP59">
            <v>203.32400000000001</v>
          </cell>
          <cell r="CT59">
            <v>203.32400000000001</v>
          </cell>
          <cell r="CV59">
            <v>-203.32400000000001</v>
          </cell>
          <cell r="CX59">
            <v>0</v>
          </cell>
          <cell r="FF59">
            <v>0</v>
          </cell>
          <cell r="FN59">
            <v>0</v>
          </cell>
          <cell r="FO59">
            <v>383.92899999999997</v>
          </cell>
          <cell r="FR59">
            <v>383.92899999999997</v>
          </cell>
          <cell r="FS59">
            <v>0</v>
          </cell>
          <cell r="FT59">
            <v>383.92899999999997</v>
          </cell>
          <cell r="FU59">
            <v>-383.92899999999997</v>
          </cell>
          <cell r="FV59">
            <v>0</v>
          </cell>
          <cell r="FW59" t="str">
            <v xml:space="preserve"> goodwill</v>
          </cell>
          <cell r="FX59">
            <v>0</v>
          </cell>
          <cell r="FY59">
            <v>383.92899999999997</v>
          </cell>
          <cell r="FZ59">
            <v>-383.92899999999997</v>
          </cell>
          <cell r="GA59">
            <v>0</v>
          </cell>
          <cell r="GB59">
            <v>0</v>
          </cell>
          <cell r="GC59">
            <v>0</v>
          </cell>
          <cell r="GD59">
            <v>0</v>
          </cell>
          <cell r="GE59">
            <v>0</v>
          </cell>
          <cell r="GF59" t="e">
            <v>#DIV/0!</v>
          </cell>
          <cell r="GG59">
            <v>508.35009797517972</v>
          </cell>
          <cell r="GH59">
            <v>0</v>
          </cell>
        </row>
        <row r="60">
          <cell r="B60" t="str">
            <v xml:space="preserve">total </v>
          </cell>
          <cell r="C60">
            <v>909.452</v>
          </cell>
          <cell r="E60">
            <v>0</v>
          </cell>
          <cell r="G60">
            <v>0</v>
          </cell>
          <cell r="I60">
            <v>909.452</v>
          </cell>
          <cell r="M60">
            <v>0</v>
          </cell>
          <cell r="O60">
            <v>0</v>
          </cell>
          <cell r="Q60">
            <v>0</v>
          </cell>
          <cell r="S60">
            <v>0</v>
          </cell>
          <cell r="U60">
            <v>0</v>
          </cell>
          <cell r="Z60">
            <v>0</v>
          </cell>
          <cell r="AB60">
            <v>0</v>
          </cell>
          <cell r="AD60">
            <v>0</v>
          </cell>
          <cell r="AF60">
            <v>8656.7389999999996</v>
          </cell>
          <cell r="AH60">
            <v>2329.5149999999999</v>
          </cell>
          <cell r="AJ60">
            <v>10986.253999999999</v>
          </cell>
          <cell r="AN60">
            <v>-10898.690999999999</v>
          </cell>
          <cell r="AP60">
            <v>87.563000000000002</v>
          </cell>
          <cell r="AR60">
            <v>0</v>
          </cell>
          <cell r="AT60">
            <v>997.01499999999999</v>
          </cell>
          <cell r="AV60">
            <v>-997.01499999999999</v>
          </cell>
          <cell r="AX60">
            <v>0</v>
          </cell>
          <cell r="AY60">
            <v>0</v>
          </cell>
          <cell r="BA60" t="str">
            <v xml:space="preserve">total </v>
          </cell>
          <cell r="BC60">
            <v>3783.3209999999999</v>
          </cell>
          <cell r="BE60">
            <v>0</v>
          </cell>
          <cell r="BG60">
            <v>0</v>
          </cell>
          <cell r="BI60">
            <v>3783.3209999999999</v>
          </cell>
          <cell r="BO60">
            <v>0</v>
          </cell>
          <cell r="BQ60">
            <v>0</v>
          </cell>
          <cell r="BS60">
            <v>0</v>
          </cell>
          <cell r="BU60">
            <v>0</v>
          </cell>
          <cell r="BX60">
            <v>0</v>
          </cell>
          <cell r="BZ60">
            <v>0</v>
          </cell>
          <cell r="CB60">
            <v>0</v>
          </cell>
          <cell r="CD60">
            <v>0</v>
          </cell>
          <cell r="CF60">
            <v>5119.1140000000005</v>
          </cell>
          <cell r="CH60">
            <v>1948.2059999999983</v>
          </cell>
          <cell r="CJ60">
            <v>7067.32</v>
          </cell>
          <cell r="CL60">
            <v>0</v>
          </cell>
          <cell r="CN60">
            <v>-6863.9959999999992</v>
          </cell>
          <cell r="CP60">
            <v>203.32400000000001</v>
          </cell>
          <cell r="CR60">
            <v>0</v>
          </cell>
          <cell r="CT60">
            <v>3986.645</v>
          </cell>
          <cell r="CV60">
            <v>-3986.645</v>
          </cell>
          <cell r="CX60">
            <v>0</v>
          </cell>
          <cell r="FC60">
            <v>3783.3209999999999</v>
          </cell>
          <cell r="FE60">
            <v>0</v>
          </cell>
          <cell r="FF60">
            <v>3783.3209999999999</v>
          </cell>
          <cell r="FI60">
            <v>0</v>
          </cell>
          <cell r="FM60">
            <v>0</v>
          </cell>
          <cell r="FN60">
            <v>0</v>
          </cell>
          <cell r="FO60">
            <v>46379.833219</v>
          </cell>
          <cell r="FQ60">
            <v>-45995.904219000004</v>
          </cell>
          <cell r="FR60">
            <v>383.92899999999645</v>
          </cell>
          <cell r="FS60">
            <v>0</v>
          </cell>
          <cell r="FT60">
            <v>4167.25</v>
          </cell>
          <cell r="FU60">
            <v>-4167.25</v>
          </cell>
          <cell r="FV60">
            <v>0</v>
          </cell>
          <cell r="FX60">
            <v>0</v>
          </cell>
          <cell r="FY60">
            <v>383.92899999999997</v>
          </cell>
          <cell r="FZ60">
            <v>-383.92899999999997</v>
          </cell>
          <cell r="GA60">
            <v>0</v>
          </cell>
          <cell r="GB60">
            <v>0</v>
          </cell>
          <cell r="GC60">
            <v>0</v>
          </cell>
          <cell r="GD60">
            <v>0</v>
          </cell>
          <cell r="GE60">
            <v>0</v>
          </cell>
          <cell r="GF60" t="e">
            <v>#DIV/0!</v>
          </cell>
          <cell r="GG60">
            <v>508.35009797517972</v>
          </cell>
          <cell r="GH60">
            <v>0</v>
          </cell>
        </row>
        <row r="61">
          <cell r="A61" t="str">
            <v>EDOM-shares</v>
          </cell>
          <cell r="B61">
            <v>0.7</v>
          </cell>
          <cell r="Q61">
            <v>0.22800000000000001</v>
          </cell>
          <cell r="U61">
            <v>0.22800000000000001</v>
          </cell>
          <cell r="AD61">
            <v>0.22800000000000001</v>
          </cell>
          <cell r="AJ61">
            <v>0</v>
          </cell>
          <cell r="AP61">
            <v>0</v>
          </cell>
          <cell r="AT61">
            <v>0.22800000000000001</v>
          </cell>
          <cell r="AX61">
            <v>0.22800000000000001</v>
          </cell>
          <cell r="AY61">
            <v>0</v>
          </cell>
          <cell r="AZ61" t="str">
            <v>EDOM-shares</v>
          </cell>
          <cell r="BA61">
            <v>0.7</v>
          </cell>
          <cell r="BQ61">
            <v>0.7</v>
          </cell>
          <cell r="BU61">
            <v>0.7</v>
          </cell>
          <cell r="BX61">
            <v>0</v>
          </cell>
          <cell r="CB61">
            <v>-0.7</v>
          </cell>
          <cell r="CD61">
            <v>0</v>
          </cell>
          <cell r="CT61">
            <v>0</v>
          </cell>
          <cell r="CX61">
            <v>0</v>
          </cell>
          <cell r="FI61">
            <v>0.86099999999999999</v>
          </cell>
          <cell r="FM61">
            <v>-0.86099999999999999</v>
          </cell>
          <cell r="FN61">
            <v>0</v>
          </cell>
          <cell r="FS61">
            <v>0</v>
          </cell>
          <cell r="FT61">
            <v>0</v>
          </cell>
          <cell r="FU61">
            <v>0</v>
          </cell>
          <cell r="FV61">
            <v>0</v>
          </cell>
          <cell r="FW61" t="str">
            <v>EDOM-shares</v>
          </cell>
          <cell r="FX61">
            <v>0</v>
          </cell>
          <cell r="FY61">
            <v>0</v>
          </cell>
          <cell r="GA61">
            <v>0</v>
          </cell>
          <cell r="GB61">
            <v>0</v>
          </cell>
          <cell r="GC61">
            <v>0</v>
          </cell>
          <cell r="GD61">
            <v>0</v>
          </cell>
          <cell r="GE61">
            <v>0</v>
          </cell>
          <cell r="GF61">
            <v>0</v>
          </cell>
          <cell r="GG61">
            <v>0</v>
          </cell>
          <cell r="GH61">
            <v>0</v>
          </cell>
        </row>
        <row r="62">
          <cell r="A62" t="str">
            <v xml:space="preserve"> long term loans</v>
          </cell>
          <cell r="Q62">
            <v>1233.5160000000001</v>
          </cell>
          <cell r="S62">
            <v>-186.898</v>
          </cell>
          <cell r="U62">
            <v>1046.6180000000002</v>
          </cell>
          <cell r="AB62">
            <v>-1046.6180000000002</v>
          </cell>
          <cell r="AD62">
            <v>0</v>
          </cell>
          <cell r="AJ62">
            <v>0</v>
          </cell>
          <cell r="AP62">
            <v>0</v>
          </cell>
          <cell r="AT62">
            <v>0</v>
          </cell>
          <cell r="AX62">
            <v>0</v>
          </cell>
          <cell r="AY62">
            <v>0</v>
          </cell>
          <cell r="AZ62" t="str">
            <v xml:space="preserve"> long term loans</v>
          </cell>
          <cell r="BQ62">
            <v>4353.9319999999998</v>
          </cell>
          <cell r="BU62">
            <v>4353.9319999999998</v>
          </cell>
          <cell r="BX62">
            <v>0</v>
          </cell>
          <cell r="CB62">
            <v>-4353.9319999999998</v>
          </cell>
          <cell r="CD62">
            <v>0</v>
          </cell>
          <cell r="CT62">
            <v>0</v>
          </cell>
          <cell r="CX62">
            <v>0</v>
          </cell>
          <cell r="FF62">
            <v>0</v>
          </cell>
          <cell r="FI62">
            <v>4352.9319999999998</v>
          </cell>
          <cell r="FM62">
            <v>-4352.9319999999998</v>
          </cell>
          <cell r="FN62">
            <v>0</v>
          </cell>
          <cell r="FR62">
            <v>0</v>
          </cell>
          <cell r="FS62">
            <v>0</v>
          </cell>
          <cell r="FT62">
            <v>0</v>
          </cell>
          <cell r="FU62">
            <v>0</v>
          </cell>
          <cell r="FV62">
            <v>0</v>
          </cell>
          <cell r="FW62" t="str">
            <v xml:space="preserve"> long term loans</v>
          </cell>
          <cell r="FX62">
            <v>0</v>
          </cell>
          <cell r="FY62">
            <v>0</v>
          </cell>
          <cell r="GA62">
            <v>0</v>
          </cell>
          <cell r="GB62">
            <v>0</v>
          </cell>
          <cell r="GC62">
            <v>0</v>
          </cell>
          <cell r="GD62">
            <v>0</v>
          </cell>
          <cell r="GE62">
            <v>0</v>
          </cell>
          <cell r="GF62" t="e">
            <v>#DIV/0!</v>
          </cell>
          <cell r="GG62">
            <v>0</v>
          </cell>
          <cell r="GH62">
            <v>0</v>
          </cell>
          <cell r="GT62" t="str">
            <v xml:space="preserve">דוח דולר  </v>
          </cell>
        </row>
        <row r="63">
          <cell r="A63" t="str">
            <v xml:space="preserve"> accumulated profit</v>
          </cell>
          <cell r="Q63">
            <v>120</v>
          </cell>
          <cell r="U63">
            <v>120</v>
          </cell>
          <cell r="AB63">
            <v>-120</v>
          </cell>
          <cell r="AD63">
            <v>0</v>
          </cell>
          <cell r="AJ63">
            <v>0</v>
          </cell>
          <cell r="AP63">
            <v>0</v>
          </cell>
          <cell r="AT63">
            <v>0</v>
          </cell>
          <cell r="AX63">
            <v>0</v>
          </cell>
          <cell r="AY63">
            <v>0</v>
          </cell>
          <cell r="AZ63" t="str">
            <v xml:space="preserve"> accumulated profit</v>
          </cell>
          <cell r="BQ63">
            <v>103.145</v>
          </cell>
          <cell r="BU63">
            <v>103.145</v>
          </cell>
          <cell r="BX63">
            <v>0</v>
          </cell>
          <cell r="CB63">
            <v>-103.145</v>
          </cell>
          <cell r="CD63">
            <v>0</v>
          </cell>
          <cell r="CT63">
            <v>0</v>
          </cell>
          <cell r="CX63">
            <v>0</v>
          </cell>
          <cell r="FF63">
            <v>0</v>
          </cell>
          <cell r="FI63">
            <v>438.38400000000001</v>
          </cell>
          <cell r="FM63">
            <v>-438.38400000000001</v>
          </cell>
          <cell r="FN63">
            <v>0</v>
          </cell>
          <cell r="FR63">
            <v>0</v>
          </cell>
          <cell r="FS63">
            <v>0</v>
          </cell>
          <cell r="FT63">
            <v>0</v>
          </cell>
          <cell r="FU63">
            <v>0</v>
          </cell>
          <cell r="FV63">
            <v>0</v>
          </cell>
          <cell r="FW63" t="str">
            <v xml:space="preserve"> accumulated profit</v>
          </cell>
          <cell r="FX63">
            <v>0</v>
          </cell>
          <cell r="FY63">
            <v>0</v>
          </cell>
          <cell r="GA63">
            <v>0</v>
          </cell>
          <cell r="GB63">
            <v>0</v>
          </cell>
          <cell r="GC63">
            <v>0</v>
          </cell>
          <cell r="GD63">
            <v>0</v>
          </cell>
          <cell r="GE63">
            <v>0</v>
          </cell>
          <cell r="GF63" t="e">
            <v>#DIV/0!</v>
          </cell>
          <cell r="GG63">
            <v>0</v>
          </cell>
          <cell r="GH63">
            <v>0</v>
          </cell>
        </row>
        <row r="64">
          <cell r="A64" t="str">
            <v xml:space="preserve"> profit-(equity method)</v>
          </cell>
          <cell r="Q64">
            <v>165.3738153846154</v>
          </cell>
          <cell r="U64">
            <v>165.3738153846154</v>
          </cell>
          <cell r="AB64">
            <v>-165.3738153846154</v>
          </cell>
          <cell r="AD64">
            <v>0</v>
          </cell>
          <cell r="AJ64">
            <v>0</v>
          </cell>
          <cell r="AP64">
            <v>0</v>
          </cell>
          <cell r="AT64">
            <v>0</v>
          </cell>
          <cell r="AX64">
            <v>0</v>
          </cell>
          <cell r="AY64">
            <v>0</v>
          </cell>
          <cell r="AZ64" t="str">
            <v xml:space="preserve"> profit-(equity method)</v>
          </cell>
          <cell r="BQ64">
            <v>436</v>
          </cell>
          <cell r="BU64">
            <v>436</v>
          </cell>
          <cell r="BX64">
            <v>0</v>
          </cell>
          <cell r="CB64">
            <v>-436</v>
          </cell>
          <cell r="CD64">
            <v>0</v>
          </cell>
          <cell r="CT64">
            <v>0</v>
          </cell>
          <cell r="CX64">
            <v>0</v>
          </cell>
          <cell r="FF64">
            <v>0</v>
          </cell>
          <cell r="FI64">
            <v>546</v>
          </cell>
          <cell r="FM64">
            <v>-546</v>
          </cell>
          <cell r="FN64">
            <v>0</v>
          </cell>
          <cell r="FR64">
            <v>0</v>
          </cell>
          <cell r="FS64">
            <v>0</v>
          </cell>
          <cell r="FT64">
            <v>0</v>
          </cell>
          <cell r="FU64">
            <v>0</v>
          </cell>
          <cell r="FV64">
            <v>0</v>
          </cell>
          <cell r="FW64" t="str">
            <v xml:space="preserve"> profit-(equity method)</v>
          </cell>
          <cell r="FX64">
            <v>0</v>
          </cell>
          <cell r="FY64">
            <v>0</v>
          </cell>
          <cell r="GA64">
            <v>0</v>
          </cell>
          <cell r="GB64">
            <v>0</v>
          </cell>
          <cell r="GC64">
            <v>0</v>
          </cell>
          <cell r="GD64">
            <v>0</v>
          </cell>
          <cell r="GE64">
            <v>0</v>
          </cell>
          <cell r="GF64" t="e">
            <v>#DIV/0!</v>
          </cell>
          <cell r="GG64">
            <v>0</v>
          </cell>
          <cell r="GH64">
            <v>0</v>
          </cell>
          <cell r="HD64" t="str">
            <v xml:space="preserve"> דוח  מותאם למדד</v>
          </cell>
        </row>
        <row r="65">
          <cell r="C65">
            <v>0</v>
          </cell>
          <cell r="E65">
            <v>0</v>
          </cell>
          <cell r="G65">
            <v>0</v>
          </cell>
          <cell r="I65">
            <v>0</v>
          </cell>
          <cell r="M65">
            <v>0</v>
          </cell>
          <cell r="O65">
            <v>0</v>
          </cell>
          <cell r="Q65">
            <v>1519.1178153846156</v>
          </cell>
          <cell r="S65">
            <v>-186.898</v>
          </cell>
          <cell r="U65">
            <v>1332.2198153846157</v>
          </cell>
          <cell r="Z65">
            <v>0</v>
          </cell>
          <cell r="AB65">
            <v>-1331.9918153846156</v>
          </cell>
          <cell r="AD65">
            <v>0.22800000000000001</v>
          </cell>
          <cell r="AF65">
            <v>0</v>
          </cell>
          <cell r="AH65">
            <v>0</v>
          </cell>
          <cell r="AJ65">
            <v>0</v>
          </cell>
          <cell r="AL65">
            <v>0</v>
          </cell>
          <cell r="AN65">
            <v>0</v>
          </cell>
          <cell r="AP65">
            <v>0</v>
          </cell>
          <cell r="AR65">
            <v>0</v>
          </cell>
          <cell r="AT65">
            <v>0.22800000000000001</v>
          </cell>
          <cell r="AV65">
            <v>0</v>
          </cell>
          <cell r="AX65">
            <v>0.22800000000000001</v>
          </cell>
          <cell r="AY65">
            <v>0</v>
          </cell>
          <cell r="BC65">
            <v>0</v>
          </cell>
          <cell r="BE65">
            <v>0</v>
          </cell>
          <cell r="BG65">
            <v>0</v>
          </cell>
          <cell r="BI65">
            <v>0</v>
          </cell>
          <cell r="BO65">
            <v>0</v>
          </cell>
          <cell r="BQ65">
            <v>4893.777</v>
          </cell>
          <cell r="BS65">
            <v>0</v>
          </cell>
          <cell r="BU65">
            <v>4893.777</v>
          </cell>
          <cell r="BX65">
            <v>0</v>
          </cell>
          <cell r="BZ65">
            <v>0</v>
          </cell>
          <cell r="CB65">
            <v>-4893.777</v>
          </cell>
          <cell r="CD65">
            <v>0</v>
          </cell>
          <cell r="CF65">
            <v>0</v>
          </cell>
          <cell r="CH65">
            <v>0</v>
          </cell>
          <cell r="CJ65">
            <v>0</v>
          </cell>
          <cell r="CL65">
            <v>0</v>
          </cell>
          <cell r="CN65">
            <v>0</v>
          </cell>
          <cell r="CP65">
            <v>0</v>
          </cell>
          <cell r="CR65">
            <v>0</v>
          </cell>
          <cell r="CT65">
            <v>0</v>
          </cell>
          <cell r="CV65">
            <v>0</v>
          </cell>
          <cell r="CX65">
            <v>0</v>
          </cell>
          <cell r="FC65">
            <v>0</v>
          </cell>
          <cell r="FE65">
            <v>0</v>
          </cell>
          <cell r="FF65">
            <v>0</v>
          </cell>
          <cell r="FI65">
            <v>5338.1769999999997</v>
          </cell>
          <cell r="FM65">
            <v>-5338.1769999999997</v>
          </cell>
          <cell r="FN65">
            <v>0</v>
          </cell>
          <cell r="FO65">
            <v>0</v>
          </cell>
          <cell r="FQ65">
            <v>0</v>
          </cell>
          <cell r="FR65">
            <v>0</v>
          </cell>
          <cell r="FS65">
            <v>0</v>
          </cell>
          <cell r="FT65">
            <v>0</v>
          </cell>
          <cell r="FU65">
            <v>0</v>
          </cell>
          <cell r="FV65">
            <v>0</v>
          </cell>
          <cell r="FX65">
            <v>0</v>
          </cell>
          <cell r="FY65">
            <v>0</v>
          </cell>
          <cell r="FZ65">
            <v>0</v>
          </cell>
          <cell r="GA65">
            <v>0</v>
          </cell>
          <cell r="GB65">
            <v>0</v>
          </cell>
          <cell r="GC65">
            <v>0</v>
          </cell>
          <cell r="GD65">
            <v>0</v>
          </cell>
          <cell r="GE65">
            <v>0</v>
          </cell>
          <cell r="GF65">
            <v>0</v>
          </cell>
          <cell r="GG65">
            <v>0</v>
          </cell>
          <cell r="GH65">
            <v>0</v>
          </cell>
        </row>
        <row r="66">
          <cell r="FX66">
            <v>0</v>
          </cell>
          <cell r="FY66">
            <v>0</v>
          </cell>
          <cell r="GA66">
            <v>0</v>
          </cell>
          <cell r="GB66">
            <v>0</v>
          </cell>
          <cell r="GC66">
            <v>0</v>
          </cell>
          <cell r="GD66">
            <v>0</v>
          </cell>
          <cell r="GE66">
            <v>0</v>
          </cell>
        </row>
        <row r="67">
          <cell r="A67" t="str">
            <v>NETCOM</v>
          </cell>
          <cell r="B67">
            <v>0.5</v>
          </cell>
          <cell r="C67">
            <v>3585</v>
          </cell>
          <cell r="G67">
            <v>-1084.5</v>
          </cell>
          <cell r="I67">
            <v>2500.5</v>
          </cell>
          <cell r="U67">
            <v>0</v>
          </cell>
          <cell r="AD67">
            <v>0</v>
          </cell>
          <cell r="AJ67">
            <v>0</v>
          </cell>
          <cell r="AP67">
            <v>0</v>
          </cell>
          <cell r="AT67">
            <v>2500.5</v>
          </cell>
          <cell r="AV67">
            <v>-2500.5</v>
          </cell>
          <cell r="AX67">
            <v>0</v>
          </cell>
          <cell r="AY67">
            <v>0</v>
          </cell>
          <cell r="AZ67" t="str">
            <v>NETCOM</v>
          </cell>
          <cell r="BA67">
            <v>0.5</v>
          </cell>
          <cell r="BC67">
            <v>11703.468000000001</v>
          </cell>
          <cell r="BI67">
            <v>11703.468000000001</v>
          </cell>
          <cell r="BX67">
            <v>0</v>
          </cell>
          <cell r="CD67">
            <v>0</v>
          </cell>
          <cell r="CJ67">
            <v>0</v>
          </cell>
          <cell r="CP67">
            <v>0</v>
          </cell>
          <cell r="CT67">
            <v>11703.468000000001</v>
          </cell>
          <cell r="CV67">
            <v>-11703.468000000001</v>
          </cell>
          <cell r="CX67">
            <v>0</v>
          </cell>
          <cell r="FC67">
            <v>13899.247550620512</v>
          </cell>
          <cell r="FF67">
            <v>13899.247550620512</v>
          </cell>
          <cell r="FN67">
            <v>0</v>
          </cell>
          <cell r="FO67">
            <v>0</v>
          </cell>
          <cell r="FR67">
            <v>0</v>
          </cell>
          <cell r="FS67">
            <v>0</v>
          </cell>
          <cell r="FT67">
            <v>13899.247550620512</v>
          </cell>
          <cell r="FU67">
            <v>-13899.247550620512</v>
          </cell>
          <cell r="FV67">
            <v>0</v>
          </cell>
          <cell r="FW67" t="str">
            <v>NETCOM</v>
          </cell>
          <cell r="FX67">
            <v>0</v>
          </cell>
          <cell r="FY67">
            <v>0</v>
          </cell>
          <cell r="GA67">
            <v>0</v>
          </cell>
          <cell r="GB67">
            <v>0</v>
          </cell>
          <cell r="GC67">
            <v>0</v>
          </cell>
          <cell r="GD67">
            <v>0</v>
          </cell>
          <cell r="GE67">
            <v>0</v>
          </cell>
          <cell r="GF67" t="e">
            <v>#DIV/0!</v>
          </cell>
          <cell r="GG67">
            <v>0</v>
          </cell>
          <cell r="GH67">
            <v>0</v>
          </cell>
        </row>
        <row r="68">
          <cell r="A68" t="str">
            <v xml:space="preserve"> long term loans</v>
          </cell>
          <cell r="I68">
            <v>0</v>
          </cell>
          <cell r="U68">
            <v>0</v>
          </cell>
          <cell r="AD68">
            <v>0</v>
          </cell>
          <cell r="AJ68">
            <v>0</v>
          </cell>
          <cell r="AP68">
            <v>0</v>
          </cell>
          <cell r="AT68">
            <v>0</v>
          </cell>
          <cell r="AX68">
            <v>0</v>
          </cell>
          <cell r="AY68">
            <v>0</v>
          </cell>
          <cell r="AZ68" t="str">
            <v xml:space="preserve"> long term loans</v>
          </cell>
          <cell r="BI68">
            <v>0</v>
          </cell>
          <cell r="BX68">
            <v>0</v>
          </cell>
          <cell r="CD68">
            <v>0</v>
          </cell>
          <cell r="CJ68">
            <v>0</v>
          </cell>
          <cell r="CP68">
            <v>0</v>
          </cell>
          <cell r="CT68">
            <v>0</v>
          </cell>
          <cell r="CV68">
            <v>0</v>
          </cell>
          <cell r="CX68">
            <v>0</v>
          </cell>
          <cell r="FF68">
            <v>0</v>
          </cell>
          <cell r="FN68">
            <v>0</v>
          </cell>
          <cell r="FO68">
            <v>0</v>
          </cell>
          <cell r="FR68">
            <v>0</v>
          </cell>
          <cell r="FS68">
            <v>0</v>
          </cell>
          <cell r="FT68">
            <v>0</v>
          </cell>
          <cell r="FU68">
            <v>0</v>
          </cell>
          <cell r="FV68">
            <v>0</v>
          </cell>
          <cell r="FW68" t="str">
            <v xml:space="preserve"> long term loans</v>
          </cell>
          <cell r="FX68">
            <v>0</v>
          </cell>
          <cell r="FY68">
            <v>0</v>
          </cell>
          <cell r="GA68">
            <v>0</v>
          </cell>
          <cell r="GB68">
            <v>0</v>
          </cell>
          <cell r="GC68">
            <v>0</v>
          </cell>
          <cell r="GD68">
            <v>0</v>
          </cell>
          <cell r="GE68">
            <v>0</v>
          </cell>
          <cell r="GF68" t="e">
            <v>#DIV/0!</v>
          </cell>
          <cell r="GG68">
            <v>0</v>
          </cell>
          <cell r="GH68">
            <v>0</v>
          </cell>
        </row>
        <row r="69">
          <cell r="A69" t="str">
            <v xml:space="preserve"> accumulated loss</v>
          </cell>
          <cell r="C69">
            <v>-36</v>
          </cell>
          <cell r="G69">
            <v>1084.5</v>
          </cell>
          <cell r="I69">
            <v>1048.5</v>
          </cell>
          <cell r="U69">
            <v>0</v>
          </cell>
          <cell r="AD69">
            <v>0</v>
          </cell>
          <cell r="AJ69">
            <v>0</v>
          </cell>
          <cell r="AP69">
            <v>0</v>
          </cell>
          <cell r="AT69">
            <v>1048.5</v>
          </cell>
          <cell r="AV69">
            <v>-1048.5</v>
          </cell>
          <cell r="AX69">
            <v>0</v>
          </cell>
          <cell r="AY69">
            <v>0</v>
          </cell>
          <cell r="AZ69" t="str">
            <v xml:space="preserve"> accumulated loss</v>
          </cell>
          <cell r="BC69">
            <v>-328</v>
          </cell>
          <cell r="BI69">
            <v>-328</v>
          </cell>
          <cell r="BX69">
            <v>0</v>
          </cell>
          <cell r="CD69">
            <v>0</v>
          </cell>
          <cell r="CJ69">
            <v>0</v>
          </cell>
          <cell r="CP69">
            <v>0</v>
          </cell>
          <cell r="CT69">
            <v>-328</v>
          </cell>
          <cell r="CV69">
            <v>328</v>
          </cell>
          <cell r="CX69">
            <v>0</v>
          </cell>
          <cell r="FC69">
            <v>-268.29588504245595</v>
          </cell>
          <cell r="FF69">
            <v>-268.29588504245595</v>
          </cell>
          <cell r="FN69">
            <v>0</v>
          </cell>
          <cell r="FO69">
            <v>0</v>
          </cell>
          <cell r="FR69">
            <v>0</v>
          </cell>
          <cell r="FS69">
            <v>0</v>
          </cell>
          <cell r="FT69">
            <v>-268.29588504245595</v>
          </cell>
          <cell r="FU69">
            <v>268.29588504245595</v>
          </cell>
          <cell r="FV69">
            <v>0</v>
          </cell>
          <cell r="FW69" t="str">
            <v xml:space="preserve"> accumulated loss</v>
          </cell>
          <cell r="FX69">
            <v>0</v>
          </cell>
          <cell r="FY69">
            <v>0</v>
          </cell>
          <cell r="GA69">
            <v>0</v>
          </cell>
          <cell r="GB69">
            <v>0</v>
          </cell>
          <cell r="GC69">
            <v>0</v>
          </cell>
          <cell r="GD69">
            <v>0</v>
          </cell>
          <cell r="GE69">
            <v>0</v>
          </cell>
          <cell r="GF69" t="e">
            <v>#DIV/0!</v>
          </cell>
          <cell r="GG69">
            <v>0</v>
          </cell>
          <cell r="GH69">
            <v>0</v>
          </cell>
          <cell r="GW69" t="str">
            <v xml:space="preserve">    הכל</v>
          </cell>
        </row>
        <row r="70">
          <cell r="A70" t="str">
            <v xml:space="preserve"> loss-(equity method)</v>
          </cell>
          <cell r="C70">
            <v>-69.5</v>
          </cell>
          <cell r="G70">
            <v>2</v>
          </cell>
          <cell r="I70">
            <v>-67.5</v>
          </cell>
          <cell r="U70">
            <v>0</v>
          </cell>
          <cell r="AD70">
            <v>0</v>
          </cell>
          <cell r="AJ70">
            <v>0</v>
          </cell>
          <cell r="AP70">
            <v>0</v>
          </cell>
          <cell r="AT70">
            <v>-67.5</v>
          </cell>
          <cell r="AV70">
            <v>67.5</v>
          </cell>
          <cell r="AX70">
            <v>0</v>
          </cell>
          <cell r="AY70">
            <v>0</v>
          </cell>
          <cell r="AZ70" t="str">
            <v xml:space="preserve"> loss-(equity method)</v>
          </cell>
          <cell r="BC70">
            <v>1551</v>
          </cell>
          <cell r="BG70">
            <v>792.77499999999998</v>
          </cell>
          <cell r="BI70">
            <v>2343.7750000000001</v>
          </cell>
          <cell r="BX70">
            <v>0</v>
          </cell>
          <cell r="CD70">
            <v>0</v>
          </cell>
          <cell r="CJ70">
            <v>0</v>
          </cell>
          <cell r="CP70">
            <v>0</v>
          </cell>
          <cell r="CT70">
            <v>2343.7750000000001</v>
          </cell>
          <cell r="CV70">
            <v>-2343.7750000000001</v>
          </cell>
          <cell r="CX70">
            <v>0</v>
          </cell>
          <cell r="FC70">
            <v>603</v>
          </cell>
          <cell r="FE70">
            <v>0</v>
          </cell>
          <cell r="FF70">
            <v>603</v>
          </cell>
          <cell r="FN70">
            <v>0</v>
          </cell>
          <cell r="FO70">
            <v>0</v>
          </cell>
          <cell r="FR70">
            <v>0</v>
          </cell>
          <cell r="FS70">
            <v>0</v>
          </cell>
          <cell r="FT70">
            <v>603</v>
          </cell>
          <cell r="FU70">
            <v>-603</v>
          </cell>
          <cell r="FV70">
            <v>0</v>
          </cell>
          <cell r="FW70" t="str">
            <v xml:space="preserve"> loss-(equity method)</v>
          </cell>
          <cell r="FX70">
            <v>0</v>
          </cell>
          <cell r="FY70">
            <v>0</v>
          </cell>
          <cell r="GA70">
            <v>0</v>
          </cell>
          <cell r="GB70">
            <v>0</v>
          </cell>
          <cell r="GC70">
            <v>0</v>
          </cell>
          <cell r="GD70">
            <v>0</v>
          </cell>
          <cell r="GE70">
            <v>0</v>
          </cell>
          <cell r="GF70" t="e">
            <v>#DIV/0!</v>
          </cell>
          <cell r="GG70">
            <v>0</v>
          </cell>
          <cell r="GH70">
            <v>0</v>
          </cell>
        </row>
        <row r="71">
          <cell r="A71" t="str">
            <v xml:space="preserve"> goodwill</v>
          </cell>
          <cell r="C71">
            <v>1162</v>
          </cell>
          <cell r="I71">
            <v>1162</v>
          </cell>
          <cell r="U71">
            <v>0</v>
          </cell>
          <cell r="AD71">
            <v>0</v>
          </cell>
          <cell r="AJ71">
            <v>0</v>
          </cell>
          <cell r="AP71">
            <v>0</v>
          </cell>
          <cell r="AT71">
            <v>1162</v>
          </cell>
          <cell r="AV71">
            <v>-1162</v>
          </cell>
          <cell r="AX71">
            <v>0</v>
          </cell>
          <cell r="AY71">
            <v>0</v>
          </cell>
          <cell r="AZ71" t="str">
            <v xml:space="preserve"> goodwill</v>
          </cell>
          <cell r="BC71">
            <v>4413</v>
          </cell>
          <cell r="BI71">
            <v>4413</v>
          </cell>
          <cell r="BX71">
            <v>0</v>
          </cell>
          <cell r="CD71">
            <v>0</v>
          </cell>
          <cell r="CJ71">
            <v>0</v>
          </cell>
          <cell r="CP71">
            <v>0</v>
          </cell>
          <cell r="CT71">
            <v>4413</v>
          </cell>
          <cell r="CV71">
            <v>-4413</v>
          </cell>
          <cell r="CX71">
            <v>0</v>
          </cell>
          <cell r="FC71">
            <v>4228</v>
          </cell>
          <cell r="FF71">
            <v>4228</v>
          </cell>
          <cell r="FN71">
            <v>0</v>
          </cell>
          <cell r="FO71">
            <v>0</v>
          </cell>
          <cell r="FR71">
            <v>0</v>
          </cell>
          <cell r="FS71">
            <v>0</v>
          </cell>
          <cell r="FT71">
            <v>4228</v>
          </cell>
          <cell r="FU71">
            <v>-4228</v>
          </cell>
          <cell r="FV71">
            <v>0</v>
          </cell>
          <cell r="FW71" t="str">
            <v xml:space="preserve"> goodwill</v>
          </cell>
          <cell r="FX71">
            <v>0</v>
          </cell>
          <cell r="FY71">
            <v>0</v>
          </cell>
          <cell r="GA71">
            <v>0</v>
          </cell>
          <cell r="GB71">
            <v>0</v>
          </cell>
          <cell r="GC71">
            <v>0</v>
          </cell>
          <cell r="GD71">
            <v>0</v>
          </cell>
          <cell r="GE71">
            <v>0</v>
          </cell>
          <cell r="GF71" t="e">
            <v>#DIV/0!</v>
          </cell>
          <cell r="GG71">
            <v>4726.135205747878</v>
          </cell>
          <cell r="GH71">
            <v>0</v>
          </cell>
        </row>
        <row r="72">
          <cell r="A72" t="str">
            <v xml:space="preserve">total </v>
          </cell>
          <cell r="C72">
            <v>4641.5</v>
          </cell>
          <cell r="E72">
            <v>0</v>
          </cell>
          <cell r="G72">
            <v>2</v>
          </cell>
          <cell r="I72">
            <v>4643.5</v>
          </cell>
          <cell r="M72">
            <v>0</v>
          </cell>
          <cell r="O72">
            <v>0</v>
          </cell>
          <cell r="Q72">
            <v>0</v>
          </cell>
          <cell r="S72">
            <v>0</v>
          </cell>
          <cell r="U72">
            <v>0</v>
          </cell>
          <cell r="Z72">
            <v>0</v>
          </cell>
          <cell r="AB72">
            <v>0</v>
          </cell>
          <cell r="AD72">
            <v>0</v>
          </cell>
          <cell r="AF72">
            <v>0</v>
          </cell>
          <cell r="AH72">
            <v>0</v>
          </cell>
          <cell r="AJ72">
            <v>0</v>
          </cell>
          <cell r="AL72">
            <v>0</v>
          </cell>
          <cell r="AN72">
            <v>0</v>
          </cell>
          <cell r="AP72">
            <v>0</v>
          </cell>
          <cell r="AR72">
            <v>0</v>
          </cell>
          <cell r="AT72">
            <v>4643.5</v>
          </cell>
          <cell r="AV72">
            <v>-4643.5</v>
          </cell>
          <cell r="AX72">
            <v>0</v>
          </cell>
          <cell r="AY72">
            <v>0</v>
          </cell>
          <cell r="AZ72" t="str">
            <v xml:space="preserve">total </v>
          </cell>
          <cell r="BA72" t="str">
            <v xml:space="preserve">total </v>
          </cell>
          <cell r="BC72">
            <v>17339.468000000001</v>
          </cell>
          <cell r="BE72">
            <v>0</v>
          </cell>
          <cell r="BG72">
            <v>792.77499999999998</v>
          </cell>
          <cell r="BI72">
            <v>18132.243000000002</v>
          </cell>
          <cell r="BO72">
            <v>0</v>
          </cell>
          <cell r="BQ72">
            <v>0</v>
          </cell>
          <cell r="BS72">
            <v>0</v>
          </cell>
          <cell r="BU72">
            <v>0</v>
          </cell>
          <cell r="BX72">
            <v>0</v>
          </cell>
          <cell r="BZ72">
            <v>0</v>
          </cell>
          <cell r="CB72">
            <v>0</v>
          </cell>
          <cell r="CD72">
            <v>0</v>
          </cell>
          <cell r="CF72">
            <v>0</v>
          </cell>
          <cell r="CH72">
            <v>0</v>
          </cell>
          <cell r="CJ72">
            <v>0</v>
          </cell>
          <cell r="CL72">
            <v>0</v>
          </cell>
          <cell r="CN72">
            <v>0</v>
          </cell>
          <cell r="CP72">
            <v>0</v>
          </cell>
          <cell r="CR72">
            <v>0</v>
          </cell>
          <cell r="CT72">
            <v>18132.243000000002</v>
          </cell>
          <cell r="CV72">
            <v>-18132.243000000002</v>
          </cell>
          <cell r="CX72">
            <v>0</v>
          </cell>
          <cell r="FC72">
            <v>18461.951665578054</v>
          </cell>
          <cell r="FE72">
            <v>0</v>
          </cell>
          <cell r="FF72">
            <v>18461.951665578054</v>
          </cell>
          <cell r="FI72">
            <v>0</v>
          </cell>
          <cell r="FM72">
            <v>0</v>
          </cell>
          <cell r="FN72">
            <v>0</v>
          </cell>
          <cell r="FO72">
            <v>0</v>
          </cell>
          <cell r="FQ72">
            <v>0</v>
          </cell>
          <cell r="FR72">
            <v>0</v>
          </cell>
          <cell r="FS72">
            <v>0</v>
          </cell>
          <cell r="FT72">
            <v>18461.951665578054</v>
          </cell>
          <cell r="FU72">
            <v>-18461.951665578054</v>
          </cell>
          <cell r="FV72">
            <v>0</v>
          </cell>
          <cell r="FW72" t="str">
            <v xml:space="preserve">total </v>
          </cell>
          <cell r="FX72">
            <v>0</v>
          </cell>
          <cell r="FY72">
            <v>0</v>
          </cell>
          <cell r="FZ72">
            <v>0</v>
          </cell>
          <cell r="GA72">
            <v>0</v>
          </cell>
          <cell r="GB72">
            <v>0</v>
          </cell>
          <cell r="GC72">
            <v>0</v>
          </cell>
          <cell r="GD72">
            <v>0</v>
          </cell>
          <cell r="GE72">
            <v>0</v>
          </cell>
          <cell r="GF72" t="e">
            <v>#DIV/0!</v>
          </cell>
          <cell r="GG72">
            <v>4726.135205747878</v>
          </cell>
          <cell r="GH72">
            <v>0</v>
          </cell>
        </row>
        <row r="73">
          <cell r="A73" t="str">
            <v>MADRICHE PNAI</v>
          </cell>
          <cell r="B73">
            <v>0.5</v>
          </cell>
          <cell r="C73">
            <v>-383.23</v>
          </cell>
          <cell r="I73">
            <v>-383.23</v>
          </cell>
          <cell r="U73">
            <v>0</v>
          </cell>
          <cell r="AD73">
            <v>0</v>
          </cell>
          <cell r="AJ73">
            <v>0</v>
          </cell>
          <cell r="AP73">
            <v>0</v>
          </cell>
          <cell r="AT73">
            <v>-383.23</v>
          </cell>
          <cell r="AV73">
            <v>383.23</v>
          </cell>
          <cell r="AX73">
            <v>0</v>
          </cell>
          <cell r="AY73">
            <v>0</v>
          </cell>
          <cell r="AZ73" t="str">
            <v>MADRICHE PNAI</v>
          </cell>
          <cell r="BA73">
            <v>0.5</v>
          </cell>
          <cell r="BC73">
            <v>-1458</v>
          </cell>
          <cell r="BI73">
            <v>-1458</v>
          </cell>
          <cell r="BX73">
            <v>0</v>
          </cell>
          <cell r="CD73">
            <v>0</v>
          </cell>
          <cell r="CJ73">
            <v>0</v>
          </cell>
          <cell r="CP73">
            <v>0</v>
          </cell>
          <cell r="CT73">
            <v>-1458</v>
          </cell>
          <cell r="CV73">
            <v>1458</v>
          </cell>
          <cell r="CX73">
            <v>0</v>
          </cell>
          <cell r="FC73">
            <v>-1515.7280000000001</v>
          </cell>
          <cell r="FF73">
            <v>-1515.7280000000001</v>
          </cell>
          <cell r="FN73">
            <v>0</v>
          </cell>
          <cell r="FO73">
            <v>0</v>
          </cell>
          <cell r="FR73">
            <v>0</v>
          </cell>
          <cell r="FS73">
            <v>0</v>
          </cell>
          <cell r="FT73">
            <v>-1515.7280000000001</v>
          </cell>
          <cell r="FU73">
            <v>1515.7280000000001</v>
          </cell>
          <cell r="FV73">
            <v>0</v>
          </cell>
          <cell r="FW73" t="str">
            <v>MADRICHE PNAI</v>
          </cell>
          <cell r="FX73">
            <v>0</v>
          </cell>
          <cell r="FY73">
            <v>0</v>
          </cell>
          <cell r="GA73">
            <v>0</v>
          </cell>
          <cell r="GB73">
            <v>0</v>
          </cell>
          <cell r="GC73">
            <v>0</v>
          </cell>
          <cell r="GD73">
            <v>0</v>
          </cell>
          <cell r="GE73">
            <v>0</v>
          </cell>
          <cell r="GF73" t="e">
            <v>#DIV/0!</v>
          </cell>
          <cell r="GG73">
            <v>0</v>
          </cell>
          <cell r="GH73">
            <v>0</v>
          </cell>
        </row>
        <row r="74">
          <cell r="A74" t="str">
            <v xml:space="preserve"> long term loans</v>
          </cell>
          <cell r="C74">
            <v>-5.5979999999999999</v>
          </cell>
          <cell r="I74">
            <v>-5.5979999999999999</v>
          </cell>
          <cell r="U74">
            <v>0</v>
          </cell>
          <cell r="AD74">
            <v>0</v>
          </cell>
          <cell r="AJ74">
            <v>0</v>
          </cell>
          <cell r="AP74">
            <v>0</v>
          </cell>
          <cell r="AT74">
            <v>-5.5979999999999999</v>
          </cell>
          <cell r="AV74">
            <v>5.5979999999999999</v>
          </cell>
          <cell r="AX74">
            <v>0</v>
          </cell>
          <cell r="AY74">
            <v>0</v>
          </cell>
          <cell r="AZ74" t="str">
            <v xml:space="preserve"> long term loans</v>
          </cell>
          <cell r="BC74">
            <v>-23.289000000000001</v>
          </cell>
          <cell r="BI74">
            <v>-23.289000000000001</v>
          </cell>
          <cell r="BX74">
            <v>0</v>
          </cell>
          <cell r="CD74">
            <v>0</v>
          </cell>
          <cell r="CJ74">
            <v>0</v>
          </cell>
          <cell r="CP74">
            <v>0</v>
          </cell>
          <cell r="CT74">
            <v>-23.289000000000001</v>
          </cell>
          <cell r="CV74">
            <v>23.289000000000001</v>
          </cell>
          <cell r="CX74">
            <v>0</v>
          </cell>
          <cell r="FC74">
            <v>-23.289000000000001</v>
          </cell>
          <cell r="FF74">
            <v>-23.289000000000001</v>
          </cell>
          <cell r="FN74">
            <v>0</v>
          </cell>
          <cell r="FO74">
            <v>0</v>
          </cell>
          <cell r="FR74">
            <v>0</v>
          </cell>
          <cell r="FS74">
            <v>0</v>
          </cell>
          <cell r="FT74">
            <v>-23.289000000000001</v>
          </cell>
          <cell r="FU74">
            <v>23.289000000000001</v>
          </cell>
          <cell r="FV74">
            <v>0</v>
          </cell>
          <cell r="FW74" t="str">
            <v xml:space="preserve"> long term loans</v>
          </cell>
          <cell r="FX74">
            <v>0</v>
          </cell>
          <cell r="FY74">
            <v>0</v>
          </cell>
          <cell r="GA74">
            <v>0</v>
          </cell>
          <cell r="GB74">
            <v>0</v>
          </cell>
          <cell r="GC74">
            <v>0</v>
          </cell>
          <cell r="GD74">
            <v>0</v>
          </cell>
          <cell r="GE74">
            <v>0</v>
          </cell>
          <cell r="GF74" t="e">
            <v>#DIV/0!</v>
          </cell>
          <cell r="GG74">
            <v>0</v>
          </cell>
          <cell r="GH74">
            <v>0</v>
          </cell>
        </row>
        <row r="75">
          <cell r="A75" t="str">
            <v xml:space="preserve"> accumulated profit</v>
          </cell>
          <cell r="C75">
            <v>243</v>
          </cell>
          <cell r="I75">
            <v>243</v>
          </cell>
          <cell r="U75">
            <v>0</v>
          </cell>
          <cell r="AD75">
            <v>0</v>
          </cell>
          <cell r="AJ75">
            <v>0</v>
          </cell>
          <cell r="AP75">
            <v>0</v>
          </cell>
          <cell r="AT75">
            <v>243</v>
          </cell>
          <cell r="AV75">
            <v>-243</v>
          </cell>
          <cell r="AX75">
            <v>0</v>
          </cell>
          <cell r="AY75">
            <v>0</v>
          </cell>
          <cell r="AZ75" t="str">
            <v xml:space="preserve"> accumulated profit</v>
          </cell>
          <cell r="BC75">
            <v>858</v>
          </cell>
          <cell r="BI75">
            <v>858</v>
          </cell>
          <cell r="BX75">
            <v>0</v>
          </cell>
          <cell r="CD75">
            <v>0</v>
          </cell>
          <cell r="CJ75">
            <v>0</v>
          </cell>
          <cell r="CP75">
            <v>0</v>
          </cell>
          <cell r="CT75">
            <v>858</v>
          </cell>
          <cell r="CV75">
            <v>-858</v>
          </cell>
          <cell r="CX75">
            <v>0</v>
          </cell>
          <cell r="FC75">
            <v>931.97517962116274</v>
          </cell>
          <cell r="FF75">
            <v>931.97517962116274</v>
          </cell>
          <cell r="FN75">
            <v>0</v>
          </cell>
          <cell r="FO75">
            <v>0</v>
          </cell>
          <cell r="FR75">
            <v>0</v>
          </cell>
          <cell r="FS75">
            <v>0</v>
          </cell>
          <cell r="FT75">
            <v>931.97517962116274</v>
          </cell>
          <cell r="FU75">
            <v>-931.97517962116274</v>
          </cell>
          <cell r="FV75">
            <v>0</v>
          </cell>
          <cell r="FW75" t="str">
            <v xml:space="preserve"> accumulated profit</v>
          </cell>
          <cell r="FX75">
            <v>0</v>
          </cell>
          <cell r="FY75">
            <v>0</v>
          </cell>
          <cell r="GA75">
            <v>0</v>
          </cell>
          <cell r="GB75">
            <v>0</v>
          </cell>
          <cell r="GC75">
            <v>0</v>
          </cell>
          <cell r="GD75">
            <v>0</v>
          </cell>
          <cell r="GE75">
            <v>0</v>
          </cell>
          <cell r="GF75" t="e">
            <v>#DIV/0!</v>
          </cell>
          <cell r="GG75">
            <v>0</v>
          </cell>
          <cell r="GH75">
            <v>0</v>
          </cell>
        </row>
        <row r="76">
          <cell r="A76" t="str">
            <v xml:space="preserve"> profit-(equity method)</v>
          </cell>
          <cell r="C76">
            <v>242.76400000000001</v>
          </cell>
          <cell r="G76">
            <v>0.26850961538445972</v>
          </cell>
          <cell r="I76">
            <v>243.03250961538447</v>
          </cell>
          <cell r="U76">
            <v>0</v>
          </cell>
          <cell r="AD76">
            <v>0</v>
          </cell>
          <cell r="AJ76">
            <v>0</v>
          </cell>
          <cell r="AP76">
            <v>0</v>
          </cell>
          <cell r="AT76">
            <v>243.03250961538447</v>
          </cell>
          <cell r="AV76">
            <v>-243.03250961538447</v>
          </cell>
          <cell r="AX76">
            <v>0</v>
          </cell>
          <cell r="AY76">
            <v>0</v>
          </cell>
          <cell r="AZ76" t="str">
            <v xml:space="preserve"> profit-(equity method)</v>
          </cell>
          <cell r="BC76">
            <v>1033.9590000000001</v>
          </cell>
          <cell r="BG76">
            <v>7.9999999995834514E-3</v>
          </cell>
          <cell r="BI76">
            <v>1033.9669999999996</v>
          </cell>
          <cell r="BX76">
            <v>0</v>
          </cell>
          <cell r="CD76">
            <v>0</v>
          </cell>
          <cell r="CJ76">
            <v>0</v>
          </cell>
          <cell r="CP76">
            <v>0</v>
          </cell>
          <cell r="CT76">
            <v>1033.9669999999996</v>
          </cell>
          <cell r="CV76">
            <v>-1033.9669999999996</v>
          </cell>
          <cell r="CX76">
            <v>0</v>
          </cell>
          <cell r="FC76">
            <v>1009.897</v>
          </cell>
          <cell r="FE76">
            <v>1.0000000005447873E-3</v>
          </cell>
          <cell r="FF76">
            <v>1009.8980000000006</v>
          </cell>
          <cell r="FN76">
            <v>0</v>
          </cell>
          <cell r="FO76">
            <v>0</v>
          </cell>
          <cell r="FR76">
            <v>0</v>
          </cell>
          <cell r="FS76">
            <v>0</v>
          </cell>
          <cell r="FT76">
            <v>1009.8980000000006</v>
          </cell>
          <cell r="FU76">
            <v>-1009.8980000000006</v>
          </cell>
          <cell r="FV76">
            <v>0</v>
          </cell>
          <cell r="FW76" t="str">
            <v xml:space="preserve"> profit-(equity method)</v>
          </cell>
          <cell r="FX76">
            <v>0</v>
          </cell>
          <cell r="FY76">
            <v>0</v>
          </cell>
          <cell r="GA76">
            <v>0</v>
          </cell>
          <cell r="GB76">
            <v>0</v>
          </cell>
          <cell r="GC76">
            <v>0</v>
          </cell>
          <cell r="GD76">
            <v>0</v>
          </cell>
          <cell r="GE76">
            <v>0</v>
          </cell>
          <cell r="GF76" t="e">
            <v>#DIV/0!</v>
          </cell>
          <cell r="GG76">
            <v>0</v>
          </cell>
          <cell r="GH76">
            <v>0</v>
          </cell>
        </row>
        <row r="77">
          <cell r="A77" t="str">
            <v xml:space="preserve"> goodwill</v>
          </cell>
          <cell r="I77">
            <v>0</v>
          </cell>
          <cell r="U77">
            <v>0</v>
          </cell>
          <cell r="AD77">
            <v>0</v>
          </cell>
          <cell r="AJ77">
            <v>0</v>
          </cell>
          <cell r="AP77">
            <v>0</v>
          </cell>
          <cell r="AT77">
            <v>0</v>
          </cell>
          <cell r="AX77">
            <v>0</v>
          </cell>
          <cell r="AY77">
            <v>0</v>
          </cell>
          <cell r="AZ77" t="str">
            <v xml:space="preserve"> goodwill</v>
          </cell>
          <cell r="BI77">
            <v>0</v>
          </cell>
          <cell r="BX77">
            <v>0</v>
          </cell>
          <cell r="CD77">
            <v>0</v>
          </cell>
          <cell r="CJ77">
            <v>0</v>
          </cell>
          <cell r="CP77">
            <v>0</v>
          </cell>
          <cell r="CT77">
            <v>0</v>
          </cell>
          <cell r="CX77">
            <v>0</v>
          </cell>
          <cell r="FN77">
            <v>0</v>
          </cell>
          <cell r="FO77">
            <v>0</v>
          </cell>
          <cell r="FR77">
            <v>0</v>
          </cell>
          <cell r="FS77">
            <v>0</v>
          </cell>
          <cell r="FT77">
            <v>0</v>
          </cell>
          <cell r="FV77">
            <v>0</v>
          </cell>
          <cell r="FW77" t="str">
            <v xml:space="preserve"> goodwill</v>
          </cell>
          <cell r="FX77">
            <v>0</v>
          </cell>
          <cell r="FY77">
            <v>0</v>
          </cell>
          <cell r="GA77">
            <v>0</v>
          </cell>
          <cell r="GB77">
            <v>0</v>
          </cell>
          <cell r="GC77">
            <v>0</v>
          </cell>
          <cell r="GD77">
            <v>0</v>
          </cell>
          <cell r="GE77">
            <v>0</v>
          </cell>
          <cell r="GF77" t="e">
            <v>#DIV/0!</v>
          </cell>
          <cell r="GG77">
            <v>0</v>
          </cell>
          <cell r="GH77">
            <v>0</v>
          </cell>
        </row>
        <row r="78">
          <cell r="B78" t="str">
            <v xml:space="preserve">total </v>
          </cell>
          <cell r="C78">
            <v>96.935999999999979</v>
          </cell>
          <cell r="E78">
            <v>0</v>
          </cell>
          <cell r="G78">
            <v>0.26850961538445972</v>
          </cell>
          <cell r="I78">
            <v>97.204509615384438</v>
          </cell>
          <cell r="M78">
            <v>0</v>
          </cell>
          <cell r="O78">
            <v>0</v>
          </cell>
          <cell r="Q78">
            <v>0</v>
          </cell>
          <cell r="S78">
            <v>0</v>
          </cell>
          <cell r="U78">
            <v>0</v>
          </cell>
          <cell r="Z78">
            <v>0</v>
          </cell>
          <cell r="AB78">
            <v>0</v>
          </cell>
          <cell r="AD78">
            <v>0</v>
          </cell>
          <cell r="AF78">
            <v>0</v>
          </cell>
          <cell r="AH78">
            <v>0</v>
          </cell>
          <cell r="AJ78">
            <v>0</v>
          </cell>
          <cell r="AL78">
            <v>0</v>
          </cell>
          <cell r="AN78">
            <v>0</v>
          </cell>
          <cell r="AP78">
            <v>0</v>
          </cell>
          <cell r="AR78">
            <v>0</v>
          </cell>
          <cell r="AT78">
            <v>97.204509615384438</v>
          </cell>
          <cell r="AV78">
            <v>-97.204509615384438</v>
          </cell>
          <cell r="AX78">
            <v>0</v>
          </cell>
          <cell r="AY78">
            <v>0</v>
          </cell>
          <cell r="BA78" t="str">
            <v xml:space="preserve">total </v>
          </cell>
          <cell r="BC78">
            <v>410.67</v>
          </cell>
          <cell r="BE78">
            <v>0</v>
          </cell>
          <cell r="BG78">
            <v>7.9999999995834514E-3</v>
          </cell>
          <cell r="BI78">
            <v>410.67799999999966</v>
          </cell>
          <cell r="BM78">
            <v>0</v>
          </cell>
          <cell r="BO78">
            <v>0</v>
          </cell>
          <cell r="BQ78">
            <v>0</v>
          </cell>
          <cell r="BS78">
            <v>0</v>
          </cell>
          <cell r="BU78">
            <v>0</v>
          </cell>
          <cell r="BX78">
            <v>0</v>
          </cell>
          <cell r="BZ78">
            <v>0</v>
          </cell>
          <cell r="CB78">
            <v>0</v>
          </cell>
          <cell r="CD78">
            <v>0</v>
          </cell>
          <cell r="CF78">
            <v>0</v>
          </cell>
          <cell r="CH78">
            <v>0</v>
          </cell>
          <cell r="CJ78">
            <v>0</v>
          </cell>
          <cell r="CL78">
            <v>0</v>
          </cell>
          <cell r="CN78">
            <v>0</v>
          </cell>
          <cell r="CP78">
            <v>0</v>
          </cell>
          <cell r="CR78">
            <v>0</v>
          </cell>
          <cell r="CT78">
            <v>410.67799999999966</v>
          </cell>
          <cell r="CV78">
            <v>-410.67799999999966</v>
          </cell>
          <cell r="CX78">
            <v>0</v>
          </cell>
          <cell r="FC78">
            <v>402.85517962116273</v>
          </cell>
          <cell r="FE78">
            <v>1.0000000005447873E-3</v>
          </cell>
          <cell r="FF78">
            <v>402.85617962116328</v>
          </cell>
          <cell r="FG78">
            <v>0</v>
          </cell>
          <cell r="FI78">
            <v>0</v>
          </cell>
          <cell r="FM78">
            <v>0</v>
          </cell>
          <cell r="FN78">
            <v>0</v>
          </cell>
          <cell r="FO78">
            <v>0</v>
          </cell>
          <cell r="FQ78">
            <v>0</v>
          </cell>
          <cell r="FR78">
            <v>0</v>
          </cell>
          <cell r="FS78">
            <v>0</v>
          </cell>
          <cell r="FT78">
            <v>402.85617962116328</v>
          </cell>
          <cell r="FU78">
            <v>-402.85617962116328</v>
          </cell>
          <cell r="FV78">
            <v>0</v>
          </cell>
          <cell r="FX78">
            <v>0</v>
          </cell>
          <cell r="FY78">
            <v>0</v>
          </cell>
          <cell r="FZ78">
            <v>0</v>
          </cell>
          <cell r="GA78">
            <v>0</v>
          </cell>
          <cell r="GB78">
            <v>0</v>
          </cell>
          <cell r="GC78">
            <v>0</v>
          </cell>
          <cell r="GD78">
            <v>0</v>
          </cell>
          <cell r="GE78">
            <v>0</v>
          </cell>
          <cell r="GF78" t="e">
            <v>#DIV/0!</v>
          </cell>
          <cell r="GG78">
            <v>0</v>
          </cell>
          <cell r="GH78">
            <v>0</v>
          </cell>
        </row>
        <row r="79">
          <cell r="A79" t="str">
            <v>T.POWER</v>
          </cell>
          <cell r="B79">
            <v>0.33329999999999999</v>
          </cell>
          <cell r="C79">
            <v>2</v>
          </cell>
          <cell r="I79">
            <v>2</v>
          </cell>
          <cell r="AT79">
            <v>2</v>
          </cell>
          <cell r="AX79">
            <v>2</v>
          </cell>
          <cell r="AY79">
            <v>0</v>
          </cell>
          <cell r="AZ79" t="str">
            <v>T.POWER</v>
          </cell>
          <cell r="BA79">
            <v>0.33</v>
          </cell>
          <cell r="BC79">
            <v>1578.2</v>
          </cell>
          <cell r="BI79">
            <v>1578.2</v>
          </cell>
          <cell r="BX79">
            <v>0</v>
          </cell>
          <cell r="CD79">
            <v>0</v>
          </cell>
          <cell r="CT79">
            <v>1578.2</v>
          </cell>
          <cell r="CX79">
            <v>1578.2</v>
          </cell>
          <cell r="FC79">
            <v>1621.86</v>
          </cell>
          <cell r="FF79">
            <v>1621.86</v>
          </cell>
          <cell r="FN79">
            <v>0</v>
          </cell>
          <cell r="FR79">
            <v>0</v>
          </cell>
          <cell r="FS79">
            <v>0</v>
          </cell>
          <cell r="FT79">
            <v>1621.86</v>
          </cell>
          <cell r="FV79">
            <v>1621.86</v>
          </cell>
          <cell r="FW79" t="str">
            <v>T.POWER</v>
          </cell>
          <cell r="FX79">
            <v>0</v>
          </cell>
          <cell r="FY79">
            <v>0</v>
          </cell>
          <cell r="GA79">
            <v>0</v>
          </cell>
          <cell r="GB79">
            <v>0</v>
          </cell>
          <cell r="GC79">
            <v>1621.86</v>
          </cell>
          <cell r="GD79">
            <v>1643.6083331328921</v>
          </cell>
          <cell r="GE79">
            <v>1621.86</v>
          </cell>
          <cell r="GF79">
            <v>810.93</v>
          </cell>
          <cell r="GG79">
            <v>0</v>
          </cell>
          <cell r="GH79">
            <v>0</v>
          </cell>
        </row>
        <row r="80">
          <cell r="A80" t="str">
            <v xml:space="preserve"> long term loans</v>
          </cell>
          <cell r="C80">
            <v>95.183999999999997</v>
          </cell>
          <cell r="I80">
            <v>95.183999999999997</v>
          </cell>
          <cell r="AT80">
            <v>95.183999999999997</v>
          </cell>
          <cell r="AX80">
            <v>95.183999999999997</v>
          </cell>
          <cell r="AY80">
            <v>0</v>
          </cell>
          <cell r="AZ80" t="str">
            <v xml:space="preserve"> long term loans</v>
          </cell>
          <cell r="BC80">
            <v>395.96600000000001</v>
          </cell>
          <cell r="BI80">
            <v>395.96600000000001</v>
          </cell>
          <cell r="BX80">
            <v>0</v>
          </cell>
          <cell r="CD80">
            <v>0</v>
          </cell>
          <cell r="CT80">
            <v>395.96600000000001</v>
          </cell>
          <cell r="CX80">
            <v>395.96600000000001</v>
          </cell>
          <cell r="FC80">
            <v>395.96600000000001</v>
          </cell>
          <cell r="FF80">
            <v>395.96600000000001</v>
          </cell>
          <cell r="FN80">
            <v>0</v>
          </cell>
          <cell r="FR80">
            <v>0</v>
          </cell>
          <cell r="FS80">
            <v>0</v>
          </cell>
          <cell r="FT80">
            <v>395.96600000000001</v>
          </cell>
          <cell r="FV80">
            <v>395.96600000000001</v>
          </cell>
          <cell r="FW80" t="str">
            <v xml:space="preserve"> long term loans</v>
          </cell>
          <cell r="FX80">
            <v>0</v>
          </cell>
          <cell r="FY80">
            <v>0</v>
          </cell>
          <cell r="GA80">
            <v>0</v>
          </cell>
          <cell r="GB80">
            <v>0</v>
          </cell>
          <cell r="GC80">
            <v>395.96600000000001</v>
          </cell>
          <cell r="GD80">
            <v>401.27570643415515</v>
          </cell>
          <cell r="GE80">
            <v>395.96600000000001</v>
          </cell>
          <cell r="GF80">
            <v>4.1600058833417384</v>
          </cell>
          <cell r="GG80">
            <v>0</v>
          </cell>
          <cell r="GH80">
            <v>0</v>
          </cell>
        </row>
        <row r="81">
          <cell r="A81" t="str">
            <v xml:space="preserve"> accumulated profit</v>
          </cell>
          <cell r="I81">
            <v>0</v>
          </cell>
          <cell r="AT81">
            <v>0</v>
          </cell>
          <cell r="AX81">
            <v>0</v>
          </cell>
          <cell r="AY81">
            <v>0</v>
          </cell>
          <cell r="AZ81" t="str">
            <v xml:space="preserve"> accumulated profit</v>
          </cell>
          <cell r="BI81">
            <v>0</v>
          </cell>
          <cell r="BX81">
            <v>0</v>
          </cell>
          <cell r="CD81">
            <v>0</v>
          </cell>
          <cell r="CT81">
            <v>0</v>
          </cell>
          <cell r="CX81">
            <v>0</v>
          </cell>
          <cell r="FF81">
            <v>0</v>
          </cell>
          <cell r="FN81">
            <v>0</v>
          </cell>
          <cell r="FR81">
            <v>0</v>
          </cell>
          <cell r="FS81">
            <v>0</v>
          </cell>
          <cell r="FT81">
            <v>0</v>
          </cell>
          <cell r="FV81">
            <v>0</v>
          </cell>
          <cell r="FW81" t="str">
            <v xml:space="preserve"> accumulated profit</v>
          </cell>
          <cell r="FX81">
            <v>0</v>
          </cell>
          <cell r="FY81">
            <v>0</v>
          </cell>
          <cell r="GA81">
            <v>0</v>
          </cell>
          <cell r="GB81">
            <v>0</v>
          </cell>
          <cell r="GC81">
            <v>0</v>
          </cell>
          <cell r="GD81">
            <v>0</v>
          </cell>
          <cell r="GE81">
            <v>0</v>
          </cell>
          <cell r="GF81" t="e">
            <v>#DIV/0!</v>
          </cell>
          <cell r="GG81">
            <v>0</v>
          </cell>
          <cell r="GH81">
            <v>0</v>
          </cell>
        </row>
        <row r="82">
          <cell r="A82" t="str">
            <v xml:space="preserve"> profit-(equity method)</v>
          </cell>
          <cell r="C82">
            <v>-65</v>
          </cell>
          <cell r="G82">
            <v>-34.552999999999997</v>
          </cell>
          <cell r="I82">
            <v>-99.552999999999997</v>
          </cell>
          <cell r="AT82">
            <v>-99.552999999999997</v>
          </cell>
          <cell r="AX82">
            <v>-99.552999999999997</v>
          </cell>
          <cell r="AY82">
            <v>0</v>
          </cell>
          <cell r="AZ82" t="str">
            <v xml:space="preserve"> profit-(equity method)</v>
          </cell>
          <cell r="BG82">
            <v>-394.327</v>
          </cell>
          <cell r="BI82">
            <v>-394.327</v>
          </cell>
          <cell r="BX82">
            <v>0</v>
          </cell>
          <cell r="CD82">
            <v>0</v>
          </cell>
          <cell r="CT82">
            <v>-394.327</v>
          </cell>
          <cell r="CX82">
            <v>-394.327</v>
          </cell>
          <cell r="FC82">
            <v>-394.327</v>
          </cell>
          <cell r="FF82">
            <v>-394.327</v>
          </cell>
          <cell r="FN82">
            <v>0</v>
          </cell>
          <cell r="FR82">
            <v>0</v>
          </cell>
          <cell r="FS82">
            <v>0</v>
          </cell>
          <cell r="FT82">
            <v>-394.327</v>
          </cell>
          <cell r="FV82">
            <v>-394.327</v>
          </cell>
          <cell r="FW82" t="str">
            <v xml:space="preserve"> profit-(equity method)</v>
          </cell>
          <cell r="FX82">
            <v>0</v>
          </cell>
          <cell r="FY82">
            <v>0</v>
          </cell>
          <cell r="GA82">
            <v>0</v>
          </cell>
          <cell r="GB82">
            <v>0</v>
          </cell>
          <cell r="GC82">
            <v>-394.327</v>
          </cell>
          <cell r="GD82">
            <v>-399.61472826217681</v>
          </cell>
          <cell r="GE82">
            <v>-394.327</v>
          </cell>
          <cell r="GF82">
            <v>3.960975560756582</v>
          </cell>
          <cell r="GG82">
            <v>0</v>
          </cell>
          <cell r="GH82">
            <v>0</v>
          </cell>
        </row>
        <row r="83">
          <cell r="A83" t="str">
            <v xml:space="preserve"> goodwill</v>
          </cell>
          <cell r="C83">
            <v>398</v>
          </cell>
          <cell r="I83">
            <v>398</v>
          </cell>
          <cell r="AT83">
            <v>398</v>
          </cell>
          <cell r="AX83">
            <v>398</v>
          </cell>
          <cell r="AY83">
            <v>0</v>
          </cell>
          <cell r="AZ83" t="str">
            <v xml:space="preserve"> goodwill</v>
          </cell>
          <cell r="BX83">
            <v>0</v>
          </cell>
          <cell r="CD83">
            <v>0</v>
          </cell>
          <cell r="CT83">
            <v>0</v>
          </cell>
          <cell r="CX83">
            <v>0</v>
          </cell>
          <cell r="FN83">
            <v>0</v>
          </cell>
          <cell r="FR83">
            <v>0</v>
          </cell>
          <cell r="FS83">
            <v>0</v>
          </cell>
          <cell r="FT83">
            <v>0</v>
          </cell>
          <cell r="FV83">
            <v>0</v>
          </cell>
          <cell r="FW83" t="str">
            <v xml:space="preserve"> goodwill</v>
          </cell>
          <cell r="FX83">
            <v>0</v>
          </cell>
          <cell r="FY83">
            <v>0</v>
          </cell>
          <cell r="GA83">
            <v>0</v>
          </cell>
          <cell r="GB83">
            <v>0</v>
          </cell>
          <cell r="GC83">
            <v>0</v>
          </cell>
          <cell r="GD83">
            <v>0</v>
          </cell>
          <cell r="GE83">
            <v>0</v>
          </cell>
          <cell r="GF83">
            <v>0</v>
          </cell>
          <cell r="GG83">
            <v>0</v>
          </cell>
          <cell r="GH83">
            <v>0</v>
          </cell>
        </row>
        <row r="84">
          <cell r="B84" t="str">
            <v xml:space="preserve">total </v>
          </cell>
          <cell r="C84">
            <v>430.18399999999997</v>
          </cell>
          <cell r="E84">
            <v>0</v>
          </cell>
          <cell r="G84">
            <v>-34.552999999999997</v>
          </cell>
          <cell r="I84">
            <v>395.63099999999997</v>
          </cell>
          <cell r="K84">
            <v>0</v>
          </cell>
          <cell r="M84">
            <v>0</v>
          </cell>
          <cell r="O84">
            <v>0</v>
          </cell>
          <cell r="Q84">
            <v>0</v>
          </cell>
          <cell r="S84">
            <v>0</v>
          </cell>
          <cell r="U84">
            <v>0</v>
          </cell>
          <cell r="W84">
            <v>0</v>
          </cell>
          <cell r="Z84">
            <v>0</v>
          </cell>
          <cell r="AB84">
            <v>0</v>
          </cell>
          <cell r="AD84">
            <v>0</v>
          </cell>
          <cell r="AF84">
            <v>0</v>
          </cell>
          <cell r="AH84">
            <v>0</v>
          </cell>
          <cell r="AJ84">
            <v>0</v>
          </cell>
          <cell r="AL84">
            <v>0</v>
          </cell>
          <cell r="AN84">
            <v>0</v>
          </cell>
          <cell r="AP84">
            <v>0</v>
          </cell>
          <cell r="AR84">
            <v>0</v>
          </cell>
          <cell r="AT84">
            <v>395.63099999999997</v>
          </cell>
          <cell r="AV84">
            <v>0</v>
          </cell>
          <cell r="AX84">
            <v>395.63099999999997</v>
          </cell>
          <cell r="AY84">
            <v>0</v>
          </cell>
          <cell r="BC84">
            <v>1974.1660000000002</v>
          </cell>
          <cell r="BE84">
            <v>0</v>
          </cell>
          <cell r="BG84">
            <v>-394.327</v>
          </cell>
          <cell r="BI84">
            <v>1579.8390000000002</v>
          </cell>
          <cell r="BX84">
            <v>0</v>
          </cell>
          <cell r="CD84">
            <v>0</v>
          </cell>
          <cell r="CT84">
            <v>1579.8390000000002</v>
          </cell>
          <cell r="CX84">
            <v>1579.8390000000002</v>
          </cell>
          <cell r="FC84">
            <v>1623.499</v>
          </cell>
          <cell r="FE84">
            <v>0</v>
          </cell>
          <cell r="FF84">
            <v>1623.499</v>
          </cell>
          <cell r="FI84">
            <v>0</v>
          </cell>
          <cell r="FN84">
            <v>0</v>
          </cell>
          <cell r="FQ84">
            <v>0</v>
          </cell>
          <cell r="FR84">
            <v>0</v>
          </cell>
          <cell r="FS84">
            <v>0</v>
          </cell>
          <cell r="FT84">
            <v>1623.499</v>
          </cell>
          <cell r="FV84">
            <v>1623.499</v>
          </cell>
          <cell r="FX84">
            <v>0</v>
          </cell>
          <cell r="FY84">
            <v>0</v>
          </cell>
          <cell r="FZ84">
            <v>0</v>
          </cell>
          <cell r="GA84">
            <v>0</v>
          </cell>
          <cell r="GB84">
            <v>0</v>
          </cell>
          <cell r="GC84">
            <v>1623.499</v>
          </cell>
          <cell r="GD84">
            <v>1645.2693113048706</v>
          </cell>
          <cell r="GE84">
            <v>1623.499</v>
          </cell>
          <cell r="GF84">
            <v>4.1035687294473897</v>
          </cell>
          <cell r="GG84">
            <v>0</v>
          </cell>
          <cell r="GH84">
            <v>0</v>
          </cell>
        </row>
        <row r="85">
          <cell r="A85" t="str">
            <v>ISRACABLE-shares</v>
          </cell>
          <cell r="B85">
            <v>0.41499999999999998</v>
          </cell>
          <cell r="AD85">
            <v>0</v>
          </cell>
          <cell r="AJ85">
            <v>0</v>
          </cell>
          <cell r="AP85">
            <v>0</v>
          </cell>
          <cell r="AT85">
            <v>0</v>
          </cell>
          <cell r="AX85">
            <v>0</v>
          </cell>
          <cell r="AY85">
            <v>0</v>
          </cell>
          <cell r="AZ85" t="str">
            <v>ISRACABLE-shares</v>
          </cell>
          <cell r="BA85">
            <v>0.41499999999999998</v>
          </cell>
          <cell r="BI85">
            <v>0</v>
          </cell>
          <cell r="BX85">
            <v>0</v>
          </cell>
          <cell r="CD85">
            <v>0</v>
          </cell>
          <cell r="CJ85">
            <v>0</v>
          </cell>
          <cell r="CP85">
            <v>0</v>
          </cell>
          <cell r="CT85">
            <v>0</v>
          </cell>
          <cell r="CX85">
            <v>0</v>
          </cell>
          <cell r="FN85">
            <v>0</v>
          </cell>
          <cell r="FO85">
            <v>0</v>
          </cell>
          <cell r="FR85">
            <v>0</v>
          </cell>
          <cell r="FS85">
            <v>0</v>
          </cell>
          <cell r="FV85">
            <v>0</v>
          </cell>
          <cell r="FW85" t="str">
            <v>ISRACABLE-shares</v>
          </cell>
          <cell r="FX85">
            <v>0</v>
          </cell>
          <cell r="FY85">
            <v>0</v>
          </cell>
          <cell r="GA85">
            <v>0</v>
          </cell>
          <cell r="GB85">
            <v>0</v>
          </cell>
          <cell r="GC85">
            <v>0</v>
          </cell>
          <cell r="GD85">
            <v>0</v>
          </cell>
          <cell r="GE85">
            <v>0</v>
          </cell>
          <cell r="GF85" t="e">
            <v>#DIV/0!</v>
          </cell>
          <cell r="GG85">
            <v>0</v>
          </cell>
          <cell r="GH85">
            <v>0</v>
          </cell>
        </row>
        <row r="86">
          <cell r="A86" t="str">
            <v xml:space="preserve"> long term loans</v>
          </cell>
          <cell r="AD86">
            <v>0</v>
          </cell>
          <cell r="AF86">
            <v>1.002</v>
          </cell>
          <cell r="AJ86">
            <v>1.002</v>
          </cell>
          <cell r="AN86">
            <v>-1.002</v>
          </cell>
          <cell r="AP86">
            <v>0</v>
          </cell>
          <cell r="AT86">
            <v>0</v>
          </cell>
          <cell r="AX86">
            <v>0</v>
          </cell>
          <cell r="AY86">
            <v>0</v>
          </cell>
          <cell r="AZ86" t="str">
            <v xml:space="preserve"> long term loans</v>
          </cell>
          <cell r="BI86">
            <v>0</v>
          </cell>
          <cell r="BX86">
            <v>0</v>
          </cell>
          <cell r="CD86">
            <v>0</v>
          </cell>
          <cell r="CF86">
            <v>4.1680000000000001</v>
          </cell>
          <cell r="CH86">
            <v>0</v>
          </cell>
          <cell r="CJ86">
            <v>4.1680000000000001</v>
          </cell>
          <cell r="CN86">
            <v>-1.002</v>
          </cell>
          <cell r="CP86">
            <v>3.1660000000000004</v>
          </cell>
          <cell r="CT86">
            <v>3.1660000000000004</v>
          </cell>
          <cell r="CX86">
            <v>3.1660000000000004</v>
          </cell>
          <cell r="FN86">
            <v>0</v>
          </cell>
          <cell r="FO86">
            <v>4.1680000000000001</v>
          </cell>
          <cell r="FQ86">
            <v>0</v>
          </cell>
          <cell r="FR86">
            <v>4.1680000000000001</v>
          </cell>
          <cell r="FS86">
            <v>0</v>
          </cell>
          <cell r="FT86">
            <v>4.1680000000000001</v>
          </cell>
          <cell r="FU86">
            <v>-4.1680000000000001</v>
          </cell>
          <cell r="FV86">
            <v>0</v>
          </cell>
          <cell r="FW86" t="str">
            <v xml:space="preserve"> long term loans</v>
          </cell>
          <cell r="FX86">
            <v>0</v>
          </cell>
          <cell r="FY86">
            <v>4.1680000000000001</v>
          </cell>
          <cell r="FZ86">
            <v>-4.1680000000000001</v>
          </cell>
          <cell r="GA86">
            <v>0</v>
          </cell>
          <cell r="GB86">
            <v>0</v>
          </cell>
          <cell r="GC86">
            <v>0</v>
          </cell>
          <cell r="GD86">
            <v>0</v>
          </cell>
          <cell r="GE86">
            <v>0</v>
          </cell>
          <cell r="GF86" t="e">
            <v>#DIV/0!</v>
          </cell>
          <cell r="GG86">
            <v>0</v>
          </cell>
          <cell r="GH86">
            <v>0</v>
          </cell>
        </row>
        <row r="87">
          <cell r="A87" t="str">
            <v xml:space="preserve"> accumulated profit</v>
          </cell>
          <cell r="AD87">
            <v>0</v>
          </cell>
          <cell r="AJ87">
            <v>0</v>
          </cell>
          <cell r="AN87">
            <v>0</v>
          </cell>
          <cell r="AP87">
            <v>0</v>
          </cell>
          <cell r="AT87">
            <v>0</v>
          </cell>
          <cell r="AX87">
            <v>0</v>
          </cell>
          <cell r="AY87">
            <v>0</v>
          </cell>
          <cell r="AZ87" t="str">
            <v xml:space="preserve"> accumulated profit</v>
          </cell>
          <cell r="BI87">
            <v>0</v>
          </cell>
          <cell r="BX87">
            <v>0</v>
          </cell>
          <cell r="CD87">
            <v>0</v>
          </cell>
          <cell r="CJ87">
            <v>0</v>
          </cell>
          <cell r="CN87">
            <v>0</v>
          </cell>
          <cell r="CP87">
            <v>0</v>
          </cell>
          <cell r="CT87">
            <v>0</v>
          </cell>
          <cell r="CX87">
            <v>0</v>
          </cell>
          <cell r="FN87">
            <v>0</v>
          </cell>
          <cell r="FO87">
            <v>0</v>
          </cell>
          <cell r="FQ87">
            <v>0</v>
          </cell>
          <cell r="FR87">
            <v>0</v>
          </cell>
          <cell r="FS87">
            <v>0</v>
          </cell>
          <cell r="FT87">
            <v>0</v>
          </cell>
          <cell r="FV87">
            <v>0</v>
          </cell>
          <cell r="FW87" t="str">
            <v xml:space="preserve"> accumulated profit</v>
          </cell>
          <cell r="FX87">
            <v>0</v>
          </cell>
          <cell r="FY87">
            <v>0</v>
          </cell>
          <cell r="GA87">
            <v>0</v>
          </cell>
          <cell r="GB87">
            <v>0</v>
          </cell>
          <cell r="GC87">
            <v>0</v>
          </cell>
          <cell r="GD87">
            <v>0</v>
          </cell>
          <cell r="GE87">
            <v>0</v>
          </cell>
          <cell r="GF87" t="e">
            <v>#DIV/0!</v>
          </cell>
          <cell r="GG87">
            <v>0</v>
          </cell>
          <cell r="GH87">
            <v>0</v>
          </cell>
        </row>
        <row r="88">
          <cell r="A88" t="str">
            <v xml:space="preserve"> profit-(equity method)</v>
          </cell>
          <cell r="AD88">
            <v>0</v>
          </cell>
          <cell r="AJ88">
            <v>0</v>
          </cell>
          <cell r="AN88">
            <v>0</v>
          </cell>
          <cell r="AP88">
            <v>0</v>
          </cell>
          <cell r="AT88">
            <v>0</v>
          </cell>
          <cell r="AX88">
            <v>0</v>
          </cell>
          <cell r="AY88">
            <v>0</v>
          </cell>
          <cell r="AZ88" t="str">
            <v xml:space="preserve"> profit-(equity method)</v>
          </cell>
          <cell r="BI88">
            <v>0</v>
          </cell>
          <cell r="BU88">
            <v>0</v>
          </cell>
          <cell r="BX88">
            <v>0</v>
          </cell>
          <cell r="CD88">
            <v>0</v>
          </cell>
          <cell r="CJ88">
            <v>0</v>
          </cell>
          <cell r="CN88">
            <v>0</v>
          </cell>
          <cell r="CP88">
            <v>0</v>
          </cell>
          <cell r="CT88">
            <v>0</v>
          </cell>
          <cell r="CX88">
            <v>0</v>
          </cell>
          <cell r="FN88">
            <v>0</v>
          </cell>
          <cell r="FO88">
            <v>0</v>
          </cell>
          <cell r="FQ88">
            <v>0</v>
          </cell>
          <cell r="FR88">
            <v>0</v>
          </cell>
          <cell r="FS88">
            <v>0</v>
          </cell>
          <cell r="FT88">
            <v>0</v>
          </cell>
          <cell r="FV88">
            <v>0</v>
          </cell>
          <cell r="FW88" t="str">
            <v xml:space="preserve"> profit-(equity method)</v>
          </cell>
          <cell r="FX88">
            <v>0</v>
          </cell>
          <cell r="FY88">
            <v>0</v>
          </cell>
          <cell r="GA88">
            <v>0</v>
          </cell>
          <cell r="GB88">
            <v>0</v>
          </cell>
          <cell r="GC88">
            <v>0</v>
          </cell>
          <cell r="GD88">
            <v>0</v>
          </cell>
          <cell r="GE88">
            <v>0</v>
          </cell>
          <cell r="GF88" t="e">
            <v>#DIV/0!</v>
          </cell>
          <cell r="GG88">
            <v>0</v>
          </cell>
          <cell r="GH88">
            <v>0</v>
          </cell>
        </row>
        <row r="89">
          <cell r="A89" t="str">
            <v xml:space="preserve"> goodwill</v>
          </cell>
          <cell r="AD89">
            <v>0</v>
          </cell>
          <cell r="AF89">
            <v>49.908999999999999</v>
          </cell>
          <cell r="AJ89">
            <v>49.908999999999999</v>
          </cell>
          <cell r="AP89">
            <v>49.908999999999999</v>
          </cell>
          <cell r="AT89">
            <v>49.908999999999999</v>
          </cell>
          <cell r="AV89">
            <v>-49.908999999999999</v>
          </cell>
          <cell r="AX89">
            <v>0</v>
          </cell>
          <cell r="AY89">
            <v>0</v>
          </cell>
          <cell r="AZ89" t="str">
            <v xml:space="preserve"> goodwill</v>
          </cell>
          <cell r="BX89">
            <v>0</v>
          </cell>
          <cell r="CD89">
            <v>0</v>
          </cell>
          <cell r="CF89">
            <v>114.83</v>
          </cell>
          <cell r="CJ89">
            <v>114.83</v>
          </cell>
          <cell r="CP89">
            <v>114.83</v>
          </cell>
          <cell r="CT89">
            <v>114.83</v>
          </cell>
          <cell r="CV89">
            <v>-114.83</v>
          </cell>
          <cell r="CX89">
            <v>0</v>
          </cell>
          <cell r="FN89">
            <v>0</v>
          </cell>
          <cell r="FO89">
            <v>216.82900000000001</v>
          </cell>
          <cell r="FR89">
            <v>216.82900000000001</v>
          </cell>
          <cell r="FS89">
            <v>0</v>
          </cell>
          <cell r="FT89">
            <v>216.82900000000001</v>
          </cell>
          <cell r="FU89">
            <v>-216.82900000000001</v>
          </cell>
          <cell r="FV89">
            <v>0</v>
          </cell>
          <cell r="FW89" t="str">
            <v xml:space="preserve"> goodwill</v>
          </cell>
          <cell r="FX89">
            <v>0</v>
          </cell>
          <cell r="FY89">
            <v>216.82900000000001</v>
          </cell>
          <cell r="FZ89">
            <v>-216.82900000000001</v>
          </cell>
          <cell r="GA89">
            <v>0</v>
          </cell>
          <cell r="GB89">
            <v>0</v>
          </cell>
          <cell r="GC89">
            <v>0</v>
          </cell>
          <cell r="GD89">
            <v>0</v>
          </cell>
          <cell r="GE89">
            <v>0</v>
          </cell>
          <cell r="GF89" t="e">
            <v>#DIV/0!</v>
          </cell>
          <cell r="GG89">
            <v>286.76159372958853</v>
          </cell>
          <cell r="GH89">
            <v>0</v>
          </cell>
          <cell r="GT89" t="str">
            <v xml:space="preserve">דוח דולר  </v>
          </cell>
        </row>
        <row r="90">
          <cell r="B90" t="str">
            <v xml:space="preserve">total </v>
          </cell>
          <cell r="C90">
            <v>0</v>
          </cell>
          <cell r="E90">
            <v>0</v>
          </cell>
          <cell r="G90">
            <v>0</v>
          </cell>
          <cell r="I90">
            <v>0</v>
          </cell>
          <cell r="M90">
            <v>0</v>
          </cell>
          <cell r="O90">
            <v>0</v>
          </cell>
          <cell r="Q90">
            <v>0</v>
          </cell>
          <cell r="S90">
            <v>0</v>
          </cell>
          <cell r="U90">
            <v>0</v>
          </cell>
          <cell r="Z90">
            <v>0</v>
          </cell>
          <cell r="AB90">
            <v>0</v>
          </cell>
          <cell r="AD90">
            <v>0</v>
          </cell>
          <cell r="AF90">
            <v>50.911000000000001</v>
          </cell>
          <cell r="AH90">
            <v>0</v>
          </cell>
          <cell r="AJ90">
            <v>50.911000000000001</v>
          </cell>
          <cell r="AN90">
            <v>-1.002</v>
          </cell>
          <cell r="AP90">
            <v>49.908999999999999</v>
          </cell>
          <cell r="AR90">
            <v>0</v>
          </cell>
          <cell r="AT90">
            <v>49.908999999999999</v>
          </cell>
          <cell r="AV90">
            <v>-49.908999999999999</v>
          </cell>
          <cell r="AX90">
            <v>0</v>
          </cell>
          <cell r="AY90">
            <v>0</v>
          </cell>
          <cell r="BA90" t="str">
            <v xml:space="preserve">total </v>
          </cell>
          <cell r="BC90">
            <v>0</v>
          </cell>
          <cell r="BE90">
            <v>0</v>
          </cell>
          <cell r="BG90">
            <v>0</v>
          </cell>
          <cell r="BI90">
            <v>0</v>
          </cell>
          <cell r="BO90">
            <v>0</v>
          </cell>
          <cell r="BQ90">
            <v>0</v>
          </cell>
          <cell r="BS90">
            <v>0</v>
          </cell>
          <cell r="BU90">
            <v>0</v>
          </cell>
          <cell r="BX90">
            <v>0</v>
          </cell>
          <cell r="BZ90">
            <v>0</v>
          </cell>
          <cell r="CB90">
            <v>0</v>
          </cell>
          <cell r="CD90">
            <v>0</v>
          </cell>
          <cell r="CF90">
            <v>118.998</v>
          </cell>
          <cell r="CH90">
            <v>0</v>
          </cell>
          <cell r="CJ90">
            <v>118.998</v>
          </cell>
          <cell r="CL90">
            <v>0</v>
          </cell>
          <cell r="CN90">
            <v>-1.002</v>
          </cell>
          <cell r="CP90">
            <v>117.996</v>
          </cell>
          <cell r="CR90">
            <v>0</v>
          </cell>
          <cell r="CT90">
            <v>117.996</v>
          </cell>
          <cell r="CV90">
            <v>-114.83</v>
          </cell>
          <cell r="CX90">
            <v>3.1660000000000004</v>
          </cell>
          <cell r="FC90">
            <v>0</v>
          </cell>
          <cell r="FE90">
            <v>0</v>
          </cell>
          <cell r="FI90">
            <v>0</v>
          </cell>
          <cell r="FM90">
            <v>0</v>
          </cell>
          <cell r="FN90">
            <v>0</v>
          </cell>
          <cell r="FO90">
            <v>220.99700000000001</v>
          </cell>
          <cell r="FQ90">
            <v>0</v>
          </cell>
          <cell r="FR90">
            <v>220.99700000000001</v>
          </cell>
          <cell r="FS90">
            <v>0</v>
          </cell>
          <cell r="FT90">
            <v>220.99700000000001</v>
          </cell>
          <cell r="FU90">
            <v>-220.99700000000001</v>
          </cell>
          <cell r="FV90">
            <v>0</v>
          </cell>
          <cell r="FX90">
            <v>0</v>
          </cell>
          <cell r="FY90">
            <v>220.99700000000001</v>
          </cell>
          <cell r="FZ90">
            <v>-220.99700000000001</v>
          </cell>
          <cell r="GA90">
            <v>0</v>
          </cell>
          <cell r="GB90">
            <v>0</v>
          </cell>
          <cell r="GC90">
            <v>0</v>
          </cell>
          <cell r="GD90">
            <v>0</v>
          </cell>
          <cell r="GE90">
            <v>0</v>
          </cell>
          <cell r="GF90" t="e">
            <v>#DIV/0!</v>
          </cell>
          <cell r="GG90">
            <v>286.76159372958853</v>
          </cell>
          <cell r="GH90">
            <v>0</v>
          </cell>
        </row>
        <row r="91">
          <cell r="A91" t="str">
            <v>TOTAL INVESTMENTS</v>
          </cell>
          <cell r="C91">
            <v>73599.842999999993</v>
          </cell>
          <cell r="E91">
            <v>0</v>
          </cell>
          <cell r="G91">
            <v>5511.5614496153848</v>
          </cell>
          <cell r="I91">
            <v>79111.40444961538</v>
          </cell>
          <cell r="K91">
            <v>0</v>
          </cell>
          <cell r="M91">
            <v>0</v>
          </cell>
          <cell r="O91">
            <v>0</v>
          </cell>
          <cell r="Q91">
            <v>90867.509815384619</v>
          </cell>
          <cell r="S91">
            <v>-186.898</v>
          </cell>
          <cell r="U91">
            <v>90680.611815384618</v>
          </cell>
          <cell r="W91">
            <v>-5165.25</v>
          </cell>
          <cell r="X91">
            <v>326</v>
          </cell>
          <cell r="Z91">
            <v>0</v>
          </cell>
          <cell r="AB91">
            <v>-2629.3998153846155</v>
          </cell>
          <cell r="AD91">
            <v>83211.962</v>
          </cell>
          <cell r="AF91">
            <v>8707.65</v>
          </cell>
          <cell r="AH91">
            <v>2329.5149999999999</v>
          </cell>
          <cell r="AJ91">
            <v>11037.164999999999</v>
          </cell>
          <cell r="AL91">
            <v>0</v>
          </cell>
          <cell r="AN91">
            <v>-10899.692999999999</v>
          </cell>
          <cell r="AP91">
            <v>137.47200000000001</v>
          </cell>
          <cell r="AR91">
            <v>0</v>
          </cell>
          <cell r="AT91">
            <v>162460.8384496154</v>
          </cell>
          <cell r="AV91">
            <v>-158847.57350961538</v>
          </cell>
          <cell r="AX91">
            <v>3613.26494</v>
          </cell>
          <cell r="AY91">
            <v>2.2737367544323206E-11</v>
          </cell>
          <cell r="AZ91" t="str">
            <v>TOTAL INVESTMENTS</v>
          </cell>
          <cell r="BC91">
            <v>198946.75874999998</v>
          </cell>
          <cell r="BE91">
            <v>0</v>
          </cell>
          <cell r="BG91">
            <v>23302.147870000001</v>
          </cell>
          <cell r="BI91">
            <v>222248.90662000002</v>
          </cell>
          <cell r="BM91">
            <v>0</v>
          </cell>
          <cell r="BO91">
            <v>0</v>
          </cell>
          <cell r="BQ91">
            <v>343957.83600000001</v>
          </cell>
          <cell r="BS91">
            <v>0</v>
          </cell>
          <cell r="BU91">
            <v>343957.83600000001</v>
          </cell>
          <cell r="BW91">
            <v>14883.217000000001</v>
          </cell>
          <cell r="BX91">
            <v>621</v>
          </cell>
          <cell r="BZ91">
            <v>0</v>
          </cell>
          <cell r="CB91">
            <v>-4893.777</v>
          </cell>
          <cell r="CD91">
            <v>354568.27600000001</v>
          </cell>
          <cell r="CF91">
            <v>5238.1120000000001</v>
          </cell>
          <cell r="CH91">
            <v>1948.2059999999983</v>
          </cell>
          <cell r="CJ91">
            <v>7186.3179999999984</v>
          </cell>
          <cell r="CL91">
            <v>0</v>
          </cell>
          <cell r="CN91">
            <v>-6864.9979999999996</v>
          </cell>
          <cell r="CP91">
            <v>321.32</v>
          </cell>
          <cell r="CR91">
            <v>0</v>
          </cell>
          <cell r="CT91">
            <v>577138.50262000004</v>
          </cell>
          <cell r="CV91">
            <v>-574280.57499999995</v>
          </cell>
          <cell r="CX91">
            <v>2857.9276199999986</v>
          </cell>
          <cell r="FC91">
            <v>309875.64030437625</v>
          </cell>
          <cell r="FE91">
            <v>1.0456000000045265</v>
          </cell>
          <cell r="FF91">
            <v>309876.68590437621</v>
          </cell>
          <cell r="FI91">
            <v>362241.14500000002</v>
          </cell>
          <cell r="FJ91">
            <v>-23378.782999999999</v>
          </cell>
          <cell r="FK91">
            <v>1092</v>
          </cell>
          <cell r="FM91">
            <v>-5338.1769999999997</v>
          </cell>
          <cell r="FN91">
            <v>334616.185</v>
          </cell>
          <cell r="FO91">
            <v>46600.830219000003</v>
          </cell>
          <cell r="FQ91">
            <v>-45995.904219000004</v>
          </cell>
          <cell r="FR91">
            <v>604.92599999999948</v>
          </cell>
          <cell r="FS91">
            <v>0</v>
          </cell>
          <cell r="FT91">
            <v>645097.79690437624</v>
          </cell>
          <cell r="FU91">
            <v>-635356.37258693669</v>
          </cell>
          <cell r="FV91">
            <v>9740.8059307642052</v>
          </cell>
          <cell r="FW91" t="str">
            <v>TOTAL INVESTMENTS</v>
          </cell>
          <cell r="FX91">
            <v>334616.185</v>
          </cell>
          <cell r="FY91">
            <v>604.92599999999993</v>
          </cell>
          <cell r="FZ91">
            <v>-328981.87699999998</v>
          </cell>
          <cell r="GA91">
            <v>6239.2340000000004</v>
          </cell>
          <cell r="GB91">
            <v>6322.8990139506914</v>
          </cell>
          <cell r="GC91">
            <v>9740.8059307642052</v>
          </cell>
          <cell r="GD91">
            <v>9871.4252766788377</v>
          </cell>
          <cell r="GE91">
            <v>3501.5719307642048</v>
          </cell>
          <cell r="GF91">
            <v>2.6958460263819473</v>
          </cell>
          <cell r="GG91">
            <v>6109.1994486187441</v>
          </cell>
          <cell r="GH91">
            <v>0.61838667534721026</v>
          </cell>
        </row>
        <row r="92">
          <cell r="FX92">
            <v>0</v>
          </cell>
          <cell r="FY92">
            <v>0</v>
          </cell>
          <cell r="GA92">
            <v>0</v>
          </cell>
          <cell r="GB92">
            <v>0</v>
          </cell>
          <cell r="GC92">
            <v>0</v>
          </cell>
          <cell r="GD92">
            <v>0</v>
          </cell>
          <cell r="GE92">
            <v>0</v>
          </cell>
        </row>
        <row r="93">
          <cell r="A93" t="str">
            <v>OTHER INVESTMENTS</v>
          </cell>
          <cell r="AT93">
            <v>0</v>
          </cell>
          <cell r="AY93">
            <v>0</v>
          </cell>
          <cell r="AZ93" t="str">
            <v>OTHER INVESTMENTS</v>
          </cell>
          <cell r="BX93">
            <v>0</v>
          </cell>
          <cell r="CD93">
            <v>0</v>
          </cell>
          <cell r="CT93">
            <v>0</v>
          </cell>
          <cell r="FS93">
            <v>0</v>
          </cell>
          <cell r="FW93" t="str">
            <v>OTHER INVESTMENTS</v>
          </cell>
          <cell r="FX93">
            <v>0</v>
          </cell>
          <cell r="FY93">
            <v>0</v>
          </cell>
          <cell r="GA93">
            <v>0</v>
          </cell>
          <cell r="GB93">
            <v>0</v>
          </cell>
          <cell r="GC93">
            <v>0</v>
          </cell>
          <cell r="GD93">
            <v>0</v>
          </cell>
          <cell r="GE93">
            <v>0</v>
          </cell>
          <cell r="GF93" t="e">
            <v>#DIV/0!</v>
          </cell>
          <cell r="GH93">
            <v>0</v>
          </cell>
        </row>
        <row r="94">
          <cell r="A94" t="str">
            <v>Preferred shares 3% AGI.Ltd</v>
          </cell>
          <cell r="C94">
            <v>12785.105</v>
          </cell>
          <cell r="I94">
            <v>12785.105</v>
          </cell>
          <cell r="U94">
            <v>0</v>
          </cell>
          <cell r="AD94">
            <v>0</v>
          </cell>
          <cell r="AJ94">
            <v>0</v>
          </cell>
          <cell r="AP94">
            <v>0</v>
          </cell>
          <cell r="AT94">
            <v>12785.105</v>
          </cell>
          <cell r="AX94">
            <v>12785.105</v>
          </cell>
          <cell r="AY94">
            <v>0</v>
          </cell>
          <cell r="AZ94" t="str">
            <v>Preferred shares 3% AGI.Ltd</v>
          </cell>
          <cell r="BC94">
            <v>45631.175999999999</v>
          </cell>
          <cell r="BI94">
            <v>45631.175999999999</v>
          </cell>
          <cell r="BX94">
            <v>0</v>
          </cell>
          <cell r="CD94">
            <v>0</v>
          </cell>
          <cell r="CJ94">
            <v>0</v>
          </cell>
          <cell r="CP94">
            <v>0</v>
          </cell>
          <cell r="CT94">
            <v>45631.175999999999</v>
          </cell>
          <cell r="CX94">
            <v>45631.175999999999</v>
          </cell>
          <cell r="FC94">
            <v>49766.67</v>
          </cell>
          <cell r="FF94">
            <v>49766.67</v>
          </cell>
          <cell r="FN94">
            <v>0</v>
          </cell>
          <cell r="FO94">
            <v>0</v>
          </cell>
          <cell r="FR94">
            <v>0</v>
          </cell>
          <cell r="FS94">
            <v>0</v>
          </cell>
          <cell r="FT94">
            <v>49766.67</v>
          </cell>
          <cell r="FV94">
            <v>49766.67</v>
          </cell>
          <cell r="FW94" t="str">
            <v>Preferred shares 3% AGI.Ltd</v>
          </cell>
          <cell r="FX94">
            <v>0</v>
          </cell>
          <cell r="FY94">
            <v>0</v>
          </cell>
          <cell r="GA94">
            <v>0</v>
          </cell>
          <cell r="GB94">
            <v>0</v>
          </cell>
          <cell r="GC94">
            <v>49766.67</v>
          </cell>
          <cell r="GD94">
            <v>50434.016206253749</v>
          </cell>
          <cell r="GE94">
            <v>49766.67</v>
          </cell>
          <cell r="GF94">
            <v>3.8925507455746353</v>
          </cell>
          <cell r="GG94">
            <v>35131.978597648595</v>
          </cell>
          <cell r="GH94">
            <v>0</v>
          </cell>
        </row>
        <row r="95">
          <cell r="A95" t="str">
            <v>Capital Notes AIG Golden I.Ltd</v>
          </cell>
          <cell r="C95">
            <v>1737.877</v>
          </cell>
          <cell r="I95">
            <v>1737.877</v>
          </cell>
          <cell r="U95">
            <v>0</v>
          </cell>
          <cell r="AD95">
            <v>0</v>
          </cell>
          <cell r="AJ95">
            <v>0</v>
          </cell>
          <cell r="AP95">
            <v>0</v>
          </cell>
          <cell r="AT95">
            <v>1737.877</v>
          </cell>
          <cell r="AX95">
            <v>1737.877</v>
          </cell>
          <cell r="AY95">
            <v>0</v>
          </cell>
          <cell r="AZ95" t="str">
            <v>Capital Notes AIG Golden I.Ltd</v>
          </cell>
          <cell r="BC95">
            <v>7229.5690000000004</v>
          </cell>
          <cell r="BG95">
            <v>0</v>
          </cell>
          <cell r="BI95">
            <v>7229.5690000000004</v>
          </cell>
          <cell r="BX95">
            <v>0</v>
          </cell>
          <cell r="CD95">
            <v>0</v>
          </cell>
          <cell r="CJ95">
            <v>0</v>
          </cell>
          <cell r="CP95">
            <v>0</v>
          </cell>
          <cell r="CT95">
            <v>7229.5690000000004</v>
          </cell>
          <cell r="CX95">
            <v>7229.5690000000004</v>
          </cell>
          <cell r="FC95">
            <v>7229.5690000000004</v>
          </cell>
          <cell r="FF95">
            <v>7229.5690000000004</v>
          </cell>
          <cell r="FN95">
            <v>0</v>
          </cell>
          <cell r="FO95">
            <v>0</v>
          </cell>
          <cell r="FR95">
            <v>0</v>
          </cell>
          <cell r="FS95">
            <v>0</v>
          </cell>
          <cell r="FT95">
            <v>7229.5690000000004</v>
          </cell>
          <cell r="FV95">
            <v>7229.5690000000004</v>
          </cell>
          <cell r="FW95" t="str">
            <v>Capital Notes AIG Golden I.Ltd</v>
          </cell>
          <cell r="FX95">
            <v>0</v>
          </cell>
          <cell r="FY95">
            <v>0</v>
          </cell>
          <cell r="GA95">
            <v>0</v>
          </cell>
          <cell r="GB95">
            <v>0</v>
          </cell>
          <cell r="GC95">
            <v>7229.5690000000004</v>
          </cell>
          <cell r="GD95">
            <v>7326.5139120264585</v>
          </cell>
          <cell r="GE95">
            <v>7229.5690000000004</v>
          </cell>
          <cell r="GF95">
            <v>4.1600003912820069</v>
          </cell>
          <cell r="GG95">
            <v>7257.5438125408245</v>
          </cell>
          <cell r="GH95">
            <v>0</v>
          </cell>
        </row>
        <row r="96">
          <cell r="A96" t="str">
            <v>Provision for the year-AGI</v>
          </cell>
          <cell r="I96">
            <v>0</v>
          </cell>
          <cell r="U96">
            <v>0</v>
          </cell>
          <cell r="AD96">
            <v>0</v>
          </cell>
          <cell r="AJ96">
            <v>0</v>
          </cell>
          <cell r="AP96">
            <v>0</v>
          </cell>
          <cell r="AT96">
            <v>0</v>
          </cell>
          <cell r="AX96">
            <v>0</v>
          </cell>
          <cell r="AY96">
            <v>0</v>
          </cell>
          <cell r="AZ96" t="str">
            <v>Provision for the year</v>
          </cell>
          <cell r="BG96">
            <v>0</v>
          </cell>
          <cell r="BI96">
            <v>0</v>
          </cell>
          <cell r="BX96">
            <v>0</v>
          </cell>
          <cell r="CD96">
            <v>0</v>
          </cell>
          <cell r="CJ96">
            <v>0</v>
          </cell>
          <cell r="CP96">
            <v>0</v>
          </cell>
          <cell r="CT96">
            <v>0</v>
          </cell>
          <cell r="CX96">
            <v>0</v>
          </cell>
          <cell r="FN96">
            <v>0</v>
          </cell>
          <cell r="FO96">
            <v>0</v>
          </cell>
          <cell r="FR96">
            <v>0</v>
          </cell>
          <cell r="FS96">
            <v>0</v>
          </cell>
          <cell r="FT96">
            <v>0</v>
          </cell>
          <cell r="FV96">
            <v>0</v>
          </cell>
          <cell r="FW96" t="str">
            <v>Provision for the year-AGI</v>
          </cell>
          <cell r="FX96">
            <v>0</v>
          </cell>
          <cell r="FY96">
            <v>0</v>
          </cell>
          <cell r="GA96">
            <v>0</v>
          </cell>
          <cell r="GB96">
            <v>0</v>
          </cell>
          <cell r="GC96">
            <v>0</v>
          </cell>
          <cell r="GD96">
            <v>0</v>
          </cell>
          <cell r="GE96">
            <v>0</v>
          </cell>
          <cell r="GF96" t="e">
            <v>#DIV/0!</v>
          </cell>
          <cell r="GG96">
            <v>0</v>
          </cell>
          <cell r="GH96">
            <v>0</v>
          </cell>
        </row>
        <row r="97">
          <cell r="A97" t="str">
            <v>Accumulated Provision</v>
          </cell>
          <cell r="I97">
            <v>0</v>
          </cell>
          <cell r="U97">
            <v>0</v>
          </cell>
          <cell r="AD97">
            <v>0</v>
          </cell>
          <cell r="AJ97">
            <v>0</v>
          </cell>
          <cell r="AP97">
            <v>0</v>
          </cell>
          <cell r="AT97">
            <v>0</v>
          </cell>
          <cell r="AX97">
            <v>0</v>
          </cell>
          <cell r="AY97">
            <v>0</v>
          </cell>
          <cell r="AZ97" t="str">
            <v>Accumulated Provision</v>
          </cell>
          <cell r="BI97">
            <v>0</v>
          </cell>
          <cell r="BX97">
            <v>0</v>
          </cell>
          <cell r="CD97">
            <v>0</v>
          </cell>
          <cell r="CJ97">
            <v>0</v>
          </cell>
          <cell r="CP97">
            <v>0</v>
          </cell>
          <cell r="CT97">
            <v>0</v>
          </cell>
          <cell r="CX97">
            <v>0</v>
          </cell>
          <cell r="FN97">
            <v>0</v>
          </cell>
          <cell r="FO97">
            <v>0</v>
          </cell>
          <cell r="FR97">
            <v>0</v>
          </cell>
          <cell r="FS97">
            <v>0</v>
          </cell>
          <cell r="FT97">
            <v>0</v>
          </cell>
          <cell r="FV97">
            <v>0</v>
          </cell>
          <cell r="FW97" t="str">
            <v>Accumulated Provision</v>
          </cell>
          <cell r="FX97">
            <v>0</v>
          </cell>
          <cell r="FY97">
            <v>0</v>
          </cell>
          <cell r="GA97">
            <v>0</v>
          </cell>
          <cell r="GB97">
            <v>0</v>
          </cell>
          <cell r="GC97">
            <v>0</v>
          </cell>
          <cell r="GD97">
            <v>0</v>
          </cell>
          <cell r="GE97">
            <v>0</v>
          </cell>
          <cell r="GF97" t="e">
            <v>#DIV/0!</v>
          </cell>
          <cell r="GG97">
            <v>0</v>
          </cell>
          <cell r="GH97">
            <v>0</v>
          </cell>
        </row>
        <row r="98">
          <cell r="C98">
            <v>14522.982</v>
          </cell>
          <cell r="E98">
            <v>0</v>
          </cell>
          <cell r="G98">
            <v>0</v>
          </cell>
          <cell r="I98">
            <v>14522.982</v>
          </cell>
          <cell r="M98">
            <v>0</v>
          </cell>
          <cell r="O98">
            <v>0</v>
          </cell>
          <cell r="Q98">
            <v>0</v>
          </cell>
          <cell r="S98">
            <v>0</v>
          </cell>
          <cell r="U98">
            <v>0</v>
          </cell>
          <cell r="Z98">
            <v>0</v>
          </cell>
          <cell r="AB98">
            <v>0</v>
          </cell>
          <cell r="AD98">
            <v>0</v>
          </cell>
          <cell r="AF98">
            <v>0</v>
          </cell>
          <cell r="AH98">
            <v>0</v>
          </cell>
          <cell r="AJ98">
            <v>0</v>
          </cell>
          <cell r="AL98">
            <v>0</v>
          </cell>
          <cell r="AN98">
            <v>0</v>
          </cell>
          <cell r="AP98">
            <v>0</v>
          </cell>
          <cell r="AR98">
            <v>0</v>
          </cell>
          <cell r="AT98">
            <v>14522.982</v>
          </cell>
          <cell r="AV98">
            <v>0</v>
          </cell>
          <cell r="AX98">
            <v>14522.982</v>
          </cell>
          <cell r="AY98">
            <v>0</v>
          </cell>
          <cell r="BA98" t="str">
            <v xml:space="preserve">total </v>
          </cell>
          <cell r="BC98">
            <v>52860.745000000003</v>
          </cell>
          <cell r="BE98">
            <v>0</v>
          </cell>
          <cell r="BG98">
            <v>0</v>
          </cell>
          <cell r="BI98">
            <v>52860.745000000003</v>
          </cell>
          <cell r="BM98">
            <v>0</v>
          </cell>
          <cell r="BO98">
            <v>0</v>
          </cell>
          <cell r="BQ98">
            <v>0</v>
          </cell>
          <cell r="BS98">
            <v>0</v>
          </cell>
          <cell r="BU98">
            <v>0</v>
          </cell>
          <cell r="BW98">
            <v>0</v>
          </cell>
          <cell r="BX98">
            <v>0</v>
          </cell>
          <cell r="BZ98">
            <v>0</v>
          </cell>
          <cell r="CB98">
            <v>0</v>
          </cell>
          <cell r="CD98">
            <v>0</v>
          </cell>
          <cell r="CF98">
            <v>0</v>
          </cell>
          <cell r="CH98">
            <v>0</v>
          </cell>
          <cell r="CJ98">
            <v>0</v>
          </cell>
          <cell r="CL98">
            <v>0</v>
          </cell>
          <cell r="CN98">
            <v>0</v>
          </cell>
          <cell r="CP98">
            <v>0</v>
          </cell>
          <cell r="CR98">
            <v>0</v>
          </cell>
          <cell r="CT98">
            <v>52860.745000000003</v>
          </cell>
          <cell r="CV98">
            <v>0</v>
          </cell>
          <cell r="CX98">
            <v>52860.745000000003</v>
          </cell>
          <cell r="FC98">
            <v>56996.239000000001</v>
          </cell>
          <cell r="FE98">
            <v>0</v>
          </cell>
          <cell r="FF98">
            <v>56996.239000000001</v>
          </cell>
          <cell r="FI98">
            <v>0</v>
          </cell>
          <cell r="FJ98">
            <v>0</v>
          </cell>
          <cell r="FK98">
            <v>0</v>
          </cell>
          <cell r="FM98">
            <v>0</v>
          </cell>
          <cell r="FN98">
            <v>0</v>
          </cell>
          <cell r="FO98">
            <v>0</v>
          </cell>
          <cell r="FQ98">
            <v>0</v>
          </cell>
          <cell r="FR98">
            <v>0</v>
          </cell>
          <cell r="FS98">
            <v>0</v>
          </cell>
          <cell r="FT98">
            <v>56996.239000000001</v>
          </cell>
          <cell r="FU98">
            <v>0</v>
          </cell>
          <cell r="FV98">
            <v>56996.239000000001</v>
          </cell>
          <cell r="FX98">
            <v>0</v>
          </cell>
          <cell r="FY98">
            <v>0</v>
          </cell>
          <cell r="FZ98">
            <v>0</v>
          </cell>
          <cell r="GA98">
            <v>0</v>
          </cell>
          <cell r="GB98">
            <v>0</v>
          </cell>
          <cell r="GC98">
            <v>56996.239000000001</v>
          </cell>
          <cell r="GD98">
            <v>57760.530118280207</v>
          </cell>
          <cell r="GE98">
            <v>56996.239000000001</v>
          </cell>
          <cell r="GF98">
            <v>3.9245548193890207</v>
          </cell>
          <cell r="GG98">
            <v>42389.522410189427</v>
          </cell>
          <cell r="GH98">
            <v>0</v>
          </cell>
        </row>
        <row r="99">
          <cell r="A99" t="str">
            <v>AU. GOL.MED 1</v>
          </cell>
          <cell r="B99">
            <v>0.1</v>
          </cell>
          <cell r="C99">
            <v>2.3079999999999998</v>
          </cell>
          <cell r="I99">
            <v>2.3079999999999998</v>
          </cell>
          <cell r="U99">
            <v>0</v>
          </cell>
          <cell r="AD99">
            <v>0</v>
          </cell>
          <cell r="AJ99">
            <v>0</v>
          </cell>
          <cell r="AP99">
            <v>0</v>
          </cell>
          <cell r="AT99">
            <v>2.3079999999999998</v>
          </cell>
          <cell r="AX99">
            <v>2.3079999999999998</v>
          </cell>
          <cell r="AY99">
            <v>0</v>
          </cell>
          <cell r="AZ99" t="str">
            <v>AUREC GOLDEN MED 1</v>
          </cell>
          <cell r="BC99">
            <v>8.25</v>
          </cell>
          <cell r="BI99">
            <v>8.25</v>
          </cell>
          <cell r="BX99">
            <v>0</v>
          </cell>
          <cell r="CD99">
            <v>0</v>
          </cell>
          <cell r="CJ99">
            <v>0</v>
          </cell>
          <cell r="CP99">
            <v>0</v>
          </cell>
          <cell r="CT99">
            <v>8.25</v>
          </cell>
          <cell r="CX99">
            <v>8.25</v>
          </cell>
          <cell r="FC99">
            <v>8.9239999999999995</v>
          </cell>
          <cell r="FF99">
            <v>8.9239999999999995</v>
          </cell>
          <cell r="FO99">
            <v>0</v>
          </cell>
          <cell r="FR99">
            <v>0</v>
          </cell>
          <cell r="FS99">
            <v>0</v>
          </cell>
          <cell r="FT99">
            <v>8.9239999999999995</v>
          </cell>
          <cell r="FV99">
            <v>8.9239999999999995</v>
          </cell>
          <cell r="FW99" t="str">
            <v>AU. GOL.MED 1</v>
          </cell>
          <cell r="FX99">
            <v>0</v>
          </cell>
          <cell r="FY99">
            <v>0</v>
          </cell>
          <cell r="GA99">
            <v>0</v>
          </cell>
          <cell r="GB99">
            <v>0</v>
          </cell>
          <cell r="GC99">
            <v>8.9239999999999995</v>
          </cell>
          <cell r="GD99">
            <v>9.0436663860493081</v>
          </cell>
          <cell r="GE99">
            <v>8.9239999999999995</v>
          </cell>
          <cell r="GF99">
            <v>3.8665511265164647</v>
          </cell>
          <cell r="GG99">
            <v>5.5527472240365778</v>
          </cell>
          <cell r="GH99">
            <v>0</v>
          </cell>
        </row>
        <row r="100">
          <cell r="A100" t="str">
            <v xml:space="preserve"> Long term loans-Med1</v>
          </cell>
          <cell r="C100">
            <v>892.274</v>
          </cell>
          <cell r="I100">
            <v>892.274</v>
          </cell>
          <cell r="U100">
            <v>0</v>
          </cell>
          <cell r="AD100">
            <v>0</v>
          </cell>
          <cell r="AJ100">
            <v>0</v>
          </cell>
          <cell r="AP100">
            <v>0</v>
          </cell>
          <cell r="AT100">
            <v>892.274</v>
          </cell>
          <cell r="AX100">
            <v>892.274</v>
          </cell>
          <cell r="AY100">
            <v>0</v>
          </cell>
          <cell r="AZ100" t="str">
            <v xml:space="preserve"> long term loans+ idan</v>
          </cell>
          <cell r="BC100">
            <v>3711.8609999999999</v>
          </cell>
          <cell r="BI100">
            <v>3711.8609999999999</v>
          </cell>
          <cell r="BX100">
            <v>0</v>
          </cell>
          <cell r="CD100">
            <v>0</v>
          </cell>
          <cell r="CJ100">
            <v>0</v>
          </cell>
          <cell r="CP100">
            <v>0</v>
          </cell>
          <cell r="CT100">
            <v>3711.8609999999999</v>
          </cell>
          <cell r="CX100">
            <v>3711.8609999999999</v>
          </cell>
          <cell r="FC100">
            <v>3711.8609999999999</v>
          </cell>
          <cell r="FF100">
            <v>3711.8609999999999</v>
          </cell>
          <cell r="FN100">
            <v>0</v>
          </cell>
          <cell r="FO100">
            <v>0</v>
          </cell>
          <cell r="FR100">
            <v>0</v>
          </cell>
          <cell r="FS100">
            <v>0</v>
          </cell>
          <cell r="FT100">
            <v>3711.8609999999999</v>
          </cell>
          <cell r="FV100">
            <v>3711.8609999999999</v>
          </cell>
          <cell r="FW100" t="str">
            <v xml:space="preserve"> Long term loans-Med1</v>
          </cell>
          <cell r="FX100">
            <v>0</v>
          </cell>
          <cell r="FY100">
            <v>0</v>
          </cell>
          <cell r="GA100">
            <v>0</v>
          </cell>
          <cell r="GB100">
            <v>0</v>
          </cell>
          <cell r="GC100">
            <v>3711.8609999999999</v>
          </cell>
          <cell r="GD100">
            <v>3761.6352034275401</v>
          </cell>
          <cell r="GE100">
            <v>3711.8609999999999</v>
          </cell>
          <cell r="GF100">
            <v>4.1600013000490881</v>
          </cell>
          <cell r="GG100">
            <v>1186.9985649902026</v>
          </cell>
          <cell r="GH100">
            <v>0</v>
          </cell>
        </row>
        <row r="101">
          <cell r="A101" t="str">
            <v>Provision for the year-Med1</v>
          </cell>
          <cell r="I101">
            <v>0</v>
          </cell>
          <cell r="U101">
            <v>0</v>
          </cell>
          <cell r="AD101">
            <v>0</v>
          </cell>
          <cell r="AJ101">
            <v>0</v>
          </cell>
          <cell r="AP101">
            <v>0</v>
          </cell>
          <cell r="AT101">
            <v>0</v>
          </cell>
          <cell r="AX101">
            <v>0</v>
          </cell>
          <cell r="AY101">
            <v>0</v>
          </cell>
          <cell r="BI101">
            <v>0</v>
          </cell>
          <cell r="BX101">
            <v>0</v>
          </cell>
          <cell r="CD101">
            <v>0</v>
          </cell>
          <cell r="CJ101">
            <v>0</v>
          </cell>
          <cell r="CP101">
            <v>0</v>
          </cell>
          <cell r="CT101">
            <v>0</v>
          </cell>
          <cell r="CX101">
            <v>0</v>
          </cell>
          <cell r="FN101">
            <v>0</v>
          </cell>
          <cell r="FO101">
            <v>0</v>
          </cell>
          <cell r="FR101">
            <v>0</v>
          </cell>
          <cell r="FS101">
            <v>0</v>
          </cell>
          <cell r="FT101">
            <v>0</v>
          </cell>
          <cell r="FV101">
            <v>0</v>
          </cell>
          <cell r="FW101" t="str">
            <v>Provision for the year-Med1</v>
          </cell>
          <cell r="FX101">
            <v>0</v>
          </cell>
          <cell r="FY101">
            <v>0</v>
          </cell>
          <cell r="GA101">
            <v>0</v>
          </cell>
          <cell r="GB101">
            <v>0</v>
          </cell>
          <cell r="GC101">
            <v>0</v>
          </cell>
          <cell r="GD101">
            <v>0</v>
          </cell>
          <cell r="GE101">
            <v>0</v>
          </cell>
          <cell r="GF101" t="e">
            <v>#DIV/0!</v>
          </cell>
          <cell r="GG101">
            <v>0</v>
          </cell>
          <cell r="GH101">
            <v>0</v>
          </cell>
        </row>
        <row r="102">
          <cell r="A102" t="str">
            <v>Accumulated Provision</v>
          </cell>
          <cell r="I102">
            <v>0</v>
          </cell>
          <cell r="U102">
            <v>0</v>
          </cell>
          <cell r="AD102">
            <v>0</v>
          </cell>
          <cell r="AJ102">
            <v>0</v>
          </cell>
          <cell r="AP102">
            <v>0</v>
          </cell>
          <cell r="AT102">
            <v>0</v>
          </cell>
          <cell r="AX102">
            <v>0</v>
          </cell>
          <cell r="AY102">
            <v>0</v>
          </cell>
          <cell r="AZ102" t="str">
            <v>Accumulated Provision</v>
          </cell>
          <cell r="BI102">
            <v>0</v>
          </cell>
          <cell r="BX102">
            <v>0</v>
          </cell>
          <cell r="CD102">
            <v>0</v>
          </cell>
          <cell r="CJ102">
            <v>0</v>
          </cell>
          <cell r="CP102">
            <v>0</v>
          </cell>
          <cell r="CT102">
            <v>0</v>
          </cell>
          <cell r="CX102">
            <v>0</v>
          </cell>
          <cell r="FH102">
            <v>0</v>
          </cell>
          <cell r="FN102">
            <v>0</v>
          </cell>
          <cell r="FO102">
            <v>0</v>
          </cell>
          <cell r="FR102">
            <v>0</v>
          </cell>
          <cell r="FS102">
            <v>0</v>
          </cell>
          <cell r="FT102">
            <v>0</v>
          </cell>
          <cell r="FU102" t="str">
            <v xml:space="preserve">    </v>
          </cell>
          <cell r="FV102">
            <v>0</v>
          </cell>
          <cell r="FW102" t="str">
            <v>Accumulated Provision</v>
          </cell>
          <cell r="FX102">
            <v>0</v>
          </cell>
          <cell r="FY102">
            <v>0</v>
          </cell>
          <cell r="GA102">
            <v>0</v>
          </cell>
          <cell r="GB102">
            <v>0</v>
          </cell>
          <cell r="GC102">
            <v>0</v>
          </cell>
          <cell r="GD102">
            <v>0</v>
          </cell>
          <cell r="GE102">
            <v>0</v>
          </cell>
          <cell r="GF102" t="e">
            <v>#DIV/0!</v>
          </cell>
          <cell r="GG102">
            <v>0</v>
          </cell>
          <cell r="GH102">
            <v>0</v>
          </cell>
        </row>
        <row r="103">
          <cell r="I103">
            <v>0</v>
          </cell>
          <cell r="M103">
            <v>0</v>
          </cell>
          <cell r="AT103">
            <v>0</v>
          </cell>
          <cell r="AX103">
            <v>0</v>
          </cell>
          <cell r="BI103">
            <v>0</v>
          </cell>
          <cell r="BX103">
            <v>0</v>
          </cell>
          <cell r="CT103">
            <v>0</v>
          </cell>
          <cell r="CX103">
            <v>0</v>
          </cell>
          <cell r="FN103">
            <v>0</v>
          </cell>
          <cell r="FO103">
            <v>0</v>
          </cell>
          <cell r="FQ103">
            <v>0</v>
          </cell>
          <cell r="FR103">
            <v>0</v>
          </cell>
          <cell r="FS103">
            <v>0</v>
          </cell>
          <cell r="FV103">
            <v>0</v>
          </cell>
          <cell r="FX103">
            <v>0</v>
          </cell>
          <cell r="FY103">
            <v>0</v>
          </cell>
          <cell r="GA103">
            <v>0</v>
          </cell>
          <cell r="GB103">
            <v>0</v>
          </cell>
          <cell r="GC103">
            <v>0</v>
          </cell>
          <cell r="GD103">
            <v>0</v>
          </cell>
          <cell r="GE103">
            <v>0</v>
          </cell>
          <cell r="GF103" t="e">
            <v>#DIV/0!</v>
          </cell>
        </row>
        <row r="104">
          <cell r="A104" t="str">
            <v>Investment in NETVISION-in trust</v>
          </cell>
          <cell r="C104">
            <v>10200</v>
          </cell>
          <cell r="I104">
            <v>10200</v>
          </cell>
          <cell r="M104">
            <v>0</v>
          </cell>
          <cell r="AT104">
            <v>10200</v>
          </cell>
          <cell r="AX104">
            <v>10200</v>
          </cell>
          <cell r="AZ104" t="str">
            <v>Investment in NETVISION-in trust</v>
          </cell>
          <cell r="BC104">
            <v>42432</v>
          </cell>
          <cell r="BI104">
            <v>42432</v>
          </cell>
          <cell r="BX104">
            <v>0</v>
          </cell>
          <cell r="CT104">
            <v>42432</v>
          </cell>
          <cell r="CX104">
            <v>42432</v>
          </cell>
          <cell r="FC104">
            <v>42432</v>
          </cell>
          <cell r="FF104">
            <v>42432</v>
          </cell>
          <cell r="FN104">
            <v>0</v>
          </cell>
          <cell r="FT104">
            <v>42432</v>
          </cell>
          <cell r="FV104">
            <v>42432</v>
          </cell>
          <cell r="FW104" t="str">
            <v>Investment in NETVISION-in trust</v>
          </cell>
          <cell r="FX104">
            <v>0</v>
          </cell>
          <cell r="FY104">
            <v>0</v>
          </cell>
          <cell r="GA104">
            <v>0</v>
          </cell>
          <cell r="GB104">
            <v>0</v>
          </cell>
          <cell r="GC104">
            <v>42432</v>
          </cell>
          <cell r="GD104">
            <v>43000.991942272994</v>
          </cell>
          <cell r="GE104">
            <v>42432</v>
          </cell>
          <cell r="GF104">
            <v>4.16</v>
          </cell>
        </row>
        <row r="105">
          <cell r="C105">
            <v>11094.582</v>
          </cell>
          <cell r="E105">
            <v>0</v>
          </cell>
          <cell r="G105">
            <v>0</v>
          </cell>
          <cell r="I105">
            <v>11094.582</v>
          </cell>
          <cell r="O105">
            <v>0</v>
          </cell>
          <cell r="Q105">
            <v>0</v>
          </cell>
          <cell r="S105">
            <v>0</v>
          </cell>
          <cell r="U105">
            <v>0</v>
          </cell>
          <cell r="Z105">
            <v>0</v>
          </cell>
          <cell r="AB105">
            <v>0</v>
          </cell>
          <cell r="AD105">
            <v>0</v>
          </cell>
          <cell r="AF105">
            <v>0</v>
          </cell>
          <cell r="AH105">
            <v>0</v>
          </cell>
          <cell r="AJ105">
            <v>0</v>
          </cell>
          <cell r="AL105">
            <v>0</v>
          </cell>
          <cell r="AN105">
            <v>0</v>
          </cell>
          <cell r="AP105">
            <v>0</v>
          </cell>
          <cell r="AR105">
            <v>0</v>
          </cell>
          <cell r="AT105">
            <v>11094.582</v>
          </cell>
          <cell r="AV105">
            <v>0</v>
          </cell>
          <cell r="AX105">
            <v>11094.582</v>
          </cell>
          <cell r="AY105">
            <v>0</v>
          </cell>
          <cell r="BA105" t="str">
            <v xml:space="preserve">total </v>
          </cell>
          <cell r="BC105">
            <v>46152.110999999997</v>
          </cell>
          <cell r="BE105">
            <v>0</v>
          </cell>
          <cell r="BG105">
            <v>0</v>
          </cell>
          <cell r="BI105">
            <v>46152.110999999997</v>
          </cell>
          <cell r="BM105">
            <v>0</v>
          </cell>
          <cell r="BO105">
            <v>0</v>
          </cell>
          <cell r="BQ105">
            <v>0</v>
          </cell>
          <cell r="BS105">
            <v>0</v>
          </cell>
          <cell r="BU105">
            <v>0</v>
          </cell>
          <cell r="BW105">
            <v>0</v>
          </cell>
          <cell r="BX105">
            <v>0</v>
          </cell>
          <cell r="BZ105">
            <v>0</v>
          </cell>
          <cell r="CB105">
            <v>0</v>
          </cell>
          <cell r="CD105">
            <v>0</v>
          </cell>
          <cell r="CF105">
            <v>0</v>
          </cell>
          <cell r="CH105">
            <v>0</v>
          </cell>
          <cell r="CJ105">
            <v>0</v>
          </cell>
          <cell r="CL105">
            <v>0</v>
          </cell>
          <cell r="CN105">
            <v>0</v>
          </cell>
          <cell r="CP105">
            <v>0</v>
          </cell>
          <cell r="CR105">
            <v>0</v>
          </cell>
          <cell r="CT105">
            <v>46152.110999999997</v>
          </cell>
          <cell r="CV105">
            <v>0</v>
          </cell>
          <cell r="CX105">
            <v>46152.110999999997</v>
          </cell>
          <cell r="FC105">
            <v>46152.785000000003</v>
          </cell>
          <cell r="FE105">
            <v>0</v>
          </cell>
          <cell r="FF105">
            <v>46152.785000000003</v>
          </cell>
          <cell r="FI105">
            <v>0</v>
          </cell>
          <cell r="FJ105">
            <v>0</v>
          </cell>
          <cell r="FM105">
            <v>0</v>
          </cell>
          <cell r="FT105">
            <v>46152.785000000003</v>
          </cell>
          <cell r="FU105">
            <v>0</v>
          </cell>
          <cell r="FV105">
            <v>46152.785000000003</v>
          </cell>
          <cell r="FX105">
            <v>0</v>
          </cell>
          <cell r="FY105">
            <v>0</v>
          </cell>
          <cell r="GA105">
            <v>0</v>
          </cell>
          <cell r="GB105">
            <v>0</v>
          </cell>
          <cell r="GC105">
            <v>46152.785000000003</v>
          </cell>
          <cell r="GD105">
            <v>46771.670812086588</v>
          </cell>
          <cell r="GE105">
            <v>46152.785000000003</v>
          </cell>
          <cell r="GF105">
            <v>4.1599390585422684</v>
          </cell>
          <cell r="GG105">
            <v>1192.5513122142393</v>
          </cell>
          <cell r="GH105">
            <v>0</v>
          </cell>
        </row>
        <row r="106">
          <cell r="A106" t="str">
            <v>TOTAL OTHER INVESTMENTS</v>
          </cell>
          <cell r="C106">
            <v>25617.563999999998</v>
          </cell>
          <cell r="E106">
            <v>0</v>
          </cell>
          <cell r="G106">
            <v>0</v>
          </cell>
          <cell r="I106">
            <v>25617.563999999998</v>
          </cell>
          <cell r="O106">
            <v>0</v>
          </cell>
          <cell r="Q106">
            <v>0</v>
          </cell>
          <cell r="S106">
            <v>0</v>
          </cell>
          <cell r="U106">
            <v>0</v>
          </cell>
          <cell r="Z106">
            <v>0</v>
          </cell>
          <cell r="AB106">
            <v>0</v>
          </cell>
          <cell r="AD106">
            <v>0</v>
          </cell>
          <cell r="AF106">
            <v>0</v>
          </cell>
          <cell r="AH106">
            <v>0</v>
          </cell>
          <cell r="AJ106">
            <v>0</v>
          </cell>
          <cell r="AL106">
            <v>0</v>
          </cell>
          <cell r="AN106">
            <v>0</v>
          </cell>
          <cell r="AP106">
            <v>0</v>
          </cell>
          <cell r="AR106">
            <v>0</v>
          </cell>
          <cell r="AT106">
            <v>25617.563999999998</v>
          </cell>
          <cell r="AV106">
            <v>0</v>
          </cell>
          <cell r="AX106">
            <v>25617.563999999998</v>
          </cell>
          <cell r="AY106">
            <v>0</v>
          </cell>
          <cell r="BC106">
            <v>99012.856</v>
          </cell>
          <cell r="BE106">
            <v>0</v>
          </cell>
          <cell r="BG106">
            <v>0</v>
          </cell>
          <cell r="BI106">
            <v>99012.856</v>
          </cell>
          <cell r="BM106">
            <v>0</v>
          </cell>
          <cell r="BO106">
            <v>0</v>
          </cell>
          <cell r="BQ106">
            <v>0</v>
          </cell>
          <cell r="BS106">
            <v>0</v>
          </cell>
          <cell r="BU106">
            <v>0</v>
          </cell>
          <cell r="BW106">
            <v>0</v>
          </cell>
          <cell r="BX106">
            <v>0</v>
          </cell>
          <cell r="BZ106">
            <v>0</v>
          </cell>
          <cell r="CB106">
            <v>0</v>
          </cell>
          <cell r="CD106">
            <v>0</v>
          </cell>
          <cell r="CF106">
            <v>0</v>
          </cell>
          <cell r="CH106">
            <v>0</v>
          </cell>
          <cell r="CJ106">
            <v>0</v>
          </cell>
          <cell r="CL106">
            <v>0</v>
          </cell>
          <cell r="CN106">
            <v>0</v>
          </cell>
          <cell r="CP106">
            <v>0</v>
          </cell>
          <cell r="CR106">
            <v>0</v>
          </cell>
          <cell r="CT106">
            <v>99012.856</v>
          </cell>
          <cell r="CV106">
            <v>0</v>
          </cell>
          <cell r="CX106">
            <v>99012.856</v>
          </cell>
          <cell r="FC106">
            <v>103149.024</v>
          </cell>
          <cell r="FE106">
            <v>0</v>
          </cell>
          <cell r="FF106">
            <v>103149.024</v>
          </cell>
          <cell r="FI106">
            <v>0</v>
          </cell>
          <cell r="FJ106">
            <v>0</v>
          </cell>
          <cell r="FK106">
            <v>0</v>
          </cell>
          <cell r="FM106">
            <v>0</v>
          </cell>
          <cell r="FN106">
            <v>0</v>
          </cell>
          <cell r="FO106">
            <v>0</v>
          </cell>
          <cell r="FQ106">
            <v>0</v>
          </cell>
          <cell r="FR106">
            <v>0</v>
          </cell>
          <cell r="FS106">
            <v>0</v>
          </cell>
          <cell r="FT106">
            <v>103149.024</v>
          </cell>
          <cell r="FU106">
            <v>0</v>
          </cell>
          <cell r="FV106">
            <v>103149.024</v>
          </cell>
          <cell r="FW106" t="str">
            <v>TOTAL OTHER INVESTMENTS</v>
          </cell>
          <cell r="FX106">
            <v>0</v>
          </cell>
          <cell r="FY106">
            <v>0</v>
          </cell>
          <cell r="FZ106">
            <v>0</v>
          </cell>
          <cell r="GA106">
            <v>0</v>
          </cell>
          <cell r="GB106">
            <v>0</v>
          </cell>
          <cell r="GC106">
            <v>103149.024</v>
          </cell>
          <cell r="GD106">
            <v>104532.2009303668</v>
          </cell>
          <cell r="GE106">
            <v>92296.646000000008</v>
          </cell>
          <cell r="GF106">
            <v>4.0264961961254402</v>
          </cell>
          <cell r="GG106">
            <v>43582.073722403657</v>
          </cell>
          <cell r="GH106">
            <v>0</v>
          </cell>
        </row>
        <row r="107">
          <cell r="FX107">
            <v>0</v>
          </cell>
          <cell r="FY107">
            <v>0</v>
          </cell>
          <cell r="GA107">
            <v>0</v>
          </cell>
          <cell r="GB107">
            <v>0</v>
          </cell>
          <cell r="GC107">
            <v>0</v>
          </cell>
          <cell r="GD107">
            <v>0</v>
          </cell>
          <cell r="GE107">
            <v>0</v>
          </cell>
        </row>
        <row r="108">
          <cell r="A108" t="str">
            <v>CURRENT ASSETS</v>
          </cell>
          <cell r="AT108">
            <v>0</v>
          </cell>
          <cell r="AY108">
            <v>0</v>
          </cell>
          <cell r="AZ108" t="str">
            <v>CURRENT ASSETS</v>
          </cell>
          <cell r="BX108">
            <v>0</v>
          </cell>
          <cell r="CD108">
            <v>0</v>
          </cell>
          <cell r="CT108">
            <v>0</v>
          </cell>
          <cell r="FW108" t="str">
            <v>CURRENT ASSETS</v>
          </cell>
          <cell r="FX108">
            <v>0</v>
          </cell>
          <cell r="FY108">
            <v>0</v>
          </cell>
          <cell r="GA108">
            <v>0</v>
          </cell>
          <cell r="GB108">
            <v>0</v>
          </cell>
          <cell r="GC108">
            <v>0</v>
          </cell>
          <cell r="GD108">
            <v>0</v>
          </cell>
          <cell r="GE108">
            <v>0</v>
          </cell>
          <cell r="GF108" t="e">
            <v>#DIV/0!</v>
          </cell>
          <cell r="GG108">
            <v>0</v>
          </cell>
          <cell r="GH108">
            <v>0</v>
          </cell>
        </row>
        <row r="109">
          <cell r="A109" t="str">
            <v>Acc.receivable</v>
          </cell>
          <cell r="M109" t="str">
            <v xml:space="preserve"> </v>
          </cell>
          <cell r="Q109">
            <v>47.584000000000003</v>
          </cell>
          <cell r="U109">
            <v>47.584000000000003</v>
          </cell>
          <cell r="Z109">
            <v>4.8289999999999997</v>
          </cell>
          <cell r="AD109">
            <v>52.413000000000004</v>
          </cell>
          <cell r="AR109">
            <v>9.1999999999999998E-2</v>
          </cell>
          <cell r="AT109">
            <v>52.505000000000003</v>
          </cell>
          <cell r="AX109">
            <v>52.505000000000003</v>
          </cell>
          <cell r="AY109">
            <v>0</v>
          </cell>
          <cell r="AZ109" t="str">
            <v>Acc.receivable</v>
          </cell>
          <cell r="BC109" t="str">
            <v xml:space="preserve">                                                                                                                      </v>
          </cell>
          <cell r="BE109" t="str">
            <v xml:space="preserve"> </v>
          </cell>
          <cell r="BQ109">
            <v>198.209</v>
          </cell>
          <cell r="BU109">
            <v>198.209</v>
          </cell>
          <cell r="BX109">
            <v>0</v>
          </cell>
          <cell r="BZ109">
            <v>20.088999999999999</v>
          </cell>
          <cell r="CD109">
            <v>218.298</v>
          </cell>
          <cell r="CR109">
            <v>0.38500000000000001</v>
          </cell>
          <cell r="CT109">
            <v>218.68299999999999</v>
          </cell>
          <cell r="CX109">
            <v>218.68299999999999</v>
          </cell>
          <cell r="FI109">
            <v>198.209</v>
          </cell>
          <cell r="FL109">
            <v>20.088999999999999</v>
          </cell>
          <cell r="FN109">
            <v>218.298</v>
          </cell>
          <cell r="FR109">
            <v>0</v>
          </cell>
          <cell r="FS109">
            <v>0.38500000000000001</v>
          </cell>
          <cell r="FT109">
            <v>218.68299999999999</v>
          </cell>
          <cell r="FV109">
            <v>218.68299999999999</v>
          </cell>
          <cell r="FW109" t="str">
            <v>Acc.receivable</v>
          </cell>
          <cell r="FX109">
            <v>218.298</v>
          </cell>
          <cell r="FY109">
            <v>0</v>
          </cell>
          <cell r="GA109">
            <v>218.298</v>
          </cell>
          <cell r="GB109">
            <v>221.22526722790138</v>
          </cell>
          <cell r="GC109">
            <v>218.68299999999999</v>
          </cell>
          <cell r="GD109">
            <v>221.61542988574863</v>
          </cell>
          <cell r="GE109">
            <v>0.38499999999999091</v>
          </cell>
          <cell r="GF109">
            <v>4.1649938101133221</v>
          </cell>
          <cell r="GG109">
            <v>436.65969954278256</v>
          </cell>
          <cell r="GH109">
            <v>0</v>
          </cell>
        </row>
        <row r="110">
          <cell r="A110" t="str">
            <v>customers</v>
          </cell>
          <cell r="I110">
            <v>0</v>
          </cell>
          <cell r="M110" t="str">
            <v xml:space="preserve"> </v>
          </cell>
          <cell r="O110">
            <v>3649.5</v>
          </cell>
          <cell r="Q110">
            <v>707.06600000000003</v>
          </cell>
          <cell r="U110">
            <v>707.06600000000003</v>
          </cell>
          <cell r="W110">
            <v>73</v>
          </cell>
          <cell r="X110">
            <v>73</v>
          </cell>
          <cell r="Z110">
            <v>18.760999999999999</v>
          </cell>
          <cell r="AD110">
            <v>871.827</v>
          </cell>
          <cell r="AJ110">
            <v>0</v>
          </cell>
          <cell r="AL110">
            <v>337</v>
          </cell>
          <cell r="AP110">
            <v>337</v>
          </cell>
          <cell r="AT110">
            <v>4858.3270000000002</v>
          </cell>
          <cell r="AX110">
            <v>4858.3270000000002</v>
          </cell>
          <cell r="AY110">
            <v>0</v>
          </cell>
          <cell r="AZ110" t="str">
            <v>customers</v>
          </cell>
          <cell r="BI110">
            <v>0</v>
          </cell>
          <cell r="BO110">
            <v>15182.5</v>
          </cell>
          <cell r="BQ110">
            <v>2941.3939999999998</v>
          </cell>
          <cell r="BU110">
            <v>2941.3939999999998</v>
          </cell>
          <cell r="BW110">
            <v>303.5</v>
          </cell>
          <cell r="BX110">
            <v>303.5</v>
          </cell>
          <cell r="BZ110">
            <v>78.046000000000006</v>
          </cell>
          <cell r="CD110">
            <v>3626.44</v>
          </cell>
          <cell r="CJ110">
            <v>0</v>
          </cell>
          <cell r="CL110">
            <v>1401</v>
          </cell>
          <cell r="CP110">
            <v>1401</v>
          </cell>
          <cell r="CT110">
            <v>20209.939999999999</v>
          </cell>
          <cell r="CX110">
            <v>20209.939999999999</v>
          </cell>
          <cell r="FH110">
            <v>15182.5</v>
          </cell>
          <cell r="FI110">
            <v>2941.3939999999998</v>
          </cell>
          <cell r="FJ110">
            <v>303.5</v>
          </cell>
          <cell r="FK110">
            <v>303.5</v>
          </cell>
          <cell r="FL110">
            <v>78.046000000000006</v>
          </cell>
          <cell r="FN110">
            <v>3626.44</v>
          </cell>
          <cell r="FO110">
            <v>0</v>
          </cell>
          <cell r="FP110">
            <v>1611.88</v>
          </cell>
          <cell r="FR110">
            <v>1611.88</v>
          </cell>
          <cell r="FS110">
            <v>0</v>
          </cell>
          <cell r="FT110">
            <v>20420.82</v>
          </cell>
          <cell r="FU110">
            <v>-212</v>
          </cell>
          <cell r="FV110">
            <v>20208.82</v>
          </cell>
          <cell r="FW110" t="str">
            <v>customers</v>
          </cell>
          <cell r="FX110">
            <v>3626.44</v>
          </cell>
          <cell r="FY110">
            <v>1611.88</v>
          </cell>
          <cell r="GA110">
            <v>5238.32</v>
          </cell>
          <cell r="GB110">
            <v>5308.5632567648818</v>
          </cell>
          <cell r="GC110">
            <v>20208.82</v>
          </cell>
          <cell r="GD110">
            <v>20479.810190018037</v>
          </cell>
          <cell r="GE110">
            <v>14970.5</v>
          </cell>
          <cell r="GF110">
            <v>4.1596253195801758</v>
          </cell>
          <cell r="GG110">
            <v>21139.00009322874</v>
          </cell>
          <cell r="GH110">
            <v>0</v>
          </cell>
        </row>
        <row r="111">
          <cell r="A111" t="str">
            <v>checks receivable</v>
          </cell>
          <cell r="I111">
            <v>0</v>
          </cell>
          <cell r="M111">
            <v>38.849639423076923</v>
          </cell>
          <cell r="O111">
            <v>197</v>
          </cell>
          <cell r="Q111">
            <v>151.65600000000001</v>
          </cell>
          <cell r="U111">
            <v>151.65600000000001</v>
          </cell>
          <cell r="W111">
            <v>90</v>
          </cell>
          <cell r="X111">
            <v>90</v>
          </cell>
          <cell r="Z111">
            <v>3.4569999999999999</v>
          </cell>
          <cell r="AD111">
            <v>335.113</v>
          </cell>
          <cell r="AJ111">
            <v>0</v>
          </cell>
          <cell r="AL111">
            <v>83</v>
          </cell>
          <cell r="AP111">
            <v>83</v>
          </cell>
          <cell r="AT111">
            <v>653.96263942307689</v>
          </cell>
          <cell r="AX111">
            <v>653.96263942307689</v>
          </cell>
          <cell r="AY111">
            <v>0</v>
          </cell>
          <cell r="AZ111" t="str">
            <v>checks receivable</v>
          </cell>
          <cell r="BI111">
            <v>0</v>
          </cell>
          <cell r="BM111">
            <v>161.61449999999999</v>
          </cell>
          <cell r="BO111">
            <v>819.5</v>
          </cell>
          <cell r="BQ111">
            <v>630.89099999999996</v>
          </cell>
          <cell r="BU111">
            <v>630.89099999999996</v>
          </cell>
          <cell r="BW111">
            <v>375</v>
          </cell>
          <cell r="BX111">
            <v>375</v>
          </cell>
          <cell r="BZ111">
            <v>14.382</v>
          </cell>
          <cell r="CD111">
            <v>1395.2730000000001</v>
          </cell>
          <cell r="CJ111">
            <v>0</v>
          </cell>
          <cell r="CL111">
            <v>347</v>
          </cell>
          <cell r="CP111">
            <v>347</v>
          </cell>
          <cell r="CT111">
            <v>2723.3874999999998</v>
          </cell>
          <cell r="CX111">
            <v>2723.3874999999998</v>
          </cell>
          <cell r="FG111">
            <v>161.61449999999999</v>
          </cell>
          <cell r="FH111">
            <v>819.5</v>
          </cell>
          <cell r="FI111">
            <v>630.89099999999996</v>
          </cell>
          <cell r="FJ111">
            <v>375</v>
          </cell>
          <cell r="FK111">
            <v>375</v>
          </cell>
          <cell r="FL111">
            <v>14</v>
          </cell>
          <cell r="FN111">
            <v>1394.8910000000001</v>
          </cell>
          <cell r="FO111">
            <v>0</v>
          </cell>
          <cell r="FP111">
            <v>345.28</v>
          </cell>
          <cell r="FR111">
            <v>345.28</v>
          </cell>
          <cell r="FS111">
            <v>0</v>
          </cell>
          <cell r="FT111">
            <v>2721.2855</v>
          </cell>
          <cell r="FV111">
            <v>2721.2855</v>
          </cell>
          <cell r="FW111" t="str">
            <v>checks receivable</v>
          </cell>
          <cell r="FX111">
            <v>1394.8910000000001</v>
          </cell>
          <cell r="FY111">
            <v>345.28</v>
          </cell>
          <cell r="GA111">
            <v>1740.171</v>
          </cell>
          <cell r="GB111">
            <v>1763.505824594107</v>
          </cell>
          <cell r="GC111">
            <v>2721.2855</v>
          </cell>
          <cell r="GD111">
            <v>2757.7765803668067</v>
          </cell>
          <cell r="GE111">
            <v>981.11449999999991</v>
          </cell>
          <cell r="GF111">
            <v>4.1612247182816233</v>
          </cell>
          <cell r="GG111">
            <v>1145.2621686458447</v>
          </cell>
          <cell r="GH111">
            <v>0</v>
          </cell>
        </row>
        <row r="112">
          <cell r="A112" t="str">
            <v>prov.doubtf.debts</v>
          </cell>
          <cell r="I112">
            <v>0</v>
          </cell>
          <cell r="M112">
            <v>-101.86141826923077</v>
          </cell>
          <cell r="O112">
            <v>-9</v>
          </cell>
          <cell r="Q112">
            <v>-162.01900000000001</v>
          </cell>
          <cell r="U112">
            <v>-162.01900000000001</v>
          </cell>
          <cell r="W112">
            <v>-36</v>
          </cell>
          <cell r="X112">
            <v>-36</v>
          </cell>
          <cell r="Z112">
            <v>-5.5279999999999996</v>
          </cell>
          <cell r="AD112">
            <v>-239.547</v>
          </cell>
          <cell r="AJ112">
            <v>0</v>
          </cell>
          <cell r="AL112">
            <v>-104</v>
          </cell>
          <cell r="AP112">
            <v>-104</v>
          </cell>
          <cell r="AT112">
            <v>-454.40841826923076</v>
          </cell>
          <cell r="AX112">
            <v>-454.40841826923076</v>
          </cell>
          <cell r="AY112">
            <v>0</v>
          </cell>
          <cell r="AZ112" t="str">
            <v>prov.doubtf.debts</v>
          </cell>
          <cell r="BI112">
            <v>0</v>
          </cell>
          <cell r="BM112">
            <v>-423.74349999999998</v>
          </cell>
          <cell r="BO112">
            <v>-37.5</v>
          </cell>
          <cell r="BQ112">
            <v>-674</v>
          </cell>
          <cell r="BU112">
            <v>-674</v>
          </cell>
          <cell r="BW112">
            <v>-149</v>
          </cell>
          <cell r="BX112">
            <v>-149</v>
          </cell>
          <cell r="BZ112">
            <v>-23</v>
          </cell>
          <cell r="CD112">
            <v>-995</v>
          </cell>
          <cell r="CH112">
            <v>0</v>
          </cell>
          <cell r="CJ112">
            <v>0</v>
          </cell>
          <cell r="CL112">
            <v>-431</v>
          </cell>
          <cell r="CP112">
            <v>-431</v>
          </cell>
          <cell r="CT112">
            <v>-1887.2435</v>
          </cell>
          <cell r="CV112">
            <v>0</v>
          </cell>
          <cell r="CX112">
            <v>-1887.2435</v>
          </cell>
          <cell r="FG112">
            <v>-423.74349999999998</v>
          </cell>
          <cell r="FH112">
            <v>-37.5</v>
          </cell>
          <cell r="FI112">
            <v>-674</v>
          </cell>
          <cell r="FJ112">
            <v>-149</v>
          </cell>
          <cell r="FK112">
            <v>-149</v>
          </cell>
          <cell r="FL112">
            <v>-23</v>
          </cell>
          <cell r="FN112">
            <v>-995</v>
          </cell>
          <cell r="FO112">
            <v>0</v>
          </cell>
          <cell r="FP112">
            <v>-431</v>
          </cell>
          <cell r="FR112">
            <v>-431</v>
          </cell>
          <cell r="FS112">
            <v>0</v>
          </cell>
          <cell r="FT112">
            <v>-1887.2435</v>
          </cell>
          <cell r="FU112" t="str">
            <v>לשאול את גיא</v>
          </cell>
          <cell r="FV112">
            <v>-1887.2435</v>
          </cell>
          <cell r="FW112" t="str">
            <v>prov.doubtf.debts</v>
          </cell>
          <cell r="FX112">
            <v>-995</v>
          </cell>
          <cell r="FY112">
            <v>-431</v>
          </cell>
          <cell r="GA112">
            <v>-1426</v>
          </cell>
          <cell r="GB112">
            <v>-1445.1219482862296</v>
          </cell>
          <cell r="GC112">
            <v>-1887.2435</v>
          </cell>
          <cell r="GD112">
            <v>-1912.550493415514</v>
          </cell>
          <cell r="GE112">
            <v>-461.24350000000004</v>
          </cell>
          <cell r="GF112">
            <v>4.1531878022599358</v>
          </cell>
          <cell r="GG112">
            <v>-953.14954410804637</v>
          </cell>
          <cell r="GH112">
            <v>0</v>
          </cell>
        </row>
        <row r="113">
          <cell r="A113" t="str">
            <v>related companies</v>
          </cell>
          <cell r="C113">
            <v>-17941.614999999998</v>
          </cell>
          <cell r="E113">
            <v>18208.349999999999</v>
          </cell>
          <cell r="I113">
            <v>266.73500000000058</v>
          </cell>
          <cell r="M113">
            <v>227.57175480769229</v>
          </cell>
          <cell r="O113">
            <v>7.5</v>
          </cell>
          <cell r="Q113">
            <v>4890.2530000000006</v>
          </cell>
          <cell r="S113">
            <v>-15.269</v>
          </cell>
          <cell r="U113">
            <v>4874.9840000000004</v>
          </cell>
          <cell r="W113">
            <v>218.5</v>
          </cell>
          <cell r="X113">
            <v>218.5</v>
          </cell>
          <cell r="AD113">
            <v>5311.9840000000004</v>
          </cell>
          <cell r="AF113">
            <v>42.854999999999997</v>
          </cell>
          <cell r="AJ113">
            <v>42.854999999999997</v>
          </cell>
          <cell r="AL113">
            <v>216</v>
          </cell>
          <cell r="AN113">
            <v>-26.103999999999999</v>
          </cell>
          <cell r="AP113">
            <v>232.75100000000003</v>
          </cell>
          <cell r="AR113">
            <v>1805</v>
          </cell>
          <cell r="AT113">
            <v>7851.541754807693</v>
          </cell>
          <cell r="AV113">
            <v>-5858.0150000000003</v>
          </cell>
          <cell r="AX113">
            <v>1993.5267548076927</v>
          </cell>
          <cell r="AY113">
            <v>0</v>
          </cell>
          <cell r="AZ113" t="str">
            <v>related companies</v>
          </cell>
          <cell r="BC113">
            <v>-67408.320000000007</v>
          </cell>
          <cell r="BE113">
            <v>67408.320000000007</v>
          </cell>
          <cell r="BG113">
            <v>0</v>
          </cell>
          <cell r="BI113">
            <v>0</v>
          </cell>
          <cell r="BM113">
            <v>946.69849999999997</v>
          </cell>
          <cell r="BO113">
            <v>30.5</v>
          </cell>
          <cell r="BQ113">
            <v>18611.771999999997</v>
          </cell>
          <cell r="BU113">
            <v>18611.771999999997</v>
          </cell>
          <cell r="BW113">
            <v>909</v>
          </cell>
          <cell r="BX113">
            <v>909</v>
          </cell>
          <cell r="CD113">
            <v>20429.771999999997</v>
          </cell>
          <cell r="CF113">
            <v>178.279</v>
          </cell>
          <cell r="CH113">
            <v>0</v>
          </cell>
          <cell r="CJ113">
            <v>178.279</v>
          </cell>
          <cell r="CL113">
            <v>898</v>
          </cell>
          <cell r="CN113">
            <v>-108.59399999999999</v>
          </cell>
          <cell r="CP113">
            <v>967.68499999999995</v>
          </cell>
          <cell r="CR113">
            <v>7508.2929999999997</v>
          </cell>
          <cell r="CT113">
            <v>29882.948499999995</v>
          </cell>
          <cell r="CV113">
            <v>-23376.774000000001</v>
          </cell>
          <cell r="CX113">
            <v>6506.1744999999937</v>
          </cell>
          <cell r="FC113">
            <v>-67407.64</v>
          </cell>
          <cell r="FD113">
            <v>67407.64</v>
          </cell>
          <cell r="FE113">
            <v>1109.6199999999999</v>
          </cell>
          <cell r="FF113">
            <v>1109.6199999999999</v>
          </cell>
          <cell r="FG113">
            <v>946.69849999999997</v>
          </cell>
          <cell r="FH113">
            <v>30.5</v>
          </cell>
          <cell r="FI113">
            <v>20279.382999999998</v>
          </cell>
          <cell r="FJ113">
            <v>909</v>
          </cell>
          <cell r="FK113">
            <v>909</v>
          </cell>
          <cell r="FN113">
            <v>22097.382999999998</v>
          </cell>
          <cell r="FO113">
            <v>178.279</v>
          </cell>
          <cell r="FP113">
            <v>898</v>
          </cell>
          <cell r="FR113">
            <v>1076.279</v>
          </cell>
          <cell r="FS113">
            <v>7508.2920000000004</v>
          </cell>
          <cell r="FT113">
            <v>32768.772499999999</v>
          </cell>
          <cell r="FU113">
            <v>-24473.342400000001</v>
          </cell>
          <cell r="FV113">
            <v>8295.4300999999978</v>
          </cell>
          <cell r="FW113" t="str">
            <v>related companies</v>
          </cell>
          <cell r="FX113">
            <v>22097.382999999998</v>
          </cell>
          <cell r="FY113">
            <v>1076.279</v>
          </cell>
          <cell r="GA113">
            <v>23173.661999999997</v>
          </cell>
          <cell r="GB113">
            <v>23484.409241491277</v>
          </cell>
          <cell r="GC113">
            <v>8295.4300999999978</v>
          </cell>
          <cell r="GD113">
            <v>8406.6676774082953</v>
          </cell>
          <cell r="GE113">
            <v>-14878.231899999999</v>
          </cell>
          <cell r="GF113">
            <v>4.1611832296678779</v>
          </cell>
          <cell r="GG113">
            <v>1001.4062328339301</v>
          </cell>
          <cell r="GH113">
            <v>0</v>
          </cell>
          <cell r="HJ113" t="str">
            <v>------~:tac~</v>
          </cell>
        </row>
        <row r="114">
          <cell r="A114" t="str">
            <v>INCOME TAX</v>
          </cell>
          <cell r="B114">
            <v>0.36</v>
          </cell>
          <cell r="C114">
            <v>4344.4549999999999</v>
          </cell>
          <cell r="G114">
            <v>-5030.1838852202718</v>
          </cell>
          <cell r="I114">
            <v>-685.72888522027188</v>
          </cell>
          <cell r="M114" t="str">
            <v xml:space="preserve"> </v>
          </cell>
          <cell r="O114">
            <v>397.5</v>
          </cell>
          <cell r="U114">
            <v>0</v>
          </cell>
          <cell r="W114">
            <v>353</v>
          </cell>
          <cell r="X114">
            <v>353</v>
          </cell>
          <cell r="Z114">
            <v>51.353000000000002</v>
          </cell>
          <cell r="AD114">
            <v>757.35299999999995</v>
          </cell>
          <cell r="AJ114">
            <v>0</v>
          </cell>
          <cell r="AP114">
            <v>0</v>
          </cell>
          <cell r="AT114">
            <v>469.12411477972807</v>
          </cell>
          <cell r="AV114">
            <v>-94.021692307692305</v>
          </cell>
          <cell r="AX114">
            <v>375.10242247203576</v>
          </cell>
          <cell r="AY114">
            <v>0</v>
          </cell>
          <cell r="AZ114" t="str">
            <v>INCOME TAX</v>
          </cell>
          <cell r="BA114">
            <v>0.36</v>
          </cell>
          <cell r="BC114">
            <v>16044.262000000001</v>
          </cell>
          <cell r="BG114">
            <v>-18618.462406415285</v>
          </cell>
          <cell r="BI114">
            <v>-2574.2004064152843</v>
          </cell>
          <cell r="BO114">
            <v>430.5</v>
          </cell>
          <cell r="BU114">
            <v>0</v>
          </cell>
          <cell r="BW114">
            <v>1469.5</v>
          </cell>
          <cell r="BX114">
            <v>1469.5</v>
          </cell>
          <cell r="BZ114">
            <v>213.62700000000001</v>
          </cell>
          <cell r="CD114">
            <v>3152.627</v>
          </cell>
          <cell r="CH114">
            <v>0</v>
          </cell>
          <cell r="CJ114">
            <v>0</v>
          </cell>
          <cell r="CL114">
            <v>165</v>
          </cell>
          <cell r="CP114">
            <v>165</v>
          </cell>
          <cell r="CT114">
            <v>1173.9265935847156</v>
          </cell>
          <cell r="CV114">
            <v>0</v>
          </cell>
          <cell r="CX114">
            <v>1173.9265935847156</v>
          </cell>
          <cell r="FC114">
            <v>16044.262000000001</v>
          </cell>
          <cell r="FE114">
            <v>-18588.940406415284</v>
          </cell>
          <cell r="FF114">
            <v>-2544.6784064152835</v>
          </cell>
          <cell r="FH114">
            <v>1652</v>
          </cell>
          <cell r="FJ114">
            <v>1469</v>
          </cell>
          <cell r="FK114">
            <v>1469</v>
          </cell>
          <cell r="FN114">
            <v>2938</v>
          </cell>
          <cell r="FO114">
            <v>0</v>
          </cell>
          <cell r="FR114">
            <v>0</v>
          </cell>
          <cell r="FS114">
            <v>0</v>
          </cell>
          <cell r="FT114">
            <v>2045.3215935847165</v>
          </cell>
          <cell r="FU114">
            <v>0</v>
          </cell>
          <cell r="FV114">
            <v>2045.3215935847165</v>
          </cell>
          <cell r="FW114" t="str">
            <v>INCOME TAX</v>
          </cell>
          <cell r="FX114">
            <v>2938</v>
          </cell>
          <cell r="FY114">
            <v>0</v>
          </cell>
          <cell r="GA114">
            <v>2938</v>
          </cell>
          <cell r="GB114">
            <v>2977.39711365003</v>
          </cell>
          <cell r="GC114">
            <v>2045.3215935847165</v>
          </cell>
          <cell r="GD114">
            <v>2072.7483353387388</v>
          </cell>
          <cell r="GE114">
            <v>-892.67840641528346</v>
          </cell>
          <cell r="GF114">
            <v>5.4527016384096996</v>
          </cell>
          <cell r="GG114">
            <v>2473.8340885893531</v>
          </cell>
          <cell r="GH114">
            <v>0</v>
          </cell>
        </row>
        <row r="115">
          <cell r="A115" t="str">
            <v>VAT</v>
          </cell>
          <cell r="C115">
            <v>7.0000000000000001E-3</v>
          </cell>
          <cell r="I115">
            <v>7.0000000000000001E-3</v>
          </cell>
          <cell r="M115" t="str">
            <v xml:space="preserve"> </v>
          </cell>
          <cell r="O115">
            <v>17.5</v>
          </cell>
          <cell r="W115">
            <v>212.5</v>
          </cell>
          <cell r="X115">
            <v>212.5</v>
          </cell>
          <cell r="AD115">
            <v>425</v>
          </cell>
          <cell r="AT115">
            <v>442.50700000000001</v>
          </cell>
          <cell r="AX115">
            <v>442.50700000000001</v>
          </cell>
          <cell r="AY115">
            <v>0</v>
          </cell>
          <cell r="AZ115" t="str">
            <v>VAT</v>
          </cell>
          <cell r="BC115">
            <v>0</v>
          </cell>
          <cell r="BI115">
            <v>0</v>
          </cell>
          <cell r="BW115">
            <v>883</v>
          </cell>
          <cell r="BX115">
            <v>883</v>
          </cell>
          <cell r="CD115">
            <v>1766</v>
          </cell>
          <cell r="CP115">
            <v>0</v>
          </cell>
          <cell r="CT115">
            <v>1766</v>
          </cell>
          <cell r="CX115">
            <v>1766</v>
          </cell>
          <cell r="FC115">
            <v>0</v>
          </cell>
          <cell r="FF115">
            <v>0</v>
          </cell>
          <cell r="FH115">
            <v>72.5</v>
          </cell>
          <cell r="FJ115">
            <v>883</v>
          </cell>
          <cell r="FK115">
            <v>883</v>
          </cell>
          <cell r="FN115">
            <v>1766</v>
          </cell>
          <cell r="FR115">
            <v>0</v>
          </cell>
          <cell r="FS115">
            <v>0</v>
          </cell>
          <cell r="FT115">
            <v>1838.5</v>
          </cell>
          <cell r="FV115">
            <v>1838.5</v>
          </cell>
          <cell r="FW115" t="str">
            <v>VAT</v>
          </cell>
          <cell r="FX115">
            <v>1766</v>
          </cell>
          <cell r="FY115">
            <v>0</v>
          </cell>
          <cell r="GA115">
            <v>1766</v>
          </cell>
          <cell r="GB115">
            <v>1789.6811785929042</v>
          </cell>
          <cell r="GC115">
            <v>1838.5</v>
          </cell>
          <cell r="GD115">
            <v>1863.1533674082982</v>
          </cell>
          <cell r="GE115">
            <v>72.5</v>
          </cell>
          <cell r="GF115">
            <v>4.1547365352412502</v>
          </cell>
        </row>
        <row r="116">
          <cell r="A116" t="str">
            <v>prepaid exp.</v>
          </cell>
          <cell r="I116">
            <v>0</v>
          </cell>
          <cell r="M116">
            <v>5.2531249999999998</v>
          </cell>
          <cell r="O116">
            <v>39.5</v>
          </cell>
          <cell r="Q116">
            <v>237.34700000000001</v>
          </cell>
          <cell r="U116">
            <v>237.34700000000001</v>
          </cell>
          <cell r="W116">
            <v>36.5</v>
          </cell>
          <cell r="X116">
            <v>36.5</v>
          </cell>
          <cell r="AD116">
            <v>310.34699999999998</v>
          </cell>
          <cell r="AH116">
            <v>0</v>
          </cell>
          <cell r="AJ116">
            <v>0</v>
          </cell>
          <cell r="AL116">
            <v>42</v>
          </cell>
          <cell r="AP116">
            <v>42</v>
          </cell>
          <cell r="AR116">
            <v>17.288</v>
          </cell>
          <cell r="AT116">
            <v>414.388125</v>
          </cell>
          <cell r="AX116">
            <v>414.388125</v>
          </cell>
          <cell r="AY116">
            <v>0</v>
          </cell>
          <cell r="AZ116" t="str">
            <v>prepaid exp.</v>
          </cell>
          <cell r="BA116" t="str">
            <v>='ני"ע 2'!BO28+'ני"ע 2'!BK29-BH286+'ני"ע 2'!BO30-BD105+'ני"ע 2'!BK42+BH297+'ני"ע 2'!BO18+'ני"ע 2'!BO2</v>
          </cell>
          <cell r="BI116">
            <v>0</v>
          </cell>
          <cell r="BM116">
            <v>21.853000000000002</v>
          </cell>
          <cell r="BO116">
            <v>152</v>
          </cell>
          <cell r="BQ116">
            <v>950.13699999999994</v>
          </cell>
          <cell r="BU116">
            <v>950.13699999999994</v>
          </cell>
          <cell r="BW116">
            <v>138</v>
          </cell>
          <cell r="BX116">
            <v>138</v>
          </cell>
          <cell r="CD116">
            <v>1226.1369999999999</v>
          </cell>
          <cell r="CH116">
            <v>0</v>
          </cell>
          <cell r="CJ116">
            <v>0</v>
          </cell>
          <cell r="CL116">
            <v>167</v>
          </cell>
          <cell r="CP116">
            <v>167</v>
          </cell>
          <cell r="CR116">
            <v>75.406999999999996</v>
          </cell>
          <cell r="CT116">
            <v>1642.3969999999999</v>
          </cell>
          <cell r="CV116">
            <v>0</v>
          </cell>
          <cell r="CX116">
            <v>1642.3969999999999</v>
          </cell>
          <cell r="FG116">
            <v>21.853000000000002</v>
          </cell>
          <cell r="FH116">
            <v>158</v>
          </cell>
          <cell r="FI116">
            <v>964.50800000000004</v>
          </cell>
          <cell r="FJ116">
            <v>154</v>
          </cell>
          <cell r="FK116">
            <v>154</v>
          </cell>
          <cell r="FN116">
            <v>1272.508</v>
          </cell>
          <cell r="FO116">
            <v>0</v>
          </cell>
          <cell r="FR116">
            <v>0</v>
          </cell>
          <cell r="FS116">
            <v>71.917000000000002</v>
          </cell>
          <cell r="FT116">
            <v>1524.278</v>
          </cell>
          <cell r="FU116">
            <v>212</v>
          </cell>
          <cell r="FV116">
            <v>1736.278</v>
          </cell>
          <cell r="FW116" t="str">
            <v>prepaid exp.</v>
          </cell>
          <cell r="FX116">
            <v>1272.508</v>
          </cell>
          <cell r="FY116">
            <v>0</v>
          </cell>
          <cell r="GA116">
            <v>1272.508</v>
          </cell>
          <cell r="GB116">
            <v>1289.5716971737822</v>
          </cell>
          <cell r="GC116">
            <v>1736.278</v>
          </cell>
          <cell r="GD116">
            <v>1759.5606214070956</v>
          </cell>
          <cell r="GE116">
            <v>463.77</v>
          </cell>
          <cell r="GF116">
            <v>4.1899801062108137</v>
          </cell>
          <cell r="GG116">
            <v>892.34944870385368</v>
          </cell>
          <cell r="GH116">
            <v>0</v>
          </cell>
          <cell r="HJ116" t="str">
            <v>:fu~~</v>
          </cell>
        </row>
        <row r="117">
          <cell r="A117" t="str">
            <v>i.c.p.</v>
          </cell>
          <cell r="I117">
            <v>0</v>
          </cell>
          <cell r="M117" t="str">
            <v xml:space="preserve"> </v>
          </cell>
          <cell r="U117">
            <v>0</v>
          </cell>
          <cell r="W117">
            <v>0</v>
          </cell>
          <cell r="X117">
            <v>0</v>
          </cell>
          <cell r="AD117">
            <v>0</v>
          </cell>
          <cell r="AJ117">
            <v>0</v>
          </cell>
          <cell r="AP117">
            <v>0</v>
          </cell>
          <cell r="AT117">
            <v>0</v>
          </cell>
          <cell r="AX117">
            <v>0</v>
          </cell>
          <cell r="AY117">
            <v>0</v>
          </cell>
          <cell r="AZ117" t="str">
            <v>i.c.p.</v>
          </cell>
          <cell r="BI117">
            <v>0</v>
          </cell>
          <cell r="BQ117">
            <v>1667.6110000000001</v>
          </cell>
          <cell r="BU117">
            <v>1667.6110000000001</v>
          </cell>
          <cell r="BW117">
            <v>0</v>
          </cell>
          <cell r="BX117">
            <v>0</v>
          </cell>
          <cell r="CD117">
            <v>1667.6110000000001</v>
          </cell>
          <cell r="CJ117">
            <v>0</v>
          </cell>
          <cell r="CP117">
            <v>0</v>
          </cell>
          <cell r="CT117">
            <v>1667.6110000000001</v>
          </cell>
          <cell r="CX117">
            <v>1667.6110000000001</v>
          </cell>
          <cell r="FJ117">
            <v>0</v>
          </cell>
          <cell r="FK117">
            <v>0</v>
          </cell>
          <cell r="FN117">
            <v>0</v>
          </cell>
          <cell r="FO117">
            <v>0</v>
          </cell>
          <cell r="FR117">
            <v>0</v>
          </cell>
          <cell r="FS117">
            <v>0</v>
          </cell>
          <cell r="FT117">
            <v>0</v>
          </cell>
          <cell r="FV117">
            <v>0</v>
          </cell>
          <cell r="FW117" t="str">
            <v>i.c.p.</v>
          </cell>
          <cell r="FX117">
            <v>0</v>
          </cell>
          <cell r="FY117">
            <v>0</v>
          </cell>
          <cell r="GA117">
            <v>0</v>
          </cell>
          <cell r="GB117">
            <v>0</v>
          </cell>
          <cell r="GC117">
            <v>0</v>
          </cell>
          <cell r="GD117">
            <v>0</v>
          </cell>
          <cell r="GE117">
            <v>0</v>
          </cell>
          <cell r="GF117" t="e">
            <v>#DIV/0!</v>
          </cell>
          <cell r="GG117">
            <v>1842.3106829941539</v>
          </cell>
          <cell r="GH117">
            <v>0</v>
          </cell>
        </row>
        <row r="118">
          <cell r="A118" t="str">
            <v>employees</v>
          </cell>
          <cell r="I118">
            <v>0</v>
          </cell>
          <cell r="M118" t="str">
            <v xml:space="preserve"> </v>
          </cell>
          <cell r="O118">
            <v>18.5</v>
          </cell>
          <cell r="U118">
            <v>0</v>
          </cell>
          <cell r="W118">
            <v>0</v>
          </cell>
          <cell r="X118">
            <v>0</v>
          </cell>
          <cell r="AD118">
            <v>0</v>
          </cell>
          <cell r="AJ118">
            <v>0</v>
          </cell>
          <cell r="AP118">
            <v>0</v>
          </cell>
          <cell r="AT118">
            <v>18.5</v>
          </cell>
          <cell r="AX118">
            <v>18.5</v>
          </cell>
          <cell r="AY118">
            <v>0</v>
          </cell>
          <cell r="AZ118" t="str">
            <v>employees</v>
          </cell>
          <cell r="BI118">
            <v>0</v>
          </cell>
          <cell r="BO118">
            <v>78</v>
          </cell>
          <cell r="BU118">
            <v>0</v>
          </cell>
          <cell r="BW118">
            <v>0</v>
          </cell>
          <cell r="BX118">
            <v>0</v>
          </cell>
          <cell r="CD118">
            <v>0</v>
          </cell>
          <cell r="CH118">
            <v>0</v>
          </cell>
          <cell r="CJ118">
            <v>0</v>
          </cell>
          <cell r="CP118">
            <v>0</v>
          </cell>
          <cell r="CT118">
            <v>78</v>
          </cell>
          <cell r="CX118">
            <v>78</v>
          </cell>
          <cell r="FH118">
            <v>78</v>
          </cell>
          <cell r="FJ118">
            <v>0</v>
          </cell>
          <cell r="FK118">
            <v>0</v>
          </cell>
          <cell r="FN118">
            <v>0</v>
          </cell>
          <cell r="FR118">
            <v>0</v>
          </cell>
          <cell r="FS118">
            <v>0</v>
          </cell>
          <cell r="FT118">
            <v>78</v>
          </cell>
          <cell r="FV118">
            <v>78</v>
          </cell>
          <cell r="FW118" t="str">
            <v>employees</v>
          </cell>
          <cell r="FX118">
            <v>0</v>
          </cell>
          <cell r="FY118">
            <v>0</v>
          </cell>
          <cell r="GA118">
            <v>0</v>
          </cell>
          <cell r="GB118">
            <v>0</v>
          </cell>
          <cell r="GC118">
            <v>78</v>
          </cell>
          <cell r="GD118">
            <v>79.045941070354772</v>
          </cell>
          <cell r="GE118">
            <v>78</v>
          </cell>
          <cell r="GF118">
            <v>4.2162162162162158</v>
          </cell>
          <cell r="GG118">
            <v>88.373110915994573</v>
          </cell>
          <cell r="GH118">
            <v>0</v>
          </cell>
          <cell r="HJ118" t="str">
            <v>/re~:fldb~{D}</v>
          </cell>
        </row>
        <row r="119">
          <cell r="A119" t="str">
            <v>suppliers</v>
          </cell>
          <cell r="I119">
            <v>0</v>
          </cell>
          <cell r="M119" t="str">
            <v xml:space="preserve"> </v>
          </cell>
          <cell r="Q119">
            <v>157.68100000000001</v>
          </cell>
          <cell r="U119">
            <v>157.68100000000001</v>
          </cell>
          <cell r="W119">
            <v>33</v>
          </cell>
          <cell r="X119">
            <v>33</v>
          </cell>
          <cell r="AD119">
            <v>223.68100000000001</v>
          </cell>
          <cell r="AJ119">
            <v>0</v>
          </cell>
          <cell r="AL119">
            <v>0.32500000000000001</v>
          </cell>
          <cell r="AP119">
            <v>0.32500000000000001</v>
          </cell>
          <cell r="AR119">
            <v>1</v>
          </cell>
          <cell r="AT119">
            <v>225.006</v>
          </cell>
          <cell r="AX119">
            <v>225.006</v>
          </cell>
          <cell r="AY119">
            <v>0</v>
          </cell>
          <cell r="AZ119" t="str">
            <v>suppliers</v>
          </cell>
          <cell r="BG119">
            <v>0</v>
          </cell>
          <cell r="BI119">
            <v>0</v>
          </cell>
          <cell r="BO119">
            <v>43</v>
          </cell>
          <cell r="BQ119">
            <v>657.19</v>
          </cell>
          <cell r="BU119">
            <v>657.19</v>
          </cell>
          <cell r="BW119">
            <v>136.5</v>
          </cell>
          <cell r="BX119">
            <v>136.5</v>
          </cell>
          <cell r="BZ119" t="str">
            <v xml:space="preserve"> </v>
          </cell>
          <cell r="CD119">
            <v>930.19</v>
          </cell>
          <cell r="CJ119">
            <v>0</v>
          </cell>
          <cell r="CL119">
            <v>0</v>
          </cell>
          <cell r="CP119">
            <v>0</v>
          </cell>
          <cell r="CT119">
            <v>973.19</v>
          </cell>
          <cell r="CX119">
            <v>973.19</v>
          </cell>
          <cell r="FI119">
            <v>657.19</v>
          </cell>
          <cell r="FJ119">
            <v>136.5</v>
          </cell>
          <cell r="FK119">
            <v>136.5</v>
          </cell>
          <cell r="FN119">
            <v>930.19</v>
          </cell>
          <cell r="FR119">
            <v>0</v>
          </cell>
          <cell r="FS119">
            <v>4.0949999999999998</v>
          </cell>
          <cell r="FT119">
            <v>934.28499999999997</v>
          </cell>
          <cell r="FV119">
            <v>934.28499999999997</v>
          </cell>
          <cell r="FW119" t="str">
            <v>suppliers</v>
          </cell>
          <cell r="FX119">
            <v>930.19</v>
          </cell>
          <cell r="FY119">
            <v>0</v>
          </cell>
          <cell r="GA119">
            <v>930.19</v>
          </cell>
          <cell r="GB119">
            <v>942.6633836440169</v>
          </cell>
          <cell r="GC119">
            <v>934.28499999999997</v>
          </cell>
          <cell r="GD119">
            <v>946.81329555021046</v>
          </cell>
          <cell r="GE119">
            <v>4.0950000000000273</v>
          </cell>
          <cell r="GF119">
            <v>4.1522670506564276</v>
          </cell>
          <cell r="GG119">
            <v>474.0597769922644</v>
          </cell>
          <cell r="GH119">
            <v>0</v>
          </cell>
        </row>
        <row r="120">
          <cell r="A120" t="str">
            <v>program material</v>
          </cell>
          <cell r="I120">
            <v>0</v>
          </cell>
          <cell r="M120" t="str">
            <v xml:space="preserve"> </v>
          </cell>
          <cell r="U120">
            <v>0</v>
          </cell>
          <cell r="W120">
            <v>0</v>
          </cell>
          <cell r="X120">
            <v>0</v>
          </cell>
          <cell r="AD120">
            <v>0</v>
          </cell>
          <cell r="AJ120">
            <v>0</v>
          </cell>
          <cell r="AN120">
            <v>0</v>
          </cell>
          <cell r="AP120">
            <v>0</v>
          </cell>
          <cell r="AT120">
            <v>0</v>
          </cell>
          <cell r="AX120">
            <v>0</v>
          </cell>
          <cell r="AY120">
            <v>0</v>
          </cell>
          <cell r="AZ120" t="str">
            <v>program material</v>
          </cell>
          <cell r="BG120">
            <v>0</v>
          </cell>
          <cell r="BI120">
            <v>0</v>
          </cell>
          <cell r="BU120">
            <v>0</v>
          </cell>
          <cell r="BW120">
            <v>0</v>
          </cell>
          <cell r="BX120">
            <v>0</v>
          </cell>
          <cell r="CD120">
            <v>0</v>
          </cell>
          <cell r="CJ120">
            <v>0</v>
          </cell>
          <cell r="CN120">
            <v>0</v>
          </cell>
          <cell r="CP120">
            <v>0</v>
          </cell>
          <cell r="CT120">
            <v>0</v>
          </cell>
          <cell r="CX120">
            <v>0</v>
          </cell>
          <cell r="FJ120">
            <v>0</v>
          </cell>
          <cell r="FK120">
            <v>0</v>
          </cell>
          <cell r="FN120">
            <v>0</v>
          </cell>
          <cell r="FO120">
            <v>0</v>
          </cell>
          <cell r="FQ120">
            <v>0</v>
          </cell>
          <cell r="FR120">
            <v>0</v>
          </cell>
          <cell r="FS120">
            <v>0</v>
          </cell>
          <cell r="FT120">
            <v>0</v>
          </cell>
          <cell r="FV120">
            <v>0</v>
          </cell>
          <cell r="FW120" t="str">
            <v>program material</v>
          </cell>
          <cell r="FX120">
            <v>0</v>
          </cell>
          <cell r="FY120">
            <v>0</v>
          </cell>
          <cell r="GA120">
            <v>0</v>
          </cell>
          <cell r="GB120">
            <v>0</v>
          </cell>
          <cell r="GC120">
            <v>0</v>
          </cell>
          <cell r="GD120">
            <v>0</v>
          </cell>
          <cell r="GE120">
            <v>0</v>
          </cell>
          <cell r="GF120" t="e">
            <v>#DIV/0!</v>
          </cell>
          <cell r="GG120">
            <v>169.14820081931691</v>
          </cell>
          <cell r="GH120">
            <v>0</v>
          </cell>
          <cell r="GT120" t="str">
            <v xml:space="preserve">דוח דולר  </v>
          </cell>
        </row>
        <row r="121">
          <cell r="A121" t="str">
            <v>sundry</v>
          </cell>
          <cell r="I121">
            <v>0</v>
          </cell>
          <cell r="M121" t="str">
            <v xml:space="preserve"> </v>
          </cell>
          <cell r="O121">
            <v>20</v>
          </cell>
          <cell r="Q121">
            <v>235.922</v>
          </cell>
          <cell r="U121">
            <v>235.922</v>
          </cell>
          <cell r="W121">
            <v>11</v>
          </cell>
          <cell r="X121">
            <v>11</v>
          </cell>
          <cell r="AD121">
            <v>257.92200000000003</v>
          </cell>
          <cell r="AH121">
            <v>0</v>
          </cell>
          <cell r="AJ121">
            <v>0</v>
          </cell>
          <cell r="AL121">
            <v>49</v>
          </cell>
          <cell r="AP121">
            <v>49</v>
          </cell>
          <cell r="AR121">
            <v>2.504</v>
          </cell>
          <cell r="AT121">
            <v>329.42600000000004</v>
          </cell>
          <cell r="AX121">
            <v>329.42600000000004</v>
          </cell>
          <cell r="AZ121" t="str">
            <v>sundry</v>
          </cell>
          <cell r="BG121">
            <v>0</v>
          </cell>
          <cell r="BI121">
            <v>0</v>
          </cell>
          <cell r="BO121">
            <v>1762</v>
          </cell>
          <cell r="BQ121">
            <v>981.41800000000001</v>
          </cell>
          <cell r="BU121">
            <v>981.41800000000001</v>
          </cell>
          <cell r="BW121">
            <v>197.5</v>
          </cell>
          <cell r="BX121">
            <v>197.5</v>
          </cell>
          <cell r="CD121">
            <v>1376.4180000000001</v>
          </cell>
          <cell r="CH121">
            <v>0</v>
          </cell>
          <cell r="CJ121">
            <v>0</v>
          </cell>
          <cell r="CL121">
            <v>210</v>
          </cell>
          <cell r="CP121">
            <v>210</v>
          </cell>
          <cell r="CR121">
            <v>0.40500000000000003</v>
          </cell>
          <cell r="CT121">
            <v>3348.8230000000003</v>
          </cell>
          <cell r="CV121">
            <v>0</v>
          </cell>
          <cell r="CX121">
            <v>3348.8230000000003</v>
          </cell>
          <cell r="FH121">
            <v>81</v>
          </cell>
          <cell r="FI121">
            <v>981.41800000000001</v>
          </cell>
          <cell r="FJ121">
            <v>47.5</v>
          </cell>
          <cell r="FK121">
            <v>47.5</v>
          </cell>
          <cell r="FN121">
            <v>1076.4180000000001</v>
          </cell>
          <cell r="FO121">
            <v>0</v>
          </cell>
          <cell r="FP121">
            <v>203.84</v>
          </cell>
          <cell r="FR121">
            <v>203.84</v>
          </cell>
          <cell r="FS121">
            <v>11.895</v>
          </cell>
          <cell r="FT121">
            <v>1373.153</v>
          </cell>
          <cell r="FU121">
            <v>0</v>
          </cell>
          <cell r="FV121">
            <v>1373.153</v>
          </cell>
          <cell r="FW121" t="str">
            <v>sundry</v>
          </cell>
          <cell r="FX121">
            <v>1076.4180000000001</v>
          </cell>
          <cell r="FY121">
            <v>203.84</v>
          </cell>
          <cell r="GA121">
            <v>1280.258</v>
          </cell>
          <cell r="GB121">
            <v>1297.4256208057727</v>
          </cell>
          <cell r="GC121">
            <v>1373.153</v>
          </cell>
          <cell r="GD121">
            <v>1391.5662963920624</v>
          </cell>
          <cell r="GE121">
            <v>92.894999999999996</v>
          </cell>
          <cell r="GF121">
            <v>4.1683200475979429</v>
          </cell>
          <cell r="GG121">
            <v>2670.3466610525779</v>
          </cell>
          <cell r="GH121">
            <v>0</v>
          </cell>
          <cell r="HJ121" t="str">
            <v>/re~:fr~{U}:fud~</v>
          </cell>
        </row>
        <row r="122">
          <cell r="A122" t="str">
            <v>total acc. rec.</v>
          </cell>
          <cell r="C122">
            <v>-13597.152999999998</v>
          </cell>
          <cell r="E122">
            <v>18208.349999999999</v>
          </cell>
          <cell r="G122">
            <v>-5030.1838852202718</v>
          </cell>
          <cell r="I122">
            <v>-418.98688522027129</v>
          </cell>
          <cell r="M122">
            <v>169.81310096153845</v>
          </cell>
          <cell r="O122">
            <v>4338</v>
          </cell>
          <cell r="Q122">
            <v>6265.49</v>
          </cell>
          <cell r="S122">
            <v>-15.269</v>
          </cell>
          <cell r="U122">
            <v>6250.2209999999995</v>
          </cell>
          <cell r="W122">
            <v>991.5</v>
          </cell>
          <cell r="X122">
            <v>1028</v>
          </cell>
          <cell r="Z122">
            <v>72.872</v>
          </cell>
          <cell r="AB122">
            <v>0</v>
          </cell>
          <cell r="AD122">
            <v>8306.0930000000008</v>
          </cell>
          <cell r="AF122">
            <v>42.854999999999997</v>
          </cell>
          <cell r="AH122">
            <v>0</v>
          </cell>
          <cell r="AJ122">
            <v>42.854999999999997</v>
          </cell>
          <cell r="AL122">
            <v>623.32500000000005</v>
          </cell>
          <cell r="AN122">
            <v>-26.103999999999999</v>
          </cell>
          <cell r="AP122">
            <v>640.07600000000002</v>
          </cell>
          <cell r="AR122">
            <v>1825.7919999999999</v>
          </cell>
          <cell r="AT122">
            <v>14860.879215741266</v>
          </cell>
          <cell r="AV122">
            <v>-5952.0366923076926</v>
          </cell>
          <cell r="AX122">
            <v>8908.8425234335737</v>
          </cell>
          <cell r="AZ122" t="str">
            <v>total acc. rec.</v>
          </cell>
          <cell r="BC122">
            <v>-51364.058000000005</v>
          </cell>
          <cell r="BE122">
            <v>67408.320000000007</v>
          </cell>
          <cell r="BG122">
            <v>-18618.462406415285</v>
          </cell>
          <cell r="BI122">
            <v>-2574.2004064152843</v>
          </cell>
          <cell r="BM122">
            <v>706.42250000000001</v>
          </cell>
          <cell r="BO122">
            <v>18460.5</v>
          </cell>
          <cell r="BQ122">
            <v>25964.621999999996</v>
          </cell>
          <cell r="BS122">
            <v>0</v>
          </cell>
          <cell r="BU122">
            <v>25964.621999999996</v>
          </cell>
          <cell r="BW122">
            <v>4263</v>
          </cell>
          <cell r="BX122">
            <v>4263</v>
          </cell>
          <cell r="BZ122">
            <v>303.14400000000001</v>
          </cell>
          <cell r="CB122">
            <v>0</v>
          </cell>
          <cell r="CD122">
            <v>34793.765999999996</v>
          </cell>
          <cell r="CF122">
            <v>178.279</v>
          </cell>
          <cell r="CH122">
            <v>0</v>
          </cell>
          <cell r="CJ122">
            <v>178.279</v>
          </cell>
          <cell r="CL122">
            <v>2757</v>
          </cell>
          <cell r="CN122">
            <v>-108.59399999999999</v>
          </cell>
          <cell r="CP122">
            <v>2826.6849999999999</v>
          </cell>
          <cell r="CR122">
            <v>7584.1049999999996</v>
          </cell>
          <cell r="CT122">
            <v>61797.663093584706</v>
          </cell>
          <cell r="CV122">
            <v>-23376.774000000001</v>
          </cell>
          <cell r="CX122">
            <v>38420.889093584716</v>
          </cell>
          <cell r="FC122">
            <v>-51363.377999999997</v>
          </cell>
          <cell r="FD122">
            <v>67407.64</v>
          </cell>
          <cell r="FE122">
            <v>-17479.320406415285</v>
          </cell>
          <cell r="FF122">
            <v>-1435.0584064152836</v>
          </cell>
          <cell r="FG122">
            <v>706.42250000000001</v>
          </cell>
          <cell r="FH122">
            <v>18036.5</v>
          </cell>
          <cell r="FI122">
            <v>25978.992999999999</v>
          </cell>
          <cell r="FJ122">
            <v>4128.5</v>
          </cell>
          <cell r="FK122">
            <v>4128.5</v>
          </cell>
          <cell r="FL122">
            <v>89.135000000000005</v>
          </cell>
          <cell r="FM122">
            <v>0</v>
          </cell>
          <cell r="FN122">
            <v>34325.127999999997</v>
          </cell>
          <cell r="FO122">
            <v>178.279</v>
          </cell>
          <cell r="FP122">
            <v>2628</v>
          </cell>
          <cell r="FQ122">
            <v>0</v>
          </cell>
          <cell r="FR122">
            <v>2806.2790000000005</v>
          </cell>
          <cell r="FS122">
            <v>7596.5840000000017</v>
          </cell>
          <cell r="FT122">
            <v>62035.855093584723</v>
          </cell>
          <cell r="FU122">
            <v>-24473.342400000001</v>
          </cell>
          <cell r="FV122">
            <v>37562.512693584715</v>
          </cell>
          <cell r="FW122" t="str">
            <v>total acc. rec.</v>
          </cell>
          <cell r="FX122">
            <v>34325.127999999997</v>
          </cell>
          <cell r="FY122">
            <v>2806.2790000000005</v>
          </cell>
          <cell r="FZ122">
            <v>0</v>
          </cell>
          <cell r="GA122">
            <v>37131.407000000007</v>
          </cell>
          <cell r="GB122">
            <v>37629.320635658441</v>
          </cell>
          <cell r="GC122">
            <v>37562.512693584715</v>
          </cell>
          <cell r="GD122">
            <v>38066.207241430129</v>
          </cell>
          <cell r="GE122">
            <v>431.10569358470821</v>
          </cell>
          <cell r="GF122">
            <v>4.216317955422527</v>
          </cell>
          <cell r="GG122">
            <v>31379.600620210771</v>
          </cell>
          <cell r="GH122">
            <v>0</v>
          </cell>
        </row>
        <row r="123">
          <cell r="FX123">
            <v>0</v>
          </cell>
          <cell r="FY123">
            <v>0</v>
          </cell>
          <cell r="GA123">
            <v>0</v>
          </cell>
          <cell r="GB123">
            <v>0</v>
          </cell>
          <cell r="GC123">
            <v>0</v>
          </cell>
          <cell r="GD123">
            <v>0</v>
          </cell>
          <cell r="GE123">
            <v>0</v>
          </cell>
        </row>
        <row r="124">
          <cell r="A124" t="str">
            <v>INVENTORIES</v>
          </cell>
          <cell r="I124">
            <v>0</v>
          </cell>
          <cell r="O124">
            <v>2104.5</v>
          </cell>
          <cell r="Q124">
            <v>0</v>
          </cell>
          <cell r="U124">
            <v>0</v>
          </cell>
          <cell r="AD124">
            <v>0</v>
          </cell>
          <cell r="AJ124">
            <v>0</v>
          </cell>
          <cell r="AN124">
            <v>0</v>
          </cell>
          <cell r="AP124">
            <v>0</v>
          </cell>
          <cell r="AT124">
            <v>2104.5</v>
          </cell>
          <cell r="AX124">
            <v>2104.5</v>
          </cell>
          <cell r="AY124">
            <v>0</v>
          </cell>
          <cell r="AZ124" t="str">
            <v>INVENTORIES</v>
          </cell>
          <cell r="BG124">
            <v>0</v>
          </cell>
          <cell r="BI124">
            <v>0</v>
          </cell>
          <cell r="BM124">
            <v>8.7769999999999992</v>
          </cell>
          <cell r="BO124">
            <v>8435</v>
          </cell>
          <cell r="BU124">
            <v>0</v>
          </cell>
          <cell r="BW124">
            <v>0</v>
          </cell>
          <cell r="BX124">
            <v>0</v>
          </cell>
          <cell r="CD124">
            <v>0</v>
          </cell>
          <cell r="CJ124">
            <v>0</v>
          </cell>
          <cell r="CN124">
            <v>0</v>
          </cell>
          <cell r="CP124">
            <v>0</v>
          </cell>
          <cell r="CT124">
            <v>8443.777</v>
          </cell>
          <cell r="CX124">
            <v>8443.777</v>
          </cell>
          <cell r="FG124">
            <v>8.7769999999999992</v>
          </cell>
          <cell r="FH124">
            <v>8657</v>
          </cell>
          <cell r="FL124">
            <v>0</v>
          </cell>
          <cell r="FN124">
            <v>0</v>
          </cell>
          <cell r="FO124">
            <v>0</v>
          </cell>
          <cell r="FQ124">
            <v>0</v>
          </cell>
          <cell r="FR124">
            <v>0</v>
          </cell>
          <cell r="FS124">
            <v>0</v>
          </cell>
          <cell r="FT124">
            <v>8665.777</v>
          </cell>
          <cell r="FV124">
            <v>8665.777</v>
          </cell>
          <cell r="FW124" t="str">
            <v>INVENTORIES</v>
          </cell>
          <cell r="FX124">
            <v>0</v>
          </cell>
          <cell r="FY124">
            <v>0</v>
          </cell>
          <cell r="GA124">
            <v>0</v>
          </cell>
          <cell r="GB124">
            <v>0</v>
          </cell>
          <cell r="GC124">
            <v>8665.777</v>
          </cell>
          <cell r="GD124">
            <v>8781.9807444978942</v>
          </cell>
          <cell r="GE124">
            <v>8665.777</v>
          </cell>
          <cell r="GF124">
            <v>4.1177367545735333</v>
          </cell>
          <cell r="GG124">
            <v>8146.5367965382111</v>
          </cell>
          <cell r="GH124">
            <v>0</v>
          </cell>
          <cell r="HJ124" t="str">
            <v>:flb~{D}</v>
          </cell>
        </row>
        <row r="125">
          <cell r="FX125">
            <v>0</v>
          </cell>
          <cell r="FY125">
            <v>0</v>
          </cell>
          <cell r="GA125">
            <v>0</v>
          </cell>
          <cell r="GB125">
            <v>0</v>
          </cell>
          <cell r="GC125">
            <v>0</v>
          </cell>
          <cell r="GD125">
            <v>0</v>
          </cell>
          <cell r="GE125">
            <v>0</v>
          </cell>
        </row>
        <row r="126">
          <cell r="A126" t="str">
            <v>BANKS</v>
          </cell>
          <cell r="AT126">
            <v>0</v>
          </cell>
          <cell r="AY126">
            <v>0</v>
          </cell>
          <cell r="AZ126" t="str">
            <v>BANKS</v>
          </cell>
          <cell r="BX126">
            <v>0</v>
          </cell>
          <cell r="CD126">
            <v>0</v>
          </cell>
          <cell r="CT126">
            <v>0</v>
          </cell>
          <cell r="FL126">
            <v>0</v>
          </cell>
          <cell r="FN126">
            <v>0</v>
          </cell>
          <cell r="FW126" t="str">
            <v>BANKS</v>
          </cell>
          <cell r="FX126">
            <v>0</v>
          </cell>
          <cell r="FY126">
            <v>0</v>
          </cell>
          <cell r="GA126">
            <v>0</v>
          </cell>
          <cell r="GB126">
            <v>0</v>
          </cell>
          <cell r="GC126">
            <v>0</v>
          </cell>
          <cell r="GD126">
            <v>0</v>
          </cell>
          <cell r="GE126">
            <v>0</v>
          </cell>
          <cell r="GF126" t="e">
            <v>#DIV/0!</v>
          </cell>
          <cell r="GH126">
            <v>0</v>
          </cell>
        </row>
        <row r="127">
          <cell r="A127" t="str">
            <v xml:space="preserve">Shekel  accounts                                                   </v>
          </cell>
          <cell r="C127">
            <v>0.871</v>
          </cell>
          <cell r="I127">
            <v>0.871</v>
          </cell>
          <cell r="O127">
            <v>40.5</v>
          </cell>
          <cell r="Q127">
            <v>81.971000000000004</v>
          </cell>
          <cell r="S127" t="str">
            <v xml:space="preserve"> </v>
          </cell>
          <cell r="U127">
            <v>81.971000000000004</v>
          </cell>
          <cell r="W127">
            <v>99.5</v>
          </cell>
          <cell r="X127">
            <v>99.5</v>
          </cell>
          <cell r="Z127">
            <v>12.333</v>
          </cell>
          <cell r="AD127">
            <v>293.30400000000003</v>
          </cell>
          <cell r="AF127">
            <v>16.248000000000001</v>
          </cell>
          <cell r="AJ127">
            <v>16.248000000000001</v>
          </cell>
          <cell r="AL127">
            <v>13</v>
          </cell>
          <cell r="AP127">
            <v>29.248000000000001</v>
          </cell>
          <cell r="AR127">
            <v>8.7769999999999992</v>
          </cell>
          <cell r="AT127">
            <v>372.7</v>
          </cell>
          <cell r="AX127">
            <v>372.7</v>
          </cell>
          <cell r="AY127">
            <v>0</v>
          </cell>
          <cell r="AZ127" t="str">
            <v xml:space="preserve">Shekel  accounts                                                   </v>
          </cell>
          <cell r="BC127">
            <v>3.625</v>
          </cell>
          <cell r="BI127">
            <v>3.625</v>
          </cell>
          <cell r="BO127">
            <v>168.5</v>
          </cell>
          <cell r="BQ127">
            <v>340.7</v>
          </cell>
          <cell r="BS127" t="str">
            <v xml:space="preserve"> </v>
          </cell>
          <cell r="BU127">
            <v>340.7</v>
          </cell>
          <cell r="BW127">
            <v>413.5</v>
          </cell>
          <cell r="BX127">
            <v>413.5</v>
          </cell>
          <cell r="BZ127">
            <v>51.302999999999997</v>
          </cell>
          <cell r="CD127">
            <v>1219.0030000000002</v>
          </cell>
          <cell r="CF127">
            <v>67.59</v>
          </cell>
          <cell r="CJ127">
            <v>67.59</v>
          </cell>
          <cell r="CL127">
            <v>53</v>
          </cell>
          <cell r="CP127">
            <v>120.59</v>
          </cell>
          <cell r="CR127">
            <v>36.517000000000003</v>
          </cell>
          <cell r="CT127">
            <v>1548.2349999999999</v>
          </cell>
          <cell r="CX127">
            <v>1548.2349999999999</v>
          </cell>
          <cell r="FC127">
            <v>3.625</v>
          </cell>
          <cell r="FF127">
            <v>3.625</v>
          </cell>
          <cell r="FH127">
            <v>168.5</v>
          </cell>
          <cell r="FI127">
            <v>340.7</v>
          </cell>
          <cell r="FJ127">
            <v>413.5</v>
          </cell>
          <cell r="FK127">
            <v>413.5</v>
          </cell>
          <cell r="FL127">
            <v>51.302999999999997</v>
          </cell>
          <cell r="FN127">
            <v>1219.0030000000002</v>
          </cell>
          <cell r="FO127">
            <v>67.59</v>
          </cell>
          <cell r="FP127">
            <v>7713</v>
          </cell>
          <cell r="FR127">
            <v>7780.59</v>
          </cell>
          <cell r="FS127">
            <v>36.517000000000003</v>
          </cell>
          <cell r="FT127">
            <v>9208.2350000000006</v>
          </cell>
          <cell r="FV127">
            <v>9208.2350000000006</v>
          </cell>
          <cell r="FW127" t="str">
            <v xml:space="preserve">Shekel  accounts                                                   </v>
          </cell>
          <cell r="FX127">
            <v>1219.0030000000002</v>
          </cell>
          <cell r="FY127">
            <v>7780.59</v>
          </cell>
          <cell r="GA127">
            <v>8999.5930000000008</v>
          </cell>
          <cell r="GB127">
            <v>9120.2730504509927</v>
          </cell>
          <cell r="GC127">
            <v>9208.2350000000006</v>
          </cell>
          <cell r="GD127">
            <v>9331.7128355381828</v>
          </cell>
          <cell r="GE127">
            <v>208.64199999999983</v>
          </cell>
          <cell r="GF127">
            <v>24.706828548430376</v>
          </cell>
          <cell r="GG127">
            <v>10227.441908675792</v>
          </cell>
          <cell r="GH127">
            <v>0</v>
          </cell>
          <cell r="HJ127" t="str">
            <v>{EDIT}{HOME}{R 1} ~</v>
          </cell>
        </row>
        <row r="128">
          <cell r="A128" t="str">
            <v>Shekel deposits</v>
          </cell>
          <cell r="I128">
            <v>0</v>
          </cell>
          <cell r="Q128">
            <v>89.278999999999996</v>
          </cell>
          <cell r="U128">
            <v>89.278999999999996</v>
          </cell>
          <cell r="Z128">
            <v>593.78200000000004</v>
          </cell>
          <cell r="AD128">
            <v>683.06100000000004</v>
          </cell>
          <cell r="AJ128">
            <v>0</v>
          </cell>
          <cell r="AL128">
            <v>1841</v>
          </cell>
          <cell r="AP128">
            <v>1841</v>
          </cell>
          <cell r="AR128">
            <v>636.10199999999998</v>
          </cell>
          <cell r="AT128">
            <v>3160.163</v>
          </cell>
          <cell r="AX128">
            <v>3160.163</v>
          </cell>
          <cell r="AY128">
            <v>0</v>
          </cell>
          <cell r="AZ128" t="str">
            <v>Shekel deposits</v>
          </cell>
          <cell r="BE128">
            <v>0</v>
          </cell>
          <cell r="BI128">
            <v>0</v>
          </cell>
          <cell r="BQ128">
            <v>371.4</v>
          </cell>
          <cell r="BU128">
            <v>371.4</v>
          </cell>
          <cell r="BX128">
            <v>0</v>
          </cell>
          <cell r="BZ128">
            <v>2470.1309999999999</v>
          </cell>
          <cell r="CD128">
            <v>2841.5309999999999</v>
          </cell>
          <cell r="CJ128">
            <v>0</v>
          </cell>
          <cell r="CL128">
            <v>7660</v>
          </cell>
          <cell r="CP128">
            <v>7660</v>
          </cell>
          <cell r="CR128">
            <v>2646.1849999999999</v>
          </cell>
          <cell r="CT128">
            <v>13147.716</v>
          </cell>
          <cell r="CX128">
            <v>13147.716</v>
          </cell>
          <cell r="FI128">
            <v>371.4</v>
          </cell>
          <cell r="FL128">
            <v>2469.1309999999999</v>
          </cell>
          <cell r="FN128">
            <v>2840.5309999999999</v>
          </cell>
          <cell r="FO128">
            <v>0</v>
          </cell>
          <cell r="FR128">
            <v>0</v>
          </cell>
          <cell r="FS128">
            <v>2646.1849999999999</v>
          </cell>
          <cell r="FT128">
            <v>5486.7160000000003</v>
          </cell>
          <cell r="FV128">
            <v>5486.7160000000003</v>
          </cell>
          <cell r="FW128" t="str">
            <v>Shekel deposits</v>
          </cell>
          <cell r="FX128">
            <v>2840.5309999999999</v>
          </cell>
          <cell r="FY128">
            <v>0</v>
          </cell>
          <cell r="GA128">
            <v>2840.5309999999999</v>
          </cell>
          <cell r="GB128">
            <v>2878.6211030066142</v>
          </cell>
          <cell r="GC128">
            <v>5486.7160000000003</v>
          </cell>
          <cell r="GD128">
            <v>5560.2901231509322</v>
          </cell>
          <cell r="GE128">
            <v>2646.1850000000004</v>
          </cell>
          <cell r="GF128">
            <v>1.7362129738244516</v>
          </cell>
          <cell r="GG128">
            <v>2891.392628713234</v>
          </cell>
          <cell r="GH128">
            <v>0</v>
          </cell>
        </row>
        <row r="129">
          <cell r="A129" t="str">
            <v>Cash in banks</v>
          </cell>
          <cell r="C129">
            <v>0.871</v>
          </cell>
          <cell r="E129">
            <v>0</v>
          </cell>
          <cell r="G129">
            <v>0</v>
          </cell>
          <cell r="I129">
            <v>0.871</v>
          </cell>
          <cell r="O129">
            <v>40.5</v>
          </cell>
          <cell r="Q129">
            <v>171.25</v>
          </cell>
          <cell r="S129">
            <v>0</v>
          </cell>
          <cell r="U129">
            <v>171.25</v>
          </cell>
          <cell r="W129">
            <v>99.5</v>
          </cell>
          <cell r="X129">
            <v>99.5</v>
          </cell>
          <cell r="Z129">
            <v>606.11500000000001</v>
          </cell>
          <cell r="AB129">
            <v>0</v>
          </cell>
          <cell r="AD129">
            <v>976.36500000000001</v>
          </cell>
          <cell r="AF129">
            <v>16.248000000000001</v>
          </cell>
          <cell r="AH129">
            <v>0</v>
          </cell>
          <cell r="AJ129">
            <v>16.248000000000001</v>
          </cell>
          <cell r="AL129">
            <v>1854</v>
          </cell>
          <cell r="AN129">
            <v>0</v>
          </cell>
          <cell r="AP129">
            <v>1870.248</v>
          </cell>
          <cell r="AR129">
            <v>644.87900000000002</v>
          </cell>
          <cell r="AT129">
            <v>3532.8629999999998</v>
          </cell>
          <cell r="AV129">
            <v>0</v>
          </cell>
          <cell r="AX129">
            <v>3532.8629999999998</v>
          </cell>
          <cell r="AY129">
            <v>0</v>
          </cell>
          <cell r="AZ129" t="str">
            <v>Cash in banks</v>
          </cell>
          <cell r="BC129">
            <v>3.625</v>
          </cell>
          <cell r="BE129">
            <v>0</v>
          </cell>
          <cell r="BG129">
            <v>0</v>
          </cell>
          <cell r="BI129">
            <v>3.625</v>
          </cell>
          <cell r="BM129">
            <v>0</v>
          </cell>
          <cell r="BO129">
            <v>168.5</v>
          </cell>
          <cell r="BQ129">
            <v>712.1</v>
          </cell>
          <cell r="BS129">
            <v>0</v>
          </cell>
          <cell r="BU129">
            <v>712.1</v>
          </cell>
          <cell r="BW129">
            <v>413.5</v>
          </cell>
          <cell r="BX129">
            <v>413.5</v>
          </cell>
          <cell r="BZ129">
            <v>2521.4339999999997</v>
          </cell>
          <cell r="CB129">
            <v>0</v>
          </cell>
          <cell r="CD129">
            <v>4060.5339999999997</v>
          </cell>
          <cell r="CF129">
            <v>67.59</v>
          </cell>
          <cell r="CH129">
            <v>0</v>
          </cell>
          <cell r="CJ129">
            <v>67.59</v>
          </cell>
          <cell r="CL129">
            <v>7713</v>
          </cell>
          <cell r="CP129">
            <v>7780.59</v>
          </cell>
          <cell r="CR129">
            <v>2682.7019999999998</v>
          </cell>
          <cell r="CT129">
            <v>14695.951000000001</v>
          </cell>
          <cell r="CV129">
            <v>0</v>
          </cell>
          <cell r="CX129">
            <v>14695.951000000001</v>
          </cell>
          <cell r="FC129">
            <v>3.625</v>
          </cell>
          <cell r="FD129">
            <v>0</v>
          </cell>
          <cell r="FE129">
            <v>0</v>
          </cell>
          <cell r="FF129">
            <v>3.625</v>
          </cell>
          <cell r="FG129">
            <v>0</v>
          </cell>
          <cell r="FH129">
            <v>168.5</v>
          </cell>
          <cell r="FI129">
            <v>712.1</v>
          </cell>
          <cell r="FJ129">
            <v>413.5</v>
          </cell>
          <cell r="FK129">
            <v>413.5</v>
          </cell>
          <cell r="FL129">
            <v>2520.4339999999997</v>
          </cell>
          <cell r="FM129">
            <v>0</v>
          </cell>
          <cell r="FN129">
            <v>4059.5340000000001</v>
          </cell>
          <cell r="FO129">
            <v>67.59</v>
          </cell>
          <cell r="FP129">
            <v>7713</v>
          </cell>
          <cell r="FQ129">
            <v>0</v>
          </cell>
          <cell r="FR129">
            <v>7780.59</v>
          </cell>
          <cell r="FS129">
            <v>2682.7019999999998</v>
          </cell>
          <cell r="FT129">
            <v>14694.951000000001</v>
          </cell>
          <cell r="FU129">
            <v>0</v>
          </cell>
          <cell r="FV129">
            <v>14694.951000000001</v>
          </cell>
          <cell r="FW129" t="str">
            <v>Cash in banks</v>
          </cell>
          <cell r="FX129">
            <v>4059.5340000000001</v>
          </cell>
          <cell r="FY129">
            <v>7780.59</v>
          </cell>
          <cell r="FZ129">
            <v>0</v>
          </cell>
          <cell r="GA129">
            <v>11840.124</v>
          </cell>
          <cell r="GB129">
            <v>11998.894153457608</v>
          </cell>
          <cell r="GC129">
            <v>14694.951000000001</v>
          </cell>
          <cell r="GD129">
            <v>14892.002958689114</v>
          </cell>
          <cell r="GE129">
            <v>2854.8270000000011</v>
          </cell>
          <cell r="GF129">
            <v>4.1595020808902019</v>
          </cell>
          <cell r="GG129">
            <v>13118.834537389024</v>
          </cell>
          <cell r="GH129">
            <v>0</v>
          </cell>
          <cell r="HJ129" t="str">
            <v>{EDIT}{HOME}{R 1}{DELETE 1}~</v>
          </cell>
        </row>
        <row r="130">
          <cell r="FX130">
            <v>0</v>
          </cell>
          <cell r="FY130">
            <v>0</v>
          </cell>
          <cell r="GA130">
            <v>0</v>
          </cell>
          <cell r="GB130">
            <v>0</v>
          </cell>
          <cell r="GC130">
            <v>0</v>
          </cell>
          <cell r="GD130">
            <v>0</v>
          </cell>
          <cell r="GE130">
            <v>0</v>
          </cell>
        </row>
        <row r="131">
          <cell r="A131" t="str">
            <v>Total curr.ass.</v>
          </cell>
          <cell r="C131">
            <v>-13596.281999999999</v>
          </cell>
          <cell r="E131">
            <v>18208.349999999999</v>
          </cell>
          <cell r="G131">
            <v>-5030.1838852202718</v>
          </cell>
          <cell r="I131">
            <v>-418.11588522027131</v>
          </cell>
          <cell r="M131">
            <v>169.81310096153845</v>
          </cell>
          <cell r="O131">
            <v>6483</v>
          </cell>
          <cell r="Q131">
            <v>6436.74</v>
          </cell>
          <cell r="S131">
            <v>-15.269</v>
          </cell>
          <cell r="U131">
            <v>6421.4709999999995</v>
          </cell>
          <cell r="W131">
            <v>1091</v>
          </cell>
          <cell r="X131">
            <v>1127.5</v>
          </cell>
          <cell r="Z131">
            <v>678.98699999999997</v>
          </cell>
          <cell r="AB131">
            <v>0</v>
          </cell>
          <cell r="AD131">
            <v>9282.4580000000005</v>
          </cell>
          <cell r="AF131">
            <v>59.103000000000009</v>
          </cell>
          <cell r="AH131">
            <v>0</v>
          </cell>
          <cell r="AJ131">
            <v>59.103000000000009</v>
          </cell>
          <cell r="AL131">
            <v>2477.3249999999998</v>
          </cell>
          <cell r="AN131">
            <v>-26.103999999999999</v>
          </cell>
          <cell r="AP131">
            <v>2510.3240000000001</v>
          </cell>
          <cell r="AR131">
            <v>2470.6709999999998</v>
          </cell>
          <cell r="AT131">
            <v>20498.242215741266</v>
          </cell>
          <cell r="AV131">
            <v>-5952.0366923076926</v>
          </cell>
          <cell r="AX131">
            <v>14546.205523433573</v>
          </cell>
          <cell r="AY131">
            <v>0</v>
          </cell>
          <cell r="AZ131" t="str">
            <v>Total curr.ass.</v>
          </cell>
          <cell r="BC131">
            <v>-51360.433000000005</v>
          </cell>
          <cell r="BE131">
            <v>67408.320000000007</v>
          </cell>
          <cell r="BG131">
            <v>-18618.462406415285</v>
          </cell>
          <cell r="BI131">
            <v>-2570.5754064152843</v>
          </cell>
          <cell r="BM131">
            <v>715.19949999999994</v>
          </cell>
          <cell r="BO131">
            <v>27064</v>
          </cell>
          <cell r="BQ131">
            <v>26676.721999999994</v>
          </cell>
          <cell r="BS131">
            <v>0</v>
          </cell>
          <cell r="BU131">
            <v>26676.721999999994</v>
          </cell>
          <cell r="BW131">
            <v>4676.5</v>
          </cell>
          <cell r="BX131">
            <v>4676.5</v>
          </cell>
          <cell r="BZ131">
            <v>2824.5779999999995</v>
          </cell>
          <cell r="CB131">
            <v>0</v>
          </cell>
          <cell r="CD131">
            <v>38854.300000000003</v>
          </cell>
          <cell r="CF131">
            <v>245.869</v>
          </cell>
          <cell r="CH131">
            <v>0</v>
          </cell>
          <cell r="CJ131">
            <v>245.869</v>
          </cell>
          <cell r="CL131">
            <v>10470</v>
          </cell>
          <cell r="CN131">
            <v>-108.59399999999999</v>
          </cell>
          <cell r="CP131">
            <v>10607.275</v>
          </cell>
          <cell r="CR131">
            <v>10266.806999999999</v>
          </cell>
          <cell r="CT131">
            <v>84937.391093584709</v>
          </cell>
          <cell r="CV131">
            <v>-23376.774000000001</v>
          </cell>
          <cell r="CX131">
            <v>61560.617093584719</v>
          </cell>
          <cell r="FC131">
            <v>-51359.752999999997</v>
          </cell>
          <cell r="FD131">
            <v>67407.64</v>
          </cell>
          <cell r="FE131">
            <v>-17479.320406415285</v>
          </cell>
          <cell r="FF131">
            <v>-1431.4334064152836</v>
          </cell>
          <cell r="FG131">
            <v>715.19949999999994</v>
          </cell>
          <cell r="FH131">
            <v>26862</v>
          </cell>
          <cell r="FI131">
            <v>26691.092999999997</v>
          </cell>
          <cell r="FJ131">
            <v>4542</v>
          </cell>
          <cell r="FK131">
            <v>4542</v>
          </cell>
          <cell r="FL131">
            <v>2609.569</v>
          </cell>
          <cell r="FM131">
            <v>0</v>
          </cell>
          <cell r="FN131">
            <v>38384.661999999997</v>
          </cell>
          <cell r="FO131">
            <v>245.869</v>
          </cell>
          <cell r="FP131">
            <v>10341</v>
          </cell>
          <cell r="FQ131">
            <v>0</v>
          </cell>
          <cell r="FR131">
            <v>10586.869000000001</v>
          </cell>
          <cell r="FS131">
            <v>10279.286000000002</v>
          </cell>
          <cell r="FT131">
            <v>85396.583093584719</v>
          </cell>
          <cell r="FU131">
            <v>-24473.342400000001</v>
          </cell>
          <cell r="FV131">
            <v>60923.240693584718</v>
          </cell>
          <cell r="FW131" t="str">
            <v>Total curr.ass.</v>
          </cell>
          <cell r="FX131">
            <v>38384.661999999997</v>
          </cell>
          <cell r="FY131">
            <v>10586.869000000001</v>
          </cell>
          <cell r="FZ131">
            <v>0</v>
          </cell>
          <cell r="GA131">
            <v>48971.531000000003</v>
          </cell>
          <cell r="GB131">
            <v>49628.214789116049</v>
          </cell>
          <cell r="GC131">
            <v>60923.240693584718</v>
          </cell>
          <cell r="GD131">
            <v>61740.190944617134</v>
          </cell>
          <cell r="GE131">
            <v>11951.709693584715</v>
          </cell>
          <cell r="GF131">
            <v>4.1882565591032588</v>
          </cell>
          <cell r="GG131">
            <v>52644.971954138004</v>
          </cell>
          <cell r="GH131">
            <v>0</v>
          </cell>
        </row>
        <row r="132">
          <cell r="FX132">
            <v>0</v>
          </cell>
          <cell r="FY132">
            <v>0</v>
          </cell>
          <cell r="GA132">
            <v>0</v>
          </cell>
          <cell r="GB132">
            <v>0</v>
          </cell>
          <cell r="GC132">
            <v>0</v>
          </cell>
          <cell r="GD132">
            <v>0</v>
          </cell>
          <cell r="GE132">
            <v>0</v>
          </cell>
        </row>
        <row r="133">
          <cell r="A133" t="str">
            <v>DEFERRED EXP.</v>
          </cell>
          <cell r="AT133">
            <v>0</v>
          </cell>
          <cell r="AX133">
            <v>0</v>
          </cell>
          <cell r="AY133">
            <v>0</v>
          </cell>
          <cell r="AZ133" t="str">
            <v>DEF0ED EXP.</v>
          </cell>
          <cell r="BX133">
            <v>0</v>
          </cell>
          <cell r="CD133">
            <v>0</v>
          </cell>
          <cell r="CT133">
            <v>0</v>
          </cell>
          <cell r="FG133">
            <v>0</v>
          </cell>
          <cell r="FW133" t="str">
            <v>DEFERRED EXP.</v>
          </cell>
          <cell r="FX133">
            <v>0</v>
          </cell>
          <cell r="FY133">
            <v>0</v>
          </cell>
          <cell r="GA133">
            <v>0</v>
          </cell>
          <cell r="GB133">
            <v>0</v>
          </cell>
          <cell r="GC133">
            <v>0</v>
          </cell>
          <cell r="GD133">
            <v>0</v>
          </cell>
          <cell r="GE133">
            <v>0</v>
          </cell>
          <cell r="GF133" t="e">
            <v>#DIV/0!</v>
          </cell>
          <cell r="GH133">
            <v>0</v>
          </cell>
          <cell r="HJ133" t="str">
            <v>{EDIT}{home}+"-"&amp;@string({end},0)&amp;" באור"~{d}</v>
          </cell>
        </row>
        <row r="134">
          <cell r="A134" t="str">
            <v>franchises</v>
          </cell>
          <cell r="C134">
            <v>36.124000000000002</v>
          </cell>
          <cell r="I134">
            <v>36.124000000000002</v>
          </cell>
          <cell r="Q134">
            <v>245.75</v>
          </cell>
          <cell r="U134">
            <v>245.75</v>
          </cell>
          <cell r="Z134">
            <v>320.80099999999999</v>
          </cell>
          <cell r="AD134">
            <v>566.55099999999993</v>
          </cell>
          <cell r="AJ134">
            <v>0</v>
          </cell>
          <cell r="AL134">
            <v>33</v>
          </cell>
          <cell r="AP134">
            <v>33</v>
          </cell>
          <cell r="AT134">
            <v>635.67499999999995</v>
          </cell>
          <cell r="AX134">
            <v>635.67499999999995</v>
          </cell>
          <cell r="AY134">
            <v>0</v>
          </cell>
          <cell r="AZ134" t="str">
            <v>franchises</v>
          </cell>
          <cell r="BA134" t="str">
            <v>-franchises</v>
          </cell>
          <cell r="BC134">
            <v>58.728999999999999</v>
          </cell>
          <cell r="BI134">
            <v>58.728999999999999</v>
          </cell>
          <cell r="BQ134">
            <v>460.12</v>
          </cell>
          <cell r="BU134">
            <v>460.12</v>
          </cell>
          <cell r="BX134">
            <v>0</v>
          </cell>
          <cell r="BZ134">
            <v>1000</v>
          </cell>
          <cell r="CD134">
            <v>1460.12</v>
          </cell>
          <cell r="CJ134">
            <v>0</v>
          </cell>
          <cell r="CL134">
            <v>78</v>
          </cell>
          <cell r="CP134">
            <v>78</v>
          </cell>
          <cell r="CT134">
            <v>1596.8489999999999</v>
          </cell>
          <cell r="CX134">
            <v>1596.8489999999999</v>
          </cell>
          <cell r="FC134">
            <v>157.72999999999999</v>
          </cell>
          <cell r="FF134">
            <v>157.72999999999999</v>
          </cell>
          <cell r="FI134">
            <v>1296.7190000000001</v>
          </cell>
          <cell r="FL134">
            <v>1227</v>
          </cell>
          <cell r="FN134">
            <v>2523.7190000000001</v>
          </cell>
          <cell r="FO134">
            <v>0</v>
          </cell>
          <cell r="FP134">
            <v>178.13977792292621</v>
          </cell>
          <cell r="FR134">
            <v>178.13977792292621</v>
          </cell>
          <cell r="FS134">
            <v>0</v>
          </cell>
          <cell r="FT134">
            <v>2859.5887779229261</v>
          </cell>
          <cell r="FV134">
            <v>2859.5887779229261</v>
          </cell>
          <cell r="FW134" t="str">
            <v>franchises</v>
          </cell>
          <cell r="FX134">
            <v>2523.7190000000001</v>
          </cell>
          <cell r="FY134">
            <v>178.13977792292621</v>
          </cell>
          <cell r="GA134">
            <v>2701.8587779229265</v>
          </cell>
          <cell r="GB134">
            <v>2738.0893556425181</v>
          </cell>
          <cell r="GC134">
            <v>2859.5887779229261</v>
          </cell>
          <cell r="GD134">
            <v>2897.934436219788</v>
          </cell>
          <cell r="GE134">
            <v>157.72999999999999</v>
          </cell>
          <cell r="GF134">
            <v>4.4985075359624433</v>
          </cell>
          <cell r="GG134">
            <v>2861.3104408883087</v>
          </cell>
          <cell r="GH134">
            <v>0</v>
          </cell>
        </row>
        <row r="135">
          <cell r="A135" t="str">
            <v>Goodwill-(GC. &amp; G.Lines)</v>
          </cell>
          <cell r="C135">
            <v>290.52199999999999</v>
          </cell>
          <cell r="I135">
            <v>290.52199999999999</v>
          </cell>
          <cell r="U135">
            <v>0</v>
          </cell>
          <cell r="AD135">
            <v>0</v>
          </cell>
          <cell r="AJ135">
            <v>0</v>
          </cell>
          <cell r="AP135">
            <v>0</v>
          </cell>
          <cell r="AT135">
            <v>290.52199999999999</v>
          </cell>
          <cell r="AV135">
            <v>82510.197</v>
          </cell>
          <cell r="AX135">
            <v>82800.718999999997</v>
          </cell>
          <cell r="AY135">
            <v>0</v>
          </cell>
          <cell r="AZ135" t="str">
            <v>Goodwill-(GC. &amp; G.Lines)</v>
          </cell>
          <cell r="BC135">
            <v>621.57799999999997</v>
          </cell>
          <cell r="BG135">
            <v>0</v>
          </cell>
          <cell r="BI135">
            <v>621.57799999999997</v>
          </cell>
          <cell r="BU135">
            <v>0</v>
          </cell>
          <cell r="BX135">
            <v>0</v>
          </cell>
          <cell r="CD135">
            <v>0</v>
          </cell>
          <cell r="CJ135">
            <v>0</v>
          </cell>
          <cell r="CP135">
            <v>0</v>
          </cell>
          <cell r="CT135">
            <v>621.57799999999997</v>
          </cell>
          <cell r="CV135">
            <v>356411.43</v>
          </cell>
          <cell r="CX135">
            <v>357033.00800000003</v>
          </cell>
          <cell r="FC135">
            <v>1651.78</v>
          </cell>
          <cell r="FF135">
            <v>1651.78</v>
          </cell>
          <cell r="FN135">
            <v>0</v>
          </cell>
          <cell r="FO135">
            <v>0</v>
          </cell>
          <cell r="FR135">
            <v>0</v>
          </cell>
          <cell r="FS135">
            <v>0</v>
          </cell>
          <cell r="FT135">
            <v>1651.78</v>
          </cell>
          <cell r="FU135">
            <v>333205.70900000003</v>
          </cell>
          <cell r="FV135">
            <v>334857.48900000006</v>
          </cell>
          <cell r="FW135" t="str">
            <v>Goodwill-(GC. &amp; G.Lines)</v>
          </cell>
          <cell r="FX135">
            <v>0</v>
          </cell>
          <cell r="FY135">
            <v>0</v>
          </cell>
          <cell r="FZ135">
            <v>328977.70900000003</v>
          </cell>
          <cell r="GA135">
            <v>328977.70900000003</v>
          </cell>
          <cell r="GB135">
            <v>333389.13588556828</v>
          </cell>
          <cell r="GC135">
            <v>334857.48900000006</v>
          </cell>
          <cell r="GD135">
            <v>339347.76080078178</v>
          </cell>
          <cell r="GE135">
            <v>5879.7800000000279</v>
          </cell>
          <cell r="GF135">
            <v>4.0441374548933577</v>
          </cell>
          <cell r="GG135">
            <v>1651.0516002612674</v>
          </cell>
          <cell r="GH135">
            <v>0</v>
          </cell>
        </row>
        <row r="136">
          <cell r="A136" t="str">
            <v>leashold impr.</v>
          </cell>
          <cell r="I136" t="str">
            <v xml:space="preserve"> </v>
          </cell>
          <cell r="O136">
            <v>154.5</v>
          </cell>
          <cell r="Q136">
            <v>3124.7869999999998</v>
          </cell>
          <cell r="U136">
            <v>3124.7869999999998</v>
          </cell>
          <cell r="W136">
            <v>91.5</v>
          </cell>
          <cell r="X136">
            <v>91.5</v>
          </cell>
          <cell r="AD136">
            <v>3307.7869999999998</v>
          </cell>
          <cell r="AJ136">
            <v>0</v>
          </cell>
          <cell r="AL136">
            <v>70</v>
          </cell>
          <cell r="AP136">
            <v>70</v>
          </cell>
          <cell r="AT136">
            <v>3532.2869999999998</v>
          </cell>
          <cell r="AX136">
            <v>3532.2869999999998</v>
          </cell>
          <cell r="AY136">
            <v>0</v>
          </cell>
          <cell r="AZ136" t="str">
            <v>leashold impr.</v>
          </cell>
          <cell r="BI136">
            <v>0</v>
          </cell>
          <cell r="BO136">
            <v>654</v>
          </cell>
          <cell r="BQ136">
            <v>10061.714</v>
          </cell>
          <cell r="BU136">
            <v>10061.714</v>
          </cell>
          <cell r="BX136">
            <v>0</v>
          </cell>
          <cell r="CD136">
            <v>10061.714</v>
          </cell>
          <cell r="CJ136">
            <v>0</v>
          </cell>
          <cell r="CL136">
            <v>213</v>
          </cell>
          <cell r="CP136">
            <v>213</v>
          </cell>
          <cell r="CT136">
            <v>10928.714</v>
          </cell>
          <cell r="CX136">
            <v>10928.714</v>
          </cell>
          <cell r="FH136">
            <v>625.5</v>
          </cell>
          <cell r="FI136">
            <v>13280.342000000001</v>
          </cell>
          <cell r="FJ136">
            <v>417</v>
          </cell>
          <cell r="FK136">
            <v>417</v>
          </cell>
          <cell r="FN136">
            <v>14114.342000000001</v>
          </cell>
          <cell r="FO136">
            <v>0</v>
          </cell>
          <cell r="FR136">
            <v>0</v>
          </cell>
          <cell r="FS136">
            <v>0</v>
          </cell>
          <cell r="FT136">
            <v>14739.842000000001</v>
          </cell>
          <cell r="FV136">
            <v>14739.842000000001</v>
          </cell>
          <cell r="FW136" t="str">
            <v>leashold impr.</v>
          </cell>
          <cell r="FX136">
            <v>14114.342000000001</v>
          </cell>
          <cell r="FY136">
            <v>0</v>
          </cell>
          <cell r="GA136">
            <v>14114.342000000001</v>
          </cell>
          <cell r="GB136">
            <v>14303.608281779916</v>
          </cell>
          <cell r="GC136">
            <v>14739.842000000001</v>
          </cell>
          <cell r="GD136">
            <v>14937.495924594108</v>
          </cell>
          <cell r="GE136">
            <v>625.5</v>
          </cell>
          <cell r="GF136">
            <v>4.1728891225429878</v>
          </cell>
          <cell r="GG136">
            <v>7570.1400189418691</v>
          </cell>
          <cell r="GH136">
            <v>0</v>
          </cell>
        </row>
        <row r="137">
          <cell r="A137" t="str">
            <v>fraction:l.o.+s.p.</v>
          </cell>
          <cell r="I137">
            <v>0</v>
          </cell>
          <cell r="Q137">
            <v>588</v>
          </cell>
          <cell r="U137">
            <v>588</v>
          </cell>
          <cell r="AD137">
            <v>588</v>
          </cell>
          <cell r="AJ137">
            <v>0</v>
          </cell>
          <cell r="AP137">
            <v>0</v>
          </cell>
          <cell r="AT137">
            <v>588</v>
          </cell>
          <cell r="AX137">
            <v>588</v>
          </cell>
          <cell r="AY137">
            <v>0</v>
          </cell>
          <cell r="AZ137" t="str">
            <v>fraction:l.o.+s.p.</v>
          </cell>
          <cell r="BI137">
            <v>0</v>
          </cell>
          <cell r="BQ137">
            <v>1430.056</v>
          </cell>
          <cell r="BU137">
            <v>1430.056</v>
          </cell>
          <cell r="BX137">
            <v>0</v>
          </cell>
          <cell r="CD137">
            <v>1430.056</v>
          </cell>
          <cell r="CJ137">
            <v>0</v>
          </cell>
          <cell r="CP137">
            <v>0</v>
          </cell>
          <cell r="CT137">
            <v>1430.056</v>
          </cell>
          <cell r="CX137">
            <v>1430.056</v>
          </cell>
          <cell r="FI137">
            <v>3220.1909999999998</v>
          </cell>
          <cell r="FN137">
            <v>3220.1909999999998</v>
          </cell>
          <cell r="FO137">
            <v>0</v>
          </cell>
          <cell r="FP137">
            <v>1094.9595035924233</v>
          </cell>
          <cell r="FR137">
            <v>1094.9595035924233</v>
          </cell>
          <cell r="FS137">
            <v>0</v>
          </cell>
          <cell r="FT137">
            <v>4315.1505035924229</v>
          </cell>
          <cell r="FV137">
            <v>4315.1505035924229</v>
          </cell>
          <cell r="FW137" t="str">
            <v>fraction:l.o.+s.p.</v>
          </cell>
          <cell r="FX137">
            <v>3220.1909999999998</v>
          </cell>
          <cell r="FY137">
            <v>1094.9595035924233</v>
          </cell>
          <cell r="GA137">
            <v>4315.1505035924229</v>
          </cell>
          <cell r="GB137">
            <v>4373.014518162543</v>
          </cell>
          <cell r="GC137">
            <v>4315.1505035924229</v>
          </cell>
          <cell r="GD137">
            <v>4373.014518162543</v>
          </cell>
          <cell r="GE137">
            <v>0</v>
          </cell>
          <cell r="GF137">
            <v>7.3386913326401748</v>
          </cell>
          <cell r="GG137">
            <v>3220.1936616590469</v>
          </cell>
          <cell r="GH137">
            <v>0</v>
          </cell>
        </row>
        <row r="138">
          <cell r="A138" t="str">
            <v>Bezek</v>
          </cell>
          <cell r="I138">
            <v>0</v>
          </cell>
          <cell r="Q138">
            <v>3624.7669999999998</v>
          </cell>
          <cell r="U138">
            <v>3624.7669999999998</v>
          </cell>
          <cell r="AD138">
            <v>3624.7669999999998</v>
          </cell>
          <cell r="AJ138">
            <v>0</v>
          </cell>
          <cell r="AP138">
            <v>0</v>
          </cell>
          <cell r="AT138">
            <v>3624.7669999999998</v>
          </cell>
          <cell r="AX138">
            <v>3624.7669999999998</v>
          </cell>
          <cell r="AY138">
            <v>0</v>
          </cell>
          <cell r="AZ138" t="str">
            <v>Bezek</v>
          </cell>
          <cell r="BI138">
            <v>0</v>
          </cell>
          <cell r="BQ138">
            <v>12122.939</v>
          </cell>
          <cell r="BU138">
            <v>12122.939</v>
          </cell>
          <cell r="BX138">
            <v>0</v>
          </cell>
          <cell r="CD138">
            <v>12122.939</v>
          </cell>
          <cell r="CJ138">
            <v>0</v>
          </cell>
          <cell r="CP138">
            <v>0</v>
          </cell>
          <cell r="CT138">
            <v>12122.939</v>
          </cell>
          <cell r="CX138">
            <v>12122.939</v>
          </cell>
          <cell r="FI138">
            <v>14130.727999999999</v>
          </cell>
          <cell r="FN138">
            <v>14130.727999999999</v>
          </cell>
          <cell r="FO138">
            <v>0</v>
          </cell>
          <cell r="FR138">
            <v>0</v>
          </cell>
          <cell r="FS138">
            <v>0</v>
          </cell>
          <cell r="FT138">
            <v>14130.727999999999</v>
          </cell>
          <cell r="FV138">
            <v>14130.727999999999</v>
          </cell>
          <cell r="FW138" t="str">
            <v>Bezek</v>
          </cell>
          <cell r="FX138">
            <v>14130.727999999999</v>
          </cell>
          <cell r="FY138">
            <v>0</v>
          </cell>
          <cell r="GA138">
            <v>14130.727999999999</v>
          </cell>
          <cell r="GB138">
            <v>14320.214009861695</v>
          </cell>
          <cell r="GC138">
            <v>14130.727999999999</v>
          </cell>
          <cell r="GD138">
            <v>14320.214009861695</v>
          </cell>
          <cell r="GE138">
            <v>0</v>
          </cell>
          <cell r="GF138">
            <v>3.8983824339605828</v>
          </cell>
          <cell r="GG138">
            <v>11455.795459177009</v>
          </cell>
          <cell r="GH138">
            <v>0</v>
          </cell>
        </row>
        <row r="139">
          <cell r="A139" t="str">
            <v>software/other</v>
          </cell>
          <cell r="I139">
            <v>0</v>
          </cell>
          <cell r="Q139">
            <v>2032.921</v>
          </cell>
          <cell r="U139">
            <v>2032.921</v>
          </cell>
          <cell r="W139">
            <v>623</v>
          </cell>
          <cell r="X139">
            <v>623</v>
          </cell>
          <cell r="AD139">
            <v>3278.9210000000003</v>
          </cell>
          <cell r="AJ139">
            <v>0</v>
          </cell>
          <cell r="AL139">
            <v>181</v>
          </cell>
          <cell r="AN139">
            <v>0</v>
          </cell>
          <cell r="AP139">
            <v>181</v>
          </cell>
          <cell r="AR139">
            <v>0</v>
          </cell>
          <cell r="AT139">
            <v>3459.9210000000003</v>
          </cell>
          <cell r="AX139">
            <v>3459.9210000000003</v>
          </cell>
          <cell r="AY139">
            <v>0</v>
          </cell>
          <cell r="AZ139" t="str">
            <v>software/other</v>
          </cell>
          <cell r="BC139">
            <v>0</v>
          </cell>
          <cell r="BE139">
            <v>0</v>
          </cell>
          <cell r="BG139">
            <v>0</v>
          </cell>
          <cell r="BI139">
            <v>0</v>
          </cell>
          <cell r="BQ139">
            <v>6112.6610000000001</v>
          </cell>
          <cell r="BU139">
            <v>6112.6610000000001</v>
          </cell>
          <cell r="BW139">
            <v>2385.5</v>
          </cell>
          <cell r="BX139">
            <v>2385.5</v>
          </cell>
          <cell r="CD139">
            <v>10883.661</v>
          </cell>
          <cell r="CH139">
            <v>0</v>
          </cell>
          <cell r="CJ139">
            <v>0</v>
          </cell>
          <cell r="CL139">
            <v>424</v>
          </cell>
          <cell r="CN139">
            <v>0</v>
          </cell>
          <cell r="CP139">
            <v>424</v>
          </cell>
          <cell r="CR139">
            <v>0</v>
          </cell>
          <cell r="CT139">
            <v>11307.661</v>
          </cell>
          <cell r="CV139">
            <v>0</v>
          </cell>
          <cell r="CX139">
            <v>11307.661</v>
          </cell>
          <cell r="FI139">
            <v>8419.5370000000003</v>
          </cell>
          <cell r="FJ139">
            <v>2927.5</v>
          </cell>
          <cell r="FK139">
            <v>2927.5</v>
          </cell>
          <cell r="FN139">
            <v>14274.537</v>
          </cell>
          <cell r="FO139">
            <v>0</v>
          </cell>
          <cell r="FQ139">
            <v>0</v>
          </cell>
          <cell r="FR139">
            <v>0</v>
          </cell>
          <cell r="FS139">
            <v>0</v>
          </cell>
          <cell r="FT139">
            <v>14274.537</v>
          </cell>
          <cell r="FU139">
            <v>0</v>
          </cell>
          <cell r="FV139">
            <v>14274.537</v>
          </cell>
          <cell r="FW139" t="str">
            <v>software/other</v>
          </cell>
          <cell r="FX139">
            <v>14274.537</v>
          </cell>
          <cell r="FY139">
            <v>0</v>
          </cell>
          <cell r="GA139">
            <v>14274.537</v>
          </cell>
          <cell r="GB139">
            <v>14465.95141677691</v>
          </cell>
          <cell r="GC139">
            <v>14274.537</v>
          </cell>
          <cell r="GD139">
            <v>14465.95141677691</v>
          </cell>
          <cell r="GE139">
            <v>0</v>
          </cell>
          <cell r="GF139">
            <v>4.125682927442563</v>
          </cell>
          <cell r="GG139">
            <v>8800.8968824297863</v>
          </cell>
          <cell r="GH139">
            <v>0</v>
          </cell>
        </row>
        <row r="140">
          <cell r="A140" t="str">
            <v>total cost</v>
          </cell>
          <cell r="C140">
            <v>326.64600000000002</v>
          </cell>
          <cell r="E140">
            <v>0</v>
          </cell>
          <cell r="G140">
            <v>0</v>
          </cell>
          <cell r="I140">
            <v>326.64600000000002</v>
          </cell>
          <cell r="O140">
            <v>154.5</v>
          </cell>
          <cell r="Q140">
            <v>9616.2250000000004</v>
          </cell>
          <cell r="S140">
            <v>0</v>
          </cell>
          <cell r="U140">
            <v>9616.2250000000004</v>
          </cell>
          <cell r="W140">
            <v>714.5</v>
          </cell>
          <cell r="X140">
            <v>714.5</v>
          </cell>
          <cell r="Z140">
            <v>320.80099999999999</v>
          </cell>
          <cell r="AB140">
            <v>0</v>
          </cell>
          <cell r="AD140">
            <v>11366.026</v>
          </cell>
          <cell r="AF140">
            <v>0</v>
          </cell>
          <cell r="AH140">
            <v>0</v>
          </cell>
          <cell r="AJ140">
            <v>0</v>
          </cell>
          <cell r="AL140">
            <v>284</v>
          </cell>
          <cell r="AN140">
            <v>0</v>
          </cell>
          <cell r="AP140">
            <v>284</v>
          </cell>
          <cell r="AR140">
            <v>0</v>
          </cell>
          <cell r="AT140">
            <v>12131.172</v>
          </cell>
          <cell r="AV140">
            <v>82510.197</v>
          </cell>
          <cell r="AX140">
            <v>94641.369000000006</v>
          </cell>
          <cell r="AY140">
            <v>0</v>
          </cell>
          <cell r="AZ140" t="str">
            <v>total cost</v>
          </cell>
          <cell r="BC140">
            <v>680.30700000000002</v>
          </cell>
          <cell r="BE140">
            <v>0</v>
          </cell>
          <cell r="BG140">
            <v>0</v>
          </cell>
          <cell r="BI140">
            <v>680.30700000000002</v>
          </cell>
          <cell r="BO140">
            <v>654</v>
          </cell>
          <cell r="BQ140">
            <v>30187.49</v>
          </cell>
          <cell r="BS140">
            <v>0</v>
          </cell>
          <cell r="BU140">
            <v>30187.49</v>
          </cell>
          <cell r="BW140">
            <v>2385.5</v>
          </cell>
          <cell r="BX140">
            <v>2385.5</v>
          </cell>
          <cell r="BZ140">
            <v>1000</v>
          </cell>
          <cell r="CB140">
            <v>0</v>
          </cell>
          <cell r="CD140">
            <v>35958.49</v>
          </cell>
          <cell r="CF140">
            <v>0</v>
          </cell>
          <cell r="CH140">
            <v>0</v>
          </cell>
          <cell r="CJ140">
            <v>0</v>
          </cell>
          <cell r="CL140">
            <v>715</v>
          </cell>
          <cell r="CN140">
            <v>0</v>
          </cell>
          <cell r="CP140">
            <v>715</v>
          </cell>
          <cell r="CR140">
            <v>0</v>
          </cell>
          <cell r="CT140">
            <v>38007.796999999999</v>
          </cell>
          <cell r="CV140">
            <v>356411.43</v>
          </cell>
          <cell r="CX140">
            <v>394419.22700000001</v>
          </cell>
          <cell r="FC140">
            <v>1809.51</v>
          </cell>
          <cell r="FD140">
            <v>0</v>
          </cell>
          <cell r="FE140">
            <v>0</v>
          </cell>
          <cell r="FF140">
            <v>1809.51</v>
          </cell>
          <cell r="FG140">
            <v>0</v>
          </cell>
          <cell r="FH140">
            <v>625.5</v>
          </cell>
          <cell r="FI140">
            <v>40347.517</v>
          </cell>
          <cell r="FJ140">
            <v>3344.5</v>
          </cell>
          <cell r="FK140">
            <v>3344.5</v>
          </cell>
          <cell r="FL140">
            <v>1227</v>
          </cell>
          <cell r="FM140">
            <v>0</v>
          </cell>
          <cell r="FN140">
            <v>48263.516999999993</v>
          </cell>
          <cell r="FO140">
            <v>0</v>
          </cell>
          <cell r="FP140">
            <v>1273.0992815153495</v>
          </cell>
          <cell r="FQ140">
            <v>0</v>
          </cell>
          <cell r="FR140">
            <v>1273.0992815153495</v>
          </cell>
          <cell r="FS140">
            <v>0</v>
          </cell>
          <cell r="FT140">
            <v>51971.626281515346</v>
          </cell>
          <cell r="FU140">
            <v>333205.70900000003</v>
          </cell>
          <cell r="FV140">
            <v>385177.33528151544</v>
          </cell>
          <cell r="FW140" t="str">
            <v>total cost</v>
          </cell>
          <cell r="FX140">
            <v>48263.516999999993</v>
          </cell>
          <cell r="FY140">
            <v>1273.0992815153495</v>
          </cell>
          <cell r="FZ140">
            <v>328977.70900000003</v>
          </cell>
          <cell r="GA140">
            <v>378514.32528151543</v>
          </cell>
          <cell r="GB140">
            <v>383590.01346779184</v>
          </cell>
          <cell r="GC140">
            <v>385177.33528151544</v>
          </cell>
          <cell r="GD140">
            <v>390342.37110639684</v>
          </cell>
          <cell r="GE140">
            <v>6663.0100000000275</v>
          </cell>
          <cell r="GF140">
            <v>4.069862253170867</v>
          </cell>
          <cell r="GG140">
            <v>35559.388063357284</v>
          </cell>
          <cell r="GH140">
            <v>0</v>
          </cell>
        </row>
        <row r="141">
          <cell r="FX141">
            <v>0</v>
          </cell>
          <cell r="FY141">
            <v>0</v>
          </cell>
          <cell r="GA141">
            <v>0</v>
          </cell>
          <cell r="GB141">
            <v>0</v>
          </cell>
          <cell r="GC141">
            <v>0</v>
          </cell>
          <cell r="GD141">
            <v>0</v>
          </cell>
          <cell r="GE141">
            <v>0</v>
          </cell>
        </row>
        <row r="142">
          <cell r="A142" t="str">
            <v>amort.O.B.</v>
          </cell>
          <cell r="I142">
            <v>0</v>
          </cell>
          <cell r="Q142" t="str">
            <v xml:space="preserve"> </v>
          </cell>
          <cell r="U142">
            <v>0</v>
          </cell>
          <cell r="AD142">
            <v>0</v>
          </cell>
          <cell r="AJ142">
            <v>0</v>
          </cell>
          <cell r="AP142">
            <v>0</v>
          </cell>
          <cell r="AT142">
            <v>0</v>
          </cell>
          <cell r="AX142">
            <v>0</v>
          </cell>
          <cell r="AY142">
            <v>0</v>
          </cell>
          <cell r="AZ142" t="str">
            <v>amort.O.B.</v>
          </cell>
          <cell r="BE142">
            <v>0</v>
          </cell>
          <cell r="BI142">
            <v>0</v>
          </cell>
          <cell r="BU142">
            <v>0</v>
          </cell>
          <cell r="BX142">
            <v>0</v>
          </cell>
          <cell r="CD142">
            <v>0</v>
          </cell>
          <cell r="CJ142">
            <v>0</v>
          </cell>
          <cell r="CP142">
            <v>0</v>
          </cell>
          <cell r="CT142">
            <v>0</v>
          </cell>
          <cell r="CX142">
            <v>0</v>
          </cell>
          <cell r="FN142">
            <v>0</v>
          </cell>
          <cell r="FO142">
            <v>0</v>
          </cell>
          <cell r="FR142">
            <v>0</v>
          </cell>
          <cell r="FS142">
            <v>0</v>
          </cell>
          <cell r="FT142">
            <v>0</v>
          </cell>
          <cell r="FV142">
            <v>0</v>
          </cell>
          <cell r="FW142" t="str">
            <v>amort.O.B.</v>
          </cell>
          <cell r="FX142">
            <v>0</v>
          </cell>
          <cell r="FY142">
            <v>0</v>
          </cell>
          <cell r="GA142">
            <v>0</v>
          </cell>
          <cell r="GB142">
            <v>0</v>
          </cell>
          <cell r="GC142">
            <v>0</v>
          </cell>
          <cell r="GD142">
            <v>0</v>
          </cell>
          <cell r="GE142">
            <v>0</v>
          </cell>
          <cell r="GF142" t="e">
            <v>#DIV/0!</v>
          </cell>
          <cell r="GG142">
            <v>-4.8237776354059714E-16</v>
          </cell>
          <cell r="GH142">
            <v>0</v>
          </cell>
        </row>
        <row r="143">
          <cell r="A143" t="str">
            <v>amortiz.(GOODWIL)</v>
          </cell>
          <cell r="C143">
            <v>-261.46820000000002</v>
          </cell>
          <cell r="G143">
            <v>0</v>
          </cell>
          <cell r="I143">
            <v>-261.46820000000002</v>
          </cell>
          <cell r="AD143">
            <v>0</v>
          </cell>
          <cell r="AP143">
            <v>0</v>
          </cell>
          <cell r="AT143">
            <v>-261.46820000000002</v>
          </cell>
          <cell r="AX143">
            <v>-261.46820000000002</v>
          </cell>
          <cell r="AY143">
            <v>0</v>
          </cell>
          <cell r="AZ143" t="str">
            <v>amortiz.(GOODWIL)</v>
          </cell>
          <cell r="BC143">
            <v>-559.42160000000001</v>
          </cell>
          <cell r="BG143">
            <v>0</v>
          </cell>
          <cell r="BI143">
            <v>-559.42160000000001</v>
          </cell>
          <cell r="BU143">
            <v>0</v>
          </cell>
          <cell r="BX143">
            <v>0</v>
          </cell>
          <cell r="CD143">
            <v>0</v>
          </cell>
          <cell r="CP143">
            <v>0</v>
          </cell>
          <cell r="CT143">
            <v>-559.42160000000001</v>
          </cell>
          <cell r="CX143">
            <v>-559.42160000000001</v>
          </cell>
          <cell r="FC143">
            <v>-1486.607</v>
          </cell>
          <cell r="FE143">
            <v>0</v>
          </cell>
          <cell r="FF143">
            <v>-1486.607</v>
          </cell>
          <cell r="FG143">
            <v>0</v>
          </cell>
          <cell r="FN143">
            <v>0</v>
          </cell>
          <cell r="FR143">
            <v>0</v>
          </cell>
          <cell r="FS143">
            <v>0</v>
          </cell>
          <cell r="FT143">
            <v>-1486.607</v>
          </cell>
          <cell r="FV143">
            <v>-1486.607</v>
          </cell>
          <cell r="FW143" t="str">
            <v>amortiz.(GOODWIL)</v>
          </cell>
          <cell r="FX143">
            <v>0</v>
          </cell>
          <cell r="FY143">
            <v>0</v>
          </cell>
          <cell r="GA143">
            <v>0</v>
          </cell>
          <cell r="GB143">
            <v>0</v>
          </cell>
          <cell r="GC143">
            <v>-1486.607</v>
          </cell>
          <cell r="GD143">
            <v>-1506.5416579073963</v>
          </cell>
          <cell r="GE143">
            <v>-1486.607</v>
          </cell>
          <cell r="GF143">
            <v>5.685613011448428</v>
          </cell>
          <cell r="GG143">
            <v>-1321.9274983670805</v>
          </cell>
          <cell r="GH143">
            <v>0</v>
          </cell>
        </row>
        <row r="144">
          <cell r="A144" t="str">
            <v>amortiz.</v>
          </cell>
          <cell r="C144">
            <v>-28.111999999999995</v>
          </cell>
          <cell r="E144">
            <v>0</v>
          </cell>
          <cell r="G144">
            <v>0</v>
          </cell>
          <cell r="I144">
            <v>-28.111999999999995</v>
          </cell>
          <cell r="Q144">
            <v>-3767.7370000000001</v>
          </cell>
          <cell r="U144">
            <v>-3767.7370000000001</v>
          </cell>
          <cell r="W144">
            <v>-554</v>
          </cell>
          <cell r="X144">
            <v>-554</v>
          </cell>
          <cell r="Z144">
            <v>-139</v>
          </cell>
          <cell r="AD144">
            <v>-5014.7370000000001</v>
          </cell>
          <cell r="AH144">
            <v>0</v>
          </cell>
          <cell r="AJ144">
            <v>0</v>
          </cell>
          <cell r="AL144">
            <v>-159</v>
          </cell>
          <cell r="AN144">
            <v>0</v>
          </cell>
          <cell r="AP144">
            <v>-159</v>
          </cell>
          <cell r="AR144">
            <v>0</v>
          </cell>
          <cell r="AT144">
            <v>-5201.8490000000002</v>
          </cell>
          <cell r="AV144">
            <v>0</v>
          </cell>
          <cell r="AX144">
            <v>-5201.8490000000002</v>
          </cell>
          <cell r="AY144">
            <v>0</v>
          </cell>
          <cell r="AZ144" t="str">
            <v>amortiz.</v>
          </cell>
          <cell r="BC144">
            <v>-45.679000000000002</v>
          </cell>
          <cell r="BE144">
            <v>0</v>
          </cell>
          <cell r="BG144">
            <v>0</v>
          </cell>
          <cell r="BI144">
            <v>-45.679000000000002</v>
          </cell>
          <cell r="BO144">
            <v>-50</v>
          </cell>
          <cell r="BQ144">
            <v>-10182.071</v>
          </cell>
          <cell r="BU144">
            <v>-10182.071</v>
          </cell>
          <cell r="BW144">
            <v>-2052.5</v>
          </cell>
          <cell r="BX144">
            <v>-2052.5</v>
          </cell>
          <cell r="BZ144">
            <v>-432</v>
          </cell>
          <cell r="CD144">
            <v>-14719.071</v>
          </cell>
          <cell r="CH144">
            <v>0</v>
          </cell>
          <cell r="CJ144">
            <v>0</v>
          </cell>
          <cell r="CL144">
            <v>-390</v>
          </cell>
          <cell r="CN144">
            <v>0</v>
          </cell>
          <cell r="CP144">
            <v>-390</v>
          </cell>
          <cell r="CR144">
            <v>0</v>
          </cell>
          <cell r="CT144">
            <v>-15204.75</v>
          </cell>
          <cell r="CV144">
            <v>0</v>
          </cell>
          <cell r="CX144">
            <v>-15204.75</v>
          </cell>
          <cell r="FC144">
            <v>-125.31</v>
          </cell>
          <cell r="FE144">
            <v>0</v>
          </cell>
          <cell r="FF144">
            <v>-125.31</v>
          </cell>
          <cell r="FI144">
            <v>-17038.097000000002</v>
          </cell>
          <cell r="FJ144">
            <v>-2608.5</v>
          </cell>
          <cell r="FK144">
            <v>-2608.5</v>
          </cell>
          <cell r="FL144">
            <v>-531</v>
          </cell>
          <cell r="FN144">
            <v>-22786.097000000002</v>
          </cell>
          <cell r="FO144">
            <v>0</v>
          </cell>
          <cell r="FP144">
            <v>-720.74787720444169</v>
          </cell>
          <cell r="FQ144">
            <v>0</v>
          </cell>
          <cell r="FR144">
            <v>-720.74787720444169</v>
          </cell>
          <cell r="FS144">
            <v>0</v>
          </cell>
          <cell r="FT144">
            <v>-23632.154877204444</v>
          </cell>
          <cell r="FU144">
            <v>0</v>
          </cell>
          <cell r="FV144">
            <v>-23632.154877204444</v>
          </cell>
          <cell r="FW144" t="str">
            <v>amortiz.</v>
          </cell>
          <cell r="FX144">
            <v>-22786.097000000002</v>
          </cell>
          <cell r="FY144">
            <v>-720.74787720444169</v>
          </cell>
          <cell r="GA144">
            <v>-23506.844877204443</v>
          </cell>
          <cell r="GB144">
            <v>-23822.059934788122</v>
          </cell>
          <cell r="GC144">
            <v>-23632.154877204444</v>
          </cell>
          <cell r="GD144">
            <v>-23949.050279346149</v>
          </cell>
          <cell r="GE144">
            <v>-125.31000000000131</v>
          </cell>
          <cell r="GF144">
            <v>4.5430297721453359</v>
          </cell>
          <cell r="GG144">
            <v>-14825.817708687135</v>
          </cell>
          <cell r="GH144">
            <v>0</v>
          </cell>
          <cell r="HJ144" t="str">
            <v>{edit}{home}@round({end},0)~{d 1}</v>
          </cell>
        </row>
        <row r="145">
          <cell r="A145" t="str">
            <v>total</v>
          </cell>
          <cell r="C145">
            <v>37.065799999999996</v>
          </cell>
          <cell r="E145">
            <v>0</v>
          </cell>
          <cell r="G145">
            <v>0</v>
          </cell>
          <cell r="I145">
            <v>37.065799999999996</v>
          </cell>
          <cell r="O145">
            <v>154.5</v>
          </cell>
          <cell r="Q145">
            <v>5848.4880000000003</v>
          </cell>
          <cell r="S145">
            <v>0</v>
          </cell>
          <cell r="U145">
            <v>5848.4880000000003</v>
          </cell>
          <cell r="W145">
            <v>160.5</v>
          </cell>
          <cell r="X145">
            <v>160.5</v>
          </cell>
          <cell r="Z145">
            <v>181.80099999999999</v>
          </cell>
          <cell r="AB145">
            <v>0</v>
          </cell>
          <cell r="AD145">
            <v>6351.2889999999998</v>
          </cell>
          <cell r="AF145">
            <v>0</v>
          </cell>
          <cell r="AH145">
            <v>0</v>
          </cell>
          <cell r="AJ145">
            <v>0</v>
          </cell>
          <cell r="AL145">
            <v>125</v>
          </cell>
          <cell r="AN145">
            <v>0</v>
          </cell>
          <cell r="AP145">
            <v>125</v>
          </cell>
          <cell r="AR145">
            <v>0</v>
          </cell>
          <cell r="AT145">
            <v>6667.854800000001</v>
          </cell>
          <cell r="AV145">
            <v>82510.197</v>
          </cell>
          <cell r="AX145">
            <v>89178.051800000001</v>
          </cell>
          <cell r="AY145">
            <v>0</v>
          </cell>
          <cell r="AZ145" t="str">
            <v>total</v>
          </cell>
          <cell r="BA145">
            <v>0</v>
          </cell>
          <cell r="BC145">
            <v>75.206400000000002</v>
          </cell>
          <cell r="BE145">
            <v>0</v>
          </cell>
          <cell r="BG145">
            <v>0</v>
          </cell>
          <cell r="BI145">
            <v>75.206400000000002</v>
          </cell>
          <cell r="BO145">
            <v>604</v>
          </cell>
          <cell r="BQ145">
            <v>20005.419000000002</v>
          </cell>
          <cell r="BS145">
            <v>0</v>
          </cell>
          <cell r="BU145">
            <v>20005.419000000002</v>
          </cell>
          <cell r="BW145">
            <v>333</v>
          </cell>
          <cell r="BX145">
            <v>333</v>
          </cell>
          <cell r="BZ145">
            <v>568</v>
          </cell>
          <cell r="CB145">
            <v>0</v>
          </cell>
          <cell r="CD145">
            <v>21239.419000000002</v>
          </cell>
          <cell r="CF145">
            <v>0</v>
          </cell>
          <cell r="CH145">
            <v>0</v>
          </cell>
          <cell r="CJ145">
            <v>0</v>
          </cell>
          <cell r="CL145">
            <v>325</v>
          </cell>
          <cell r="CN145">
            <v>0</v>
          </cell>
          <cell r="CP145">
            <v>325</v>
          </cell>
          <cell r="CR145">
            <v>0</v>
          </cell>
          <cell r="CT145">
            <v>22243.625399999997</v>
          </cell>
          <cell r="CV145">
            <v>356411.43</v>
          </cell>
          <cell r="CX145">
            <v>378655.05540000001</v>
          </cell>
          <cell r="FC145">
            <v>197.59300000000002</v>
          </cell>
          <cell r="FD145">
            <v>0</v>
          </cell>
          <cell r="FE145">
            <v>0</v>
          </cell>
          <cell r="FF145">
            <v>197.59300000000002</v>
          </cell>
          <cell r="FG145">
            <v>0</v>
          </cell>
          <cell r="FH145">
            <v>625.5</v>
          </cell>
          <cell r="FI145">
            <v>23309.42</v>
          </cell>
          <cell r="FJ145">
            <v>736</v>
          </cell>
          <cell r="FK145">
            <v>736</v>
          </cell>
          <cell r="FL145">
            <v>696</v>
          </cell>
          <cell r="FM145">
            <v>0</v>
          </cell>
          <cell r="FN145">
            <v>25477.42</v>
          </cell>
          <cell r="FO145">
            <v>0</v>
          </cell>
          <cell r="FP145">
            <v>552.35140431090781</v>
          </cell>
          <cell r="FQ145">
            <v>0</v>
          </cell>
          <cell r="FR145">
            <v>552.35140431090781</v>
          </cell>
          <cell r="FS145">
            <v>0</v>
          </cell>
          <cell r="FT145">
            <v>26852.864404310898</v>
          </cell>
          <cell r="FU145">
            <v>333205.70900000003</v>
          </cell>
          <cell r="FV145">
            <v>360058.57340431097</v>
          </cell>
          <cell r="FW145" t="str">
            <v>total</v>
          </cell>
          <cell r="FX145">
            <v>25477.42</v>
          </cell>
          <cell r="FY145">
            <v>552.35140431090781</v>
          </cell>
          <cell r="FZ145">
            <v>328977.70900000003</v>
          </cell>
          <cell r="GA145">
            <v>355007.48040431098</v>
          </cell>
          <cell r="GB145">
            <v>359767.95353300369</v>
          </cell>
          <cell r="GC145">
            <v>360058.57340431097</v>
          </cell>
          <cell r="GD145">
            <v>364886.77916914329</v>
          </cell>
          <cell r="GE145">
            <v>5051.0930000000262</v>
          </cell>
          <cell r="GF145">
            <v>4.037524549334357</v>
          </cell>
          <cell r="GG145">
            <v>19411.642856303071</v>
          </cell>
          <cell r="GH145">
            <v>24932.889753755717</v>
          </cell>
          <cell r="GT145" t="str">
            <v xml:space="preserve"> A גליון</v>
          </cell>
        </row>
        <row r="146">
          <cell r="BX146">
            <v>0</v>
          </cell>
          <cell r="CD146">
            <v>0</v>
          </cell>
          <cell r="FI146">
            <v>0</v>
          </cell>
          <cell r="FL146">
            <v>0</v>
          </cell>
          <cell r="FN146">
            <v>0</v>
          </cell>
          <cell r="FX146">
            <v>0</v>
          </cell>
          <cell r="FY146">
            <v>0</v>
          </cell>
          <cell r="GA146">
            <v>0</v>
          </cell>
          <cell r="GB146">
            <v>0</v>
          </cell>
          <cell r="GC146">
            <v>0</v>
          </cell>
          <cell r="GD146">
            <v>0</v>
          </cell>
          <cell r="GE146">
            <v>0</v>
          </cell>
          <cell r="GF146" t="e">
            <v>#DIV/0!</v>
          </cell>
          <cell r="GG146">
            <v>0</v>
          </cell>
          <cell r="GH146">
            <v>0</v>
          </cell>
          <cell r="HJ146" t="str">
            <v>{edit}{bs 15}{del 15}~{edit}/1000{calc}~{D}</v>
          </cell>
        </row>
        <row r="147">
          <cell r="FX147">
            <v>0</v>
          </cell>
          <cell r="FY147">
            <v>0</v>
          </cell>
          <cell r="GA147">
            <v>0</v>
          </cell>
          <cell r="GB147">
            <v>0</v>
          </cell>
          <cell r="GC147">
            <v>0</v>
          </cell>
          <cell r="GD147">
            <v>0</v>
          </cell>
          <cell r="GE147">
            <v>0</v>
          </cell>
        </row>
        <row r="148">
          <cell r="FX148">
            <v>0</v>
          </cell>
          <cell r="FY148">
            <v>0</v>
          </cell>
          <cell r="GA148">
            <v>0</v>
          </cell>
          <cell r="GB148">
            <v>0</v>
          </cell>
          <cell r="GC148">
            <v>0</v>
          </cell>
          <cell r="GD148">
            <v>0</v>
          </cell>
          <cell r="GE148">
            <v>0</v>
          </cell>
        </row>
        <row r="149">
          <cell r="AZ149" t="str">
            <v>TOTAL ACTIVE</v>
          </cell>
          <cell r="BA149" t="str">
            <v>TOTAL ACTIVE</v>
          </cell>
          <cell r="BC149">
            <v>246674.38814999996</v>
          </cell>
          <cell r="BE149">
            <v>67408.320000000007</v>
          </cell>
          <cell r="BG149">
            <v>4683.6854635847158</v>
          </cell>
          <cell r="BI149">
            <v>318766.39361358481</v>
          </cell>
          <cell r="BM149">
            <v>769.16399999999999</v>
          </cell>
          <cell r="BO149">
            <v>30099</v>
          </cell>
          <cell r="BQ149">
            <v>579574.81400000001</v>
          </cell>
          <cell r="BS149">
            <v>0</v>
          </cell>
          <cell r="BU149">
            <v>579574.81400000001</v>
          </cell>
          <cell r="BW149">
            <v>84288.217000000004</v>
          </cell>
          <cell r="BX149">
            <v>70026</v>
          </cell>
          <cell r="BZ149">
            <v>7725.0929999999989</v>
          </cell>
          <cell r="CB149">
            <v>-4893.777</v>
          </cell>
          <cell r="CD149">
            <v>736720.34699999995</v>
          </cell>
          <cell r="CF149">
            <v>5483.9809999999998</v>
          </cell>
          <cell r="CH149">
            <v>1948.2059999999983</v>
          </cell>
          <cell r="CJ149">
            <v>7432.1869999999981</v>
          </cell>
          <cell r="CL149">
            <v>167841</v>
          </cell>
          <cell r="CN149">
            <v>-6973.5919999999996</v>
          </cell>
          <cell r="CP149">
            <v>168299.595</v>
          </cell>
          <cell r="CR149">
            <v>82090.294000000009</v>
          </cell>
          <cell r="CT149">
            <v>1336745.1786135847</v>
          </cell>
          <cell r="CV149">
            <v>-241245.91899999988</v>
          </cell>
          <cell r="CX149">
            <v>1095499.2596135847</v>
          </cell>
          <cell r="FC149">
            <v>361862.50430437626</v>
          </cell>
          <cell r="FD149">
            <v>67407.64</v>
          </cell>
          <cell r="FE149">
            <v>-17478.27480641528</v>
          </cell>
          <cell r="FF149">
            <v>411791.8694979609</v>
          </cell>
          <cell r="FG149">
            <v>771.43449999999996</v>
          </cell>
          <cell r="FH149">
            <v>30294.5</v>
          </cell>
          <cell r="FI149">
            <v>652430.13</v>
          </cell>
          <cell r="FJ149">
            <v>71643.217000000004</v>
          </cell>
          <cell r="FK149">
            <v>96114</v>
          </cell>
          <cell r="FL149">
            <v>8499.8469999999998</v>
          </cell>
          <cell r="FM149">
            <v>-5338.1769999999997</v>
          </cell>
          <cell r="FN149">
            <v>823349.01700000011</v>
          </cell>
          <cell r="FO149">
            <v>46846.699219000002</v>
          </cell>
          <cell r="FP149">
            <v>227211.80992815155</v>
          </cell>
          <cell r="FQ149">
            <v>-45995.904219000004</v>
          </cell>
          <cell r="FR149">
            <v>228062.60492815156</v>
          </cell>
          <cell r="FS149">
            <v>89217.725999999995</v>
          </cell>
          <cell r="FT149">
            <v>1583487.1519261128</v>
          </cell>
          <cell r="FU149">
            <v>-326624.00598693662</v>
          </cell>
          <cell r="FV149">
            <v>1256862.5275525008</v>
          </cell>
          <cell r="FW149" t="str">
            <v>TOTAL ACTIVE</v>
          </cell>
          <cell r="FX149">
            <v>823349.01700000011</v>
          </cell>
          <cell r="FY149">
            <v>228062.60492815156</v>
          </cell>
          <cell r="FZ149">
            <v>-4.1679999999469146</v>
          </cell>
          <cell r="GA149">
            <v>1051407.4539281516</v>
          </cell>
          <cell r="GB149">
            <v>1065506.3031299543</v>
          </cell>
          <cell r="GC149">
            <v>1256862.5275525008</v>
          </cell>
          <cell r="GD149">
            <v>1273716.4267493861</v>
          </cell>
          <cell r="GE149">
            <v>194602.69562434911</v>
          </cell>
          <cell r="GF149">
            <v>4.077277308000359</v>
          </cell>
          <cell r="GG149">
            <v>616379.9190516792</v>
          </cell>
          <cell r="GH149">
            <v>0.61838667537085712</v>
          </cell>
        </row>
        <row r="150">
          <cell r="BX150">
            <v>0</v>
          </cell>
          <cell r="CD150">
            <v>0</v>
          </cell>
          <cell r="FG150" t="str">
            <v>Madrichei Pnai</v>
          </cell>
          <cell r="FN150">
            <v>0</v>
          </cell>
          <cell r="FS150">
            <v>0</v>
          </cell>
          <cell r="FX150">
            <v>0</v>
          </cell>
          <cell r="FY150">
            <v>0</v>
          </cell>
          <cell r="GA150">
            <v>0</v>
          </cell>
          <cell r="GB150">
            <v>0</v>
          </cell>
          <cell r="GC150">
            <v>0</v>
          </cell>
          <cell r="GD150">
            <v>0</v>
          </cell>
          <cell r="GE150">
            <v>0</v>
          </cell>
          <cell r="GF150" t="e">
            <v>#DIV/0!</v>
          </cell>
          <cell r="GH150">
            <v>0</v>
          </cell>
        </row>
        <row r="151">
          <cell r="BX151">
            <v>0</v>
          </cell>
          <cell r="CD151">
            <v>0</v>
          </cell>
          <cell r="CT151">
            <v>-0.38500000000931323</v>
          </cell>
        </row>
        <row r="152">
          <cell r="BX152">
            <v>0</v>
          </cell>
          <cell r="CD152">
            <v>0</v>
          </cell>
          <cell r="FC152" t="str">
            <v>A.L.I.S</v>
          </cell>
          <cell r="FH152" t="str">
            <v>Netcom</v>
          </cell>
          <cell r="FI152" t="str">
            <v>G.C.&amp; CO.</v>
          </cell>
          <cell r="FJ152" t="str">
            <v>IDAN</v>
          </cell>
          <cell r="FL152" t="str">
            <v>EDOM</v>
          </cell>
          <cell r="FN152">
            <v>0</v>
          </cell>
          <cell r="FS152">
            <v>0</v>
          </cell>
          <cell r="FT152" t="str">
            <v>TOTAL</v>
          </cell>
          <cell r="FU152" t="str">
            <v>J.ENTRIES</v>
          </cell>
          <cell r="FV152" t="str">
            <v>TOTAL</v>
          </cell>
          <cell r="FX152">
            <v>0</v>
          </cell>
          <cell r="FY152">
            <v>0</v>
          </cell>
          <cell r="GA152">
            <v>0</v>
          </cell>
          <cell r="GB152">
            <v>0</v>
          </cell>
          <cell r="GC152" t="str">
            <v>TOTAL</v>
          </cell>
          <cell r="GD152">
            <v>0</v>
          </cell>
          <cell r="GE152">
            <v>0</v>
          </cell>
          <cell r="GF152" t="e">
            <v>#DIV/0!</v>
          </cell>
          <cell r="GG152" t="str">
            <v>TOTAL</v>
          </cell>
          <cell r="GH152">
            <v>0</v>
          </cell>
        </row>
        <row r="153">
          <cell r="BX153">
            <v>0</v>
          </cell>
          <cell r="CD153">
            <v>0</v>
          </cell>
          <cell r="FC153" t="str">
            <v>31/12/98</v>
          </cell>
          <cell r="FI153">
            <v>0</v>
          </cell>
          <cell r="FN153">
            <v>0</v>
          </cell>
          <cell r="FS153">
            <v>0</v>
          </cell>
          <cell r="FT153" t="str">
            <v xml:space="preserve"> =31/12/98</v>
          </cell>
          <cell r="FV153" t="str">
            <v xml:space="preserve"> 31/12/98</v>
          </cell>
          <cell r="FX153">
            <v>0</v>
          </cell>
          <cell r="FY153">
            <v>0</v>
          </cell>
          <cell r="GA153">
            <v>0</v>
          </cell>
          <cell r="GB153">
            <v>0</v>
          </cell>
          <cell r="GC153" t="str">
            <v xml:space="preserve"> 31/12/98</v>
          </cell>
          <cell r="GD153">
            <v>0</v>
          </cell>
          <cell r="GE153">
            <v>0</v>
          </cell>
          <cell r="GF153" t="e">
            <v>#DIV/0!</v>
          </cell>
          <cell r="GG153" t="str">
            <v>31/12/97</v>
          </cell>
          <cell r="GH153">
            <v>0</v>
          </cell>
        </row>
        <row r="154">
          <cell r="A154">
            <v>0</v>
          </cell>
          <cell r="G154" t="str">
            <v>CONSOLIDATED STATEMENTS</v>
          </cell>
          <cell r="S154" t="str">
            <v xml:space="preserve"> AS AT </v>
          </cell>
          <cell r="AZ154">
            <v>0</v>
          </cell>
          <cell r="BG154" t="str">
            <v>CONSOLIDATED STATEMENTS</v>
          </cell>
          <cell r="BQ154" t="str">
            <v xml:space="preserve"> AS AT </v>
          </cell>
          <cell r="BS154">
            <v>0</v>
          </cell>
          <cell r="BX154">
            <v>0</v>
          </cell>
          <cell r="CD154">
            <v>0</v>
          </cell>
          <cell r="CF154" t="str">
            <v xml:space="preserve"> AS AT </v>
          </cell>
          <cell r="CH154">
            <v>36160</v>
          </cell>
          <cell r="FC154" t="str">
            <v>A.C.T.V.</v>
          </cell>
          <cell r="FE154" t="str">
            <v>CONSOLIDATED STATEMENTS</v>
          </cell>
          <cell r="FI154" t="str">
            <v>מד"פ</v>
          </cell>
          <cell r="FL154" t="str">
            <v>G.C.&amp; CO. CONSOLIDATED</v>
          </cell>
          <cell r="FN154">
            <v>0</v>
          </cell>
          <cell r="FS154">
            <v>0</v>
          </cell>
          <cell r="FU154" t="str">
            <v xml:space="preserve">A.L.I.S-CONSOLIDATED </v>
          </cell>
          <cell r="FW154" t="str">
            <v>T.L.M</v>
          </cell>
          <cell r="FX154">
            <v>0</v>
          </cell>
          <cell r="FY154">
            <v>0</v>
          </cell>
          <cell r="GA154">
            <v>0</v>
          </cell>
          <cell r="GB154">
            <v>0</v>
          </cell>
          <cell r="GC154">
            <v>0</v>
          </cell>
          <cell r="GD154">
            <v>0</v>
          </cell>
          <cell r="GE154">
            <v>0</v>
          </cell>
          <cell r="GF154" t="e">
            <v>#DIV/0!</v>
          </cell>
          <cell r="GH154">
            <v>0</v>
          </cell>
          <cell r="HJ154" t="str">
            <v>/wcs1~{r 1}</v>
          </cell>
        </row>
        <row r="155">
          <cell r="A155" t="str">
            <v>SHAREHOL.EQUITY</v>
          </cell>
          <cell r="C155">
            <v>-3.19</v>
          </cell>
          <cell r="I155">
            <v>-3.19</v>
          </cell>
          <cell r="M155">
            <v>0</v>
          </cell>
          <cell r="O155">
            <v>-2500</v>
          </cell>
          <cell r="W155">
            <v>3</v>
          </cell>
          <cell r="X155">
            <v>-3</v>
          </cell>
          <cell r="Z155">
            <v>-0.32600000000000001</v>
          </cell>
          <cell r="AB155">
            <v>0.32600000000000001</v>
          </cell>
          <cell r="AD155">
            <v>0</v>
          </cell>
          <cell r="AF155">
            <v>-4.9000000000000002E-2</v>
          </cell>
          <cell r="AH155">
            <v>0</v>
          </cell>
          <cell r="AJ155">
            <v>-4.9000000000000002E-2</v>
          </cell>
          <cell r="AP155">
            <v>-4.9000000000000002E-2</v>
          </cell>
          <cell r="AR155">
            <v>-1.0349999999999999</v>
          </cell>
          <cell r="AT155">
            <v>-2504.2739999999999</v>
          </cell>
          <cell r="AV155">
            <v>2501.0839999999998</v>
          </cell>
          <cell r="AX155">
            <v>-3.1900000000000546</v>
          </cell>
          <cell r="AZ155" t="str">
            <v>SHAREHOL.EQUITY</v>
          </cell>
          <cell r="BC155">
            <v>-5</v>
          </cell>
          <cell r="BI155">
            <v>-5</v>
          </cell>
          <cell r="BO155">
            <v>-8181.5</v>
          </cell>
          <cell r="BQ155" t="str">
            <v xml:space="preserve"> </v>
          </cell>
          <cell r="BS155" t="str">
            <v xml:space="preserve"> </v>
          </cell>
          <cell r="BU155">
            <v>0</v>
          </cell>
          <cell r="BW155">
            <v>5</v>
          </cell>
          <cell r="BX155">
            <v>-5</v>
          </cell>
          <cell r="BZ155">
            <v>-1</v>
          </cell>
          <cell r="CD155">
            <v>-1</v>
          </cell>
          <cell r="CF155">
            <v>-0.1</v>
          </cell>
          <cell r="CH155">
            <v>0</v>
          </cell>
          <cell r="CJ155">
            <v>-0.1</v>
          </cell>
          <cell r="CL155">
            <v>-0.1</v>
          </cell>
          <cell r="CP155">
            <v>-0.2</v>
          </cell>
          <cell r="CR155">
            <v>-2</v>
          </cell>
          <cell r="CT155">
            <v>-8189.7</v>
          </cell>
          <cell r="CU155">
            <v>0</v>
          </cell>
          <cell r="CV155">
            <v>8184.7</v>
          </cell>
          <cell r="CX155">
            <v>-5</v>
          </cell>
          <cell r="FC155">
            <v>-17.643000000000001</v>
          </cell>
          <cell r="FF155">
            <v>-17.643000000000001</v>
          </cell>
          <cell r="FH155">
            <v>-9447.5</v>
          </cell>
          <cell r="FJ155">
            <v>18.5</v>
          </cell>
          <cell r="FK155">
            <v>-18.5</v>
          </cell>
          <cell r="FL155">
            <v>-1</v>
          </cell>
          <cell r="FM155">
            <v>1</v>
          </cell>
          <cell r="FN155">
            <v>0</v>
          </cell>
          <cell r="FO155">
            <v>-0.22900000000000001</v>
          </cell>
          <cell r="FR155">
            <v>-0.22900000000000001</v>
          </cell>
          <cell r="FS155">
            <v>-5.79</v>
          </cell>
          <cell r="FT155">
            <v>-9471.1620000000003</v>
          </cell>
          <cell r="FU155">
            <v>9453.5190000000002</v>
          </cell>
          <cell r="FV155">
            <v>-17.643000000000029</v>
          </cell>
          <cell r="FW155" t="str">
            <v>SHAREHOL.EQUITY</v>
          </cell>
          <cell r="FX155">
            <v>0</v>
          </cell>
          <cell r="FY155">
            <v>-0.22900000000000001</v>
          </cell>
          <cell r="GA155">
            <v>-0.22900000000000001</v>
          </cell>
          <cell r="GB155">
            <v>-0.23207077570655441</v>
          </cell>
          <cell r="GC155">
            <v>-17.643000000000029</v>
          </cell>
          <cell r="GD155">
            <v>-17.879583824413739</v>
          </cell>
          <cell r="GE155">
            <v>-17.41400000000003</v>
          </cell>
          <cell r="GF155">
            <v>5.5307210031347109</v>
          </cell>
          <cell r="GG155">
            <v>-17.379490529065972</v>
          </cell>
          <cell r="GH155">
            <v>0</v>
          </cell>
          <cell r="HJ155" t="str">
            <v>{edit}{home}+ez22/~{d}</v>
          </cell>
        </row>
        <row r="156">
          <cell r="A156" t="str">
            <v>PASSIV</v>
          </cell>
          <cell r="G156" t="str">
            <v>A.C.T.V.</v>
          </cell>
          <cell r="S156" t="str">
            <v>G.C.&amp; CO.</v>
          </cell>
          <cell r="Z156" t="str">
            <v>G.C.&amp; CO. CONSOLIDATED</v>
          </cell>
          <cell r="AF156" t="str">
            <v>SOUTH SHARON COMM.</v>
          </cell>
          <cell r="AL156" t="str">
            <v>T.L.M</v>
          </cell>
          <cell r="AN156" t="str">
            <v>S.S.C.-CONSOLIDATED</v>
          </cell>
          <cell r="AR156" t="str">
            <v>MERCAZ</v>
          </cell>
          <cell r="AV156" t="str">
            <v xml:space="preserve">A.L.I.S-CONSOLIDATED </v>
          </cell>
          <cell r="AZ156" t="str">
            <v>PASSIV</v>
          </cell>
          <cell r="BG156" t="str">
            <v>A.C.T.V.</v>
          </cell>
          <cell r="BS156" t="str">
            <v>G.C.&amp; CO.</v>
          </cell>
          <cell r="BX156">
            <v>0</v>
          </cell>
          <cell r="BZ156" t="str">
            <v>G.C.&amp; CO. CONSOLIDATED</v>
          </cell>
          <cell r="CD156">
            <v>0</v>
          </cell>
          <cell r="CF156" t="str">
            <v>SOUTH SHARON COMM.</v>
          </cell>
          <cell r="CL156" t="str">
            <v>T.L.M</v>
          </cell>
          <cell r="CN156" t="str">
            <v>S.S.C.-CONSOLIDATED</v>
          </cell>
          <cell r="CR156" t="str">
            <v>MERCAZ</v>
          </cell>
          <cell r="CV156" t="str">
            <v xml:space="preserve">CONSOLIDATED </v>
          </cell>
          <cell r="FE156" t="str">
            <v>A.C.T.V.</v>
          </cell>
          <cell r="FG156" t="str">
            <v>מדד000</v>
          </cell>
          <cell r="FN156">
            <v>0</v>
          </cell>
          <cell r="FP156" t="str">
            <v>T.L.M</v>
          </cell>
          <cell r="FQ156" t="str">
            <v>S.S.C.-CONSOLIDATED</v>
          </cell>
          <cell r="FS156">
            <v>0</v>
          </cell>
          <cell r="FW156" t="str">
            <v>PASSIVE</v>
          </cell>
          <cell r="FX156">
            <v>0</v>
          </cell>
          <cell r="FY156">
            <v>0</v>
          </cell>
          <cell r="GA156">
            <v>0</v>
          </cell>
          <cell r="GB156">
            <v>0</v>
          </cell>
          <cell r="GC156">
            <v>0</v>
          </cell>
          <cell r="GD156">
            <v>0</v>
          </cell>
          <cell r="GE156">
            <v>0</v>
          </cell>
          <cell r="GF156" t="e">
            <v>#DIV/0!</v>
          </cell>
          <cell r="GH156">
            <v>0</v>
          </cell>
        </row>
        <row r="157">
          <cell r="A157" t="str">
            <v>OWNERS'INVESTMENT</v>
          </cell>
          <cell r="I157">
            <v>0</v>
          </cell>
          <cell r="M157">
            <v>145.83004807692308</v>
          </cell>
          <cell r="Q157">
            <v>5221.085</v>
          </cell>
          <cell r="U157">
            <v>5221.085</v>
          </cell>
          <cell r="W157">
            <v>3099.5</v>
          </cell>
          <cell r="X157">
            <v>-3099.5</v>
          </cell>
          <cell r="AD157">
            <v>5221.0849999999991</v>
          </cell>
          <cell r="AH157">
            <v>0</v>
          </cell>
          <cell r="AJ157">
            <v>0</v>
          </cell>
          <cell r="AP157">
            <v>0</v>
          </cell>
          <cell r="AT157">
            <v>5366.9150480769222</v>
          </cell>
          <cell r="AV157">
            <v>-5366.9150480769222</v>
          </cell>
          <cell r="AX157">
            <v>0</v>
          </cell>
          <cell r="AZ157" t="str">
            <v>OWNERS'INVESTMENT</v>
          </cell>
          <cell r="BI157">
            <v>0</v>
          </cell>
          <cell r="BM157">
            <v>623.2885</v>
          </cell>
          <cell r="BQ157">
            <v>-12388.386999999999</v>
          </cell>
          <cell r="BU157">
            <v>-12388.386999999999</v>
          </cell>
          <cell r="BW157">
            <v>6422.5</v>
          </cell>
          <cell r="BX157">
            <v>-6422.5</v>
          </cell>
          <cell r="CD157">
            <v>-12388.386999999999</v>
          </cell>
          <cell r="CH157">
            <v>0</v>
          </cell>
          <cell r="CJ157">
            <v>0</v>
          </cell>
          <cell r="CL157">
            <v>0</v>
          </cell>
          <cell r="CP157">
            <v>0</v>
          </cell>
          <cell r="CT157">
            <v>-11765.098499999998</v>
          </cell>
          <cell r="CU157">
            <v>0</v>
          </cell>
          <cell r="CV157">
            <v>11765.098499999998</v>
          </cell>
          <cell r="CX157">
            <v>0</v>
          </cell>
          <cell r="FG157">
            <v>606.65300000000002</v>
          </cell>
          <cell r="FI157">
            <v>-10331.803000000002</v>
          </cell>
          <cell r="FJ157">
            <v>15602</v>
          </cell>
          <cell r="FK157">
            <v>-15602</v>
          </cell>
          <cell r="FN157">
            <v>-10331.803000000002</v>
          </cell>
          <cell r="FO157">
            <v>0</v>
          </cell>
          <cell r="FR157">
            <v>0</v>
          </cell>
          <cell r="FS157">
            <v>0</v>
          </cell>
          <cell r="FT157">
            <v>-9725.15</v>
          </cell>
          <cell r="FU157">
            <v>9725.15</v>
          </cell>
          <cell r="FV157">
            <v>0</v>
          </cell>
          <cell r="FW157" t="str">
            <v>OWNERS'INVESTMENT</v>
          </cell>
          <cell r="FX157">
            <v>-10331.803000000002</v>
          </cell>
          <cell r="FY157">
            <v>0</v>
          </cell>
          <cell r="GA157">
            <v>-10331.803000000002</v>
          </cell>
          <cell r="GB157">
            <v>-10470.347321647627</v>
          </cell>
          <cell r="GC157">
            <v>0</v>
          </cell>
          <cell r="GD157">
            <v>0</v>
          </cell>
          <cell r="GE157">
            <v>10331.803000000002</v>
          </cell>
          <cell r="GF157" t="e">
            <v>#DIV/0!</v>
          </cell>
          <cell r="GG157">
            <v>0</v>
          </cell>
          <cell r="GH157">
            <v>0</v>
          </cell>
        </row>
        <row r="158">
          <cell r="A158">
            <v>36661.599853703701</v>
          </cell>
          <cell r="C158" t="str">
            <v>A.C.T.V.</v>
          </cell>
          <cell r="E158" t="str">
            <v>A.L.I.S</v>
          </cell>
          <cell r="G158" t="str">
            <v>J.ENTRIES</v>
          </cell>
          <cell r="I158" t="str">
            <v>TOTAL</v>
          </cell>
          <cell r="Q158" t="str">
            <v>G.C.&amp; CO.</v>
          </cell>
          <cell r="S158" t="str">
            <v>J.ENTRIES</v>
          </cell>
          <cell r="U158" t="str">
            <v>TOTAL</v>
          </cell>
          <cell r="W158" t="str">
            <v>עידן -כניסה לאיחוד</v>
          </cell>
          <cell r="X158" t="str">
            <v>עידן 50%</v>
          </cell>
          <cell r="Z158" t="str">
            <v>A. EDOM</v>
          </cell>
          <cell r="AB158" t="str">
            <v>J.ENTRIES</v>
          </cell>
          <cell r="AD158" t="str">
            <v>TOTAL</v>
          </cell>
          <cell r="AF158" t="str">
            <v>S.S.C.</v>
          </cell>
          <cell r="AH158" t="str">
            <v>J.ENTRIES</v>
          </cell>
          <cell r="AJ158" t="str">
            <v>TOTAL</v>
          </cell>
          <cell r="AL158" t="str">
            <v>T.L.M</v>
          </cell>
          <cell r="AN158" t="str">
            <v>J.ENTRIES</v>
          </cell>
          <cell r="AP158" t="str">
            <v>TOTAL</v>
          </cell>
          <cell r="AR158" t="str">
            <v>MERCAZ</v>
          </cell>
          <cell r="AT158" t="str">
            <v>TOTAL</v>
          </cell>
          <cell r="AV158" t="str">
            <v>J.ENTRIES</v>
          </cell>
          <cell r="AX158" t="str">
            <v>TOTAL</v>
          </cell>
          <cell r="AZ158">
            <v>36661.599855671295</v>
          </cell>
          <cell r="BC158" t="str">
            <v>A.C.T.V.</v>
          </cell>
          <cell r="BE158" t="str">
            <v>A.L.I.S</v>
          </cell>
          <cell r="BG158" t="str">
            <v>J.ENTRIES</v>
          </cell>
          <cell r="BI158" t="str">
            <v>TOTAL</v>
          </cell>
          <cell r="BX158">
            <v>0</v>
          </cell>
          <cell r="BZ158" t="str">
            <v>A. EDOM</v>
          </cell>
          <cell r="CB158" t="str">
            <v>J.ENTRIES</v>
          </cell>
          <cell r="CD158">
            <v>0</v>
          </cell>
          <cell r="CF158" t="str">
            <v>S.S.C.</v>
          </cell>
          <cell r="CH158" t="str">
            <v>J.ENTRIES</v>
          </cell>
          <cell r="CJ158" t="str">
            <v>TOTAL</v>
          </cell>
          <cell r="CL158" t="str">
            <v>T.L.M</v>
          </cell>
          <cell r="CN158" t="str">
            <v>J.ENTRIES</v>
          </cell>
          <cell r="CP158" t="str">
            <v>TOTAL</v>
          </cell>
          <cell r="CR158" t="str">
            <v>MERCAZ</v>
          </cell>
          <cell r="CT158" t="str">
            <v>TOTAL</v>
          </cell>
          <cell r="CV158" t="str">
            <v>J.ENTRIES</v>
          </cell>
          <cell r="CX158" t="str">
            <v>TOTAL</v>
          </cell>
          <cell r="FE158" t="str">
            <v>J.ENTRIES</v>
          </cell>
          <cell r="FM158" t="str">
            <v>J.ENTRIES</v>
          </cell>
          <cell r="FN158">
            <v>0</v>
          </cell>
          <cell r="FO158" t="str">
            <v>TOTAL</v>
          </cell>
          <cell r="FP158" t="str">
            <v>T.L.M</v>
          </cell>
          <cell r="FQ158" t="str">
            <v>J.ENTRIES</v>
          </cell>
          <cell r="FR158" t="str">
            <v>TOTAL</v>
          </cell>
          <cell r="FS158">
            <v>0</v>
          </cell>
          <cell r="FW158">
            <v>36661.599853703701</v>
          </cell>
          <cell r="FX158">
            <v>0</v>
          </cell>
          <cell r="GA158">
            <v>0</v>
          </cell>
          <cell r="GB158">
            <v>0</v>
          </cell>
          <cell r="GC158">
            <v>0</v>
          </cell>
          <cell r="GD158">
            <v>0</v>
          </cell>
          <cell r="GE158">
            <v>0</v>
          </cell>
          <cell r="GF158" t="e">
            <v>#DIV/0!</v>
          </cell>
          <cell r="GH158">
            <v>0</v>
          </cell>
        </row>
        <row r="159">
          <cell r="C159" t="str">
            <v>000$</v>
          </cell>
          <cell r="E159" t="str">
            <v>000$</v>
          </cell>
          <cell r="G159" t="str">
            <v>000$</v>
          </cell>
          <cell r="I159" t="str">
            <v>000$</v>
          </cell>
          <cell r="Q159" t="str">
            <v>000$</v>
          </cell>
          <cell r="S159" t="str">
            <v>000$</v>
          </cell>
          <cell r="U159" t="str">
            <v>000$</v>
          </cell>
          <cell r="W159" t="str">
            <v>000$</v>
          </cell>
          <cell r="X159" t="str">
            <v>000$</v>
          </cell>
          <cell r="Z159" t="str">
            <v>000$</v>
          </cell>
          <cell r="AD159" t="str">
            <v>000$</v>
          </cell>
          <cell r="AF159" t="str">
            <v>000$</v>
          </cell>
          <cell r="AH159" t="str">
            <v>000$</v>
          </cell>
          <cell r="AJ159" t="str">
            <v>000$</v>
          </cell>
          <cell r="AP159" t="str">
            <v>000$</v>
          </cell>
          <cell r="AR159" t="str">
            <v>000$</v>
          </cell>
          <cell r="AT159" t="str">
            <v>000$</v>
          </cell>
          <cell r="AV159" t="str">
            <v>000$</v>
          </cell>
          <cell r="AX159" t="str">
            <v>000$</v>
          </cell>
          <cell r="BC159" t="str">
            <v>000NIS</v>
          </cell>
          <cell r="BE159" t="str">
            <v>000NIS</v>
          </cell>
          <cell r="BG159" t="str">
            <v>000NIS</v>
          </cell>
          <cell r="BI159" t="str">
            <v>000NIS</v>
          </cell>
          <cell r="BX159">
            <v>0</v>
          </cell>
          <cell r="BZ159" t="str">
            <v>000NIS</v>
          </cell>
          <cell r="CB159" t="str">
            <v>000NIS</v>
          </cell>
          <cell r="CD159">
            <v>0</v>
          </cell>
          <cell r="CF159" t="str">
            <v>000NIS</v>
          </cell>
          <cell r="CH159" t="str">
            <v>000NIS</v>
          </cell>
          <cell r="CJ159" t="str">
            <v>000NIS</v>
          </cell>
          <cell r="CL159" t="str">
            <v>000NIS</v>
          </cell>
          <cell r="CN159" t="str">
            <v>000NIS</v>
          </cell>
          <cell r="CP159" t="str">
            <v>000NIS</v>
          </cell>
          <cell r="CR159" t="str">
            <v>000NIS</v>
          </cell>
          <cell r="CT159" t="str">
            <v>000$</v>
          </cell>
          <cell r="CV159" t="str">
            <v>000NIS</v>
          </cell>
          <cell r="CX159" t="str">
            <v>000NIS</v>
          </cell>
          <cell r="FN159">
            <v>0</v>
          </cell>
          <cell r="FS159">
            <v>-928.274</v>
          </cell>
          <cell r="FT159">
            <v>-928.274</v>
          </cell>
          <cell r="FU159">
            <v>928.274</v>
          </cell>
          <cell r="FV159">
            <v>0</v>
          </cell>
          <cell r="FW159" t="str">
            <v>CAPITAL FUND</v>
          </cell>
          <cell r="FX159">
            <v>0</v>
          </cell>
          <cell r="FY159">
            <v>0</v>
          </cell>
          <cell r="GA159">
            <v>0</v>
          </cell>
          <cell r="GB159">
            <v>0</v>
          </cell>
          <cell r="GC159">
            <v>0</v>
          </cell>
          <cell r="GD159">
            <v>0</v>
          </cell>
          <cell r="GE159">
            <v>0</v>
          </cell>
          <cell r="GF159" t="e">
            <v>#DIV/0!</v>
          </cell>
          <cell r="GG159" t="str">
            <v>מדד000</v>
          </cell>
          <cell r="GH159">
            <v>0</v>
          </cell>
        </row>
        <row r="160">
          <cell r="GB160">
            <v>0</v>
          </cell>
          <cell r="GC160">
            <v>0</v>
          </cell>
          <cell r="GD160">
            <v>0</v>
          </cell>
        </row>
        <row r="161">
          <cell r="GB161">
            <v>0</v>
          </cell>
          <cell r="GC161">
            <v>0</v>
          </cell>
          <cell r="GD161">
            <v>0</v>
          </cell>
        </row>
        <row r="162">
          <cell r="GB162">
            <v>0</v>
          </cell>
          <cell r="GC162">
            <v>0</v>
          </cell>
          <cell r="GD162">
            <v>0</v>
          </cell>
        </row>
        <row r="163">
          <cell r="GB163">
            <v>0</v>
          </cell>
          <cell r="GC163">
            <v>0</v>
          </cell>
          <cell r="GD163">
            <v>0</v>
          </cell>
        </row>
        <row r="164">
          <cell r="A164" t="str">
            <v>ACCUMULATED profit</v>
          </cell>
          <cell r="C164">
            <v>-24318.967000000001</v>
          </cell>
          <cell r="E164">
            <v>-18208.287</v>
          </cell>
          <cell r="G164">
            <v>3596.6195138175572</v>
          </cell>
          <cell r="I164">
            <v>-38930.63448618244</v>
          </cell>
          <cell r="M164">
            <v>-243.03250961538447</v>
          </cell>
          <cell r="O164">
            <v>-979.5</v>
          </cell>
          <cell r="Q164">
            <v>-74356.178815384614</v>
          </cell>
          <cell r="S164">
            <v>202.167</v>
          </cell>
          <cell r="U164">
            <v>-74154.011815384612</v>
          </cell>
          <cell r="W164">
            <v>433</v>
          </cell>
          <cell r="X164">
            <v>-432.5</v>
          </cell>
          <cell r="Z164">
            <v>-407.24830769230772</v>
          </cell>
          <cell r="AB164">
            <v>407</v>
          </cell>
          <cell r="AD164">
            <v>-74154.760123076936</v>
          </cell>
          <cell r="AF164">
            <v>-8362.9340000000011</v>
          </cell>
          <cell r="AH164">
            <v>-2329.5149999999999</v>
          </cell>
          <cell r="AJ164">
            <v>-10692.449000000001</v>
          </cell>
          <cell r="AL164">
            <v>-16160.913999999997</v>
          </cell>
          <cell r="AN164">
            <v>16160.611000000001</v>
          </cell>
          <cell r="AP164">
            <v>-10692.751999999997</v>
          </cell>
          <cell r="AR164">
            <v>-1091.8273484162894</v>
          </cell>
          <cell r="AT164">
            <v>-126092.50646729108</v>
          </cell>
          <cell r="AV164">
            <v>87161.863858031677</v>
          </cell>
          <cell r="AX164">
            <v>-38930.642609259361</v>
          </cell>
          <cell r="AZ164" t="str">
            <v>ACCUMULATED profit</v>
          </cell>
          <cell r="BC164">
            <v>2136.7808700000096</v>
          </cell>
          <cell r="BE164">
            <v>-67407.641000000003</v>
          </cell>
          <cell r="BG164">
            <v>15719.503536415281</v>
          </cell>
          <cell r="BI164">
            <v>-49551.356593584715</v>
          </cell>
          <cell r="BM164">
            <v>-1033.9669999999996</v>
          </cell>
          <cell r="BO164">
            <v>-5536.7749999999996</v>
          </cell>
          <cell r="BQ164">
            <v>-186130.535</v>
          </cell>
          <cell r="BS164">
            <v>0</v>
          </cell>
          <cell r="BU164">
            <v>-186130.535</v>
          </cell>
          <cell r="BW164">
            <v>-16458.5</v>
          </cell>
          <cell r="BX164">
            <v>16458.5</v>
          </cell>
          <cell r="BZ164">
            <v>-762.11900000000117</v>
          </cell>
          <cell r="CB164">
            <v>768</v>
          </cell>
          <cell r="CD164">
            <v>-186124.65400000001</v>
          </cell>
          <cell r="CF164">
            <v>-3803.982</v>
          </cell>
          <cell r="CH164">
            <v>-1948.2059999999983</v>
          </cell>
          <cell r="CJ164">
            <v>-5752.1879999999983</v>
          </cell>
          <cell r="CL164">
            <v>-10176</v>
          </cell>
          <cell r="CN164">
            <v>10176.205999999998</v>
          </cell>
          <cell r="CP164">
            <v>-5751.9819999999963</v>
          </cell>
          <cell r="CR164">
            <v>9328.08</v>
          </cell>
          <cell r="CT164">
            <v>-238670.83659358468</v>
          </cell>
          <cell r="CU164">
            <v>0.18199999997159466</v>
          </cell>
          <cell r="CV164">
            <v>189123.75900000002</v>
          </cell>
          <cell r="CX164">
            <v>-49547.077593584647</v>
          </cell>
          <cell r="FC164">
            <v>-94752.620999999999</v>
          </cell>
          <cell r="FD164">
            <v>-67407.860472</v>
          </cell>
          <cell r="FE164">
            <v>22435.880226255285</v>
          </cell>
          <cell r="FF164">
            <v>-139724.60124574471</v>
          </cell>
          <cell r="FG164">
            <v>-1009.8980000000006</v>
          </cell>
          <cell r="FH164">
            <v>-4787</v>
          </cell>
          <cell r="FI164">
            <v>-261042.58099999992</v>
          </cell>
          <cell r="FJ164">
            <v>170</v>
          </cell>
          <cell r="FK164">
            <v>-170</v>
          </cell>
          <cell r="FL164">
            <v>-1403.8139999999994</v>
          </cell>
          <cell r="FM164">
            <v>1404</v>
          </cell>
          <cell r="FN164">
            <v>-261042.39500000002</v>
          </cell>
          <cell r="FO164">
            <v>-45166.071219000005</v>
          </cell>
          <cell r="FP164">
            <v>-68192.262000000002</v>
          </cell>
          <cell r="FQ164">
            <v>68191.595218999995</v>
          </cell>
          <cell r="FR164">
            <v>-45166.738000000012</v>
          </cell>
          <cell r="FS164">
            <v>3145.0630000000001</v>
          </cell>
          <cell r="FT164">
            <v>-448585.56924574461</v>
          </cell>
          <cell r="FU164">
            <v>308861.65149999998</v>
          </cell>
          <cell r="FV164">
            <v>-139723.91774574461</v>
          </cell>
          <cell r="FW164" t="str">
            <v>ACCUMULATED profit</v>
          </cell>
          <cell r="FX164">
            <v>-261042.39500000002</v>
          </cell>
          <cell r="FY164">
            <v>-45166.738000000012</v>
          </cell>
          <cell r="FZ164">
            <v>-0.43684500000381377</v>
          </cell>
          <cell r="GA164">
            <v>-306209.56984499993</v>
          </cell>
          <cell r="GB164">
            <v>-310315.6873480326</v>
          </cell>
          <cell r="GC164">
            <v>-139723.91774574463</v>
          </cell>
          <cell r="GD164">
            <v>-141597.54574678498</v>
          </cell>
          <cell r="GE164">
            <v>120607.73899925532</v>
          </cell>
          <cell r="GF164">
            <v>3.589047300044113</v>
          </cell>
          <cell r="GG164">
            <v>-99017.617549098839</v>
          </cell>
          <cell r="GH164">
            <v>0</v>
          </cell>
        </row>
        <row r="165">
          <cell r="C165">
            <v>-24322.156999999999</v>
          </cell>
          <cell r="E165">
            <v>-18208.287</v>
          </cell>
          <cell r="G165">
            <v>3596.6195138175572</v>
          </cell>
          <cell r="I165">
            <v>-38933.824486182442</v>
          </cell>
          <cell r="M165">
            <v>-97.202461538461392</v>
          </cell>
          <cell r="O165">
            <v>-3479.5</v>
          </cell>
          <cell r="Q165">
            <v>-69135.093815384607</v>
          </cell>
          <cell r="S165">
            <v>202.167</v>
          </cell>
          <cell r="U165">
            <v>-68932.926815384606</v>
          </cell>
          <cell r="W165">
            <v>3535.5</v>
          </cell>
          <cell r="X165">
            <v>-3535</v>
          </cell>
          <cell r="Z165">
            <v>-407.57430769230774</v>
          </cell>
          <cell r="AB165">
            <v>407</v>
          </cell>
          <cell r="AD165">
            <v>-68933.675123076944</v>
          </cell>
          <cell r="AF165">
            <v>-8362.983000000002</v>
          </cell>
          <cell r="AH165">
            <v>-2329.5149999999999</v>
          </cell>
          <cell r="AJ165">
            <v>-10692.498000000001</v>
          </cell>
          <cell r="AL165">
            <v>-16160.913999999997</v>
          </cell>
          <cell r="AN165">
            <v>16160.611000000001</v>
          </cell>
          <cell r="AP165">
            <v>-10692.800999999998</v>
          </cell>
          <cell r="AR165">
            <v>-1092.8623484162895</v>
          </cell>
          <cell r="AT165">
            <v>-123229.86541921415</v>
          </cell>
          <cell r="AV165">
            <v>84296.032809954748</v>
          </cell>
          <cell r="AX165">
            <v>-38933.832609259363</v>
          </cell>
          <cell r="BC165">
            <v>2131.7808700000096</v>
          </cell>
          <cell r="BE165">
            <v>-67407.641000000003</v>
          </cell>
          <cell r="BG165">
            <v>15719.503536415281</v>
          </cell>
          <cell r="BI165">
            <v>-49556.356593584715</v>
          </cell>
          <cell r="BM165">
            <v>-410.67849999999964</v>
          </cell>
          <cell r="BO165">
            <v>-13718.275</v>
          </cell>
          <cell r="BQ165">
            <v>-198518.92199999999</v>
          </cell>
          <cell r="BS165">
            <v>0</v>
          </cell>
          <cell r="BU165">
            <v>-198518.92199999999</v>
          </cell>
          <cell r="BW165">
            <v>-10031</v>
          </cell>
          <cell r="BX165">
            <v>10031</v>
          </cell>
          <cell r="BZ165">
            <v>-763.11900000000117</v>
          </cell>
          <cell r="CB165">
            <v>768</v>
          </cell>
          <cell r="CD165">
            <v>-198514.041</v>
          </cell>
          <cell r="CF165">
            <v>-3804.0819999999999</v>
          </cell>
          <cell r="CH165">
            <v>-1948.2059999999983</v>
          </cell>
          <cell r="CJ165">
            <v>-5752.2879999999986</v>
          </cell>
          <cell r="CL165">
            <v>-10176.1</v>
          </cell>
          <cell r="CN165">
            <v>10176.205999999998</v>
          </cell>
          <cell r="CP165">
            <v>-5752.1819999999962</v>
          </cell>
          <cell r="CR165">
            <v>9326.08</v>
          </cell>
          <cell r="CT165">
            <v>-258625.63509358469</v>
          </cell>
          <cell r="CU165">
            <v>0.18199999997159466</v>
          </cell>
          <cell r="CV165">
            <v>209073.55750000002</v>
          </cell>
          <cell r="CX165">
            <v>-49552.077593584647</v>
          </cell>
          <cell r="FC165">
            <v>-94770.263999999996</v>
          </cell>
          <cell r="FD165">
            <v>-67407.860472</v>
          </cell>
          <cell r="FE165">
            <v>22435.880226255285</v>
          </cell>
          <cell r="FF165">
            <v>-139742.24424574472</v>
          </cell>
          <cell r="FG165">
            <v>-403.24500000000057</v>
          </cell>
          <cell r="FH165">
            <v>-14234.5</v>
          </cell>
          <cell r="FI165">
            <v>-271374.3839999999</v>
          </cell>
          <cell r="FJ165">
            <v>15790.5</v>
          </cell>
          <cell r="FK165">
            <v>-15790.5</v>
          </cell>
          <cell r="FL165">
            <v>-1404.8139999999994</v>
          </cell>
          <cell r="FM165">
            <v>1405</v>
          </cell>
          <cell r="FN165">
            <v>-271374.19800000003</v>
          </cell>
          <cell r="FO165">
            <v>-45166.300219000004</v>
          </cell>
          <cell r="FP165">
            <v>-68192.262000000002</v>
          </cell>
          <cell r="FQ165">
            <v>68191.595218999995</v>
          </cell>
          <cell r="FR165">
            <v>-45166.967000000011</v>
          </cell>
          <cell r="FS165">
            <v>2210.9990000000003</v>
          </cell>
          <cell r="FT165">
            <v>-468710.15524574462</v>
          </cell>
          <cell r="FU165">
            <v>328968.59450000001</v>
          </cell>
          <cell r="FV165">
            <v>-139741.56074574462</v>
          </cell>
          <cell r="FX165">
            <v>-271374.19800000003</v>
          </cell>
          <cell r="FY165">
            <v>-45166.967000000011</v>
          </cell>
          <cell r="FZ165">
            <v>-0.43684500000381377</v>
          </cell>
          <cell r="GA165">
            <v>-316541.60184499994</v>
          </cell>
          <cell r="GB165">
            <v>-320786.26674045593</v>
          </cell>
          <cell r="GC165">
            <v>-139741.56074574465</v>
          </cell>
          <cell r="GD165">
            <v>-141615.4253306094</v>
          </cell>
          <cell r="GE165">
            <v>130922.12799925532</v>
          </cell>
          <cell r="GF165">
            <v>3.5892063889058496</v>
          </cell>
          <cell r="GG165">
            <v>-99034.99703962791</v>
          </cell>
          <cell r="GH165">
            <v>0</v>
          </cell>
        </row>
        <row r="166">
          <cell r="A166" t="str">
            <v>MINORITY INTERESTS</v>
          </cell>
          <cell r="AT166">
            <v>0</v>
          </cell>
          <cell r="AZ166" t="str">
            <v>MINORITY INTERESTS</v>
          </cell>
          <cell r="BX166">
            <v>0</v>
          </cell>
          <cell r="CD166">
            <v>0</v>
          </cell>
          <cell r="CT166">
            <v>0</v>
          </cell>
          <cell r="CU166">
            <v>0</v>
          </cell>
          <cell r="FN166">
            <v>0</v>
          </cell>
          <cell r="FS166">
            <v>0</v>
          </cell>
          <cell r="FW166" t="str">
            <v>MINORITY INTERESTS</v>
          </cell>
          <cell r="FX166">
            <v>0</v>
          </cell>
          <cell r="FY166">
            <v>0</v>
          </cell>
          <cell r="GA166">
            <v>0</v>
          </cell>
          <cell r="GB166">
            <v>0</v>
          </cell>
          <cell r="GC166">
            <v>0</v>
          </cell>
          <cell r="GD166">
            <v>0</v>
          </cell>
          <cell r="GE166">
            <v>0</v>
          </cell>
          <cell r="GF166" t="e">
            <v>#DIV/0!</v>
          </cell>
          <cell r="GH166">
            <v>0</v>
          </cell>
          <cell r="GT166" t="str">
            <v xml:space="preserve">דוח דולר  </v>
          </cell>
          <cell r="HJ166" t="str">
            <v>{edit}{home}({end})*1000{D}</v>
          </cell>
        </row>
        <row r="167">
          <cell r="A167" t="str">
            <v>G.C.&amp; CO.</v>
          </cell>
          <cell r="B167">
            <v>0.3</v>
          </cell>
          <cell r="I167">
            <v>0</v>
          </cell>
          <cell r="U167">
            <v>0</v>
          </cell>
          <cell r="AD167">
            <v>0</v>
          </cell>
          <cell r="AJ167">
            <v>0</v>
          </cell>
          <cell r="AP167">
            <v>0</v>
          </cell>
          <cell r="AT167">
            <v>0</v>
          </cell>
          <cell r="AV167">
            <v>2614.2529999999997</v>
          </cell>
          <cell r="AX167">
            <v>2614.2529999999997</v>
          </cell>
          <cell r="AZ167" t="str">
            <v>G.C.&amp; CO.</v>
          </cell>
          <cell r="BA167">
            <v>0.3</v>
          </cell>
          <cell r="BI167">
            <v>0</v>
          </cell>
          <cell r="BU167">
            <v>0</v>
          </cell>
          <cell r="BX167">
            <v>0</v>
          </cell>
          <cell r="CD167">
            <v>0</v>
          </cell>
          <cell r="CJ167">
            <v>0</v>
          </cell>
          <cell r="CP167">
            <v>0</v>
          </cell>
          <cell r="CT167">
            <v>0</v>
          </cell>
          <cell r="CU167">
            <v>0</v>
          </cell>
          <cell r="CV167">
            <v>-299.11399999999776</v>
          </cell>
          <cell r="CX167">
            <v>-299.11399999999776</v>
          </cell>
          <cell r="FN167">
            <v>0</v>
          </cell>
          <cell r="FO167">
            <v>0</v>
          </cell>
          <cell r="FR167">
            <v>0</v>
          </cell>
          <cell r="FS167">
            <v>0</v>
          </cell>
          <cell r="FT167">
            <v>0</v>
          </cell>
          <cell r="FU167">
            <v>848.51299999999901</v>
          </cell>
          <cell r="FV167">
            <v>848.51299999999901</v>
          </cell>
          <cell r="FW167" t="str">
            <v>G.C.&amp; CO.</v>
          </cell>
          <cell r="FX167">
            <v>0</v>
          </cell>
          <cell r="FY167">
            <v>0</v>
          </cell>
          <cell r="GA167">
            <v>0</v>
          </cell>
          <cell r="GB167">
            <v>0</v>
          </cell>
          <cell r="GC167">
            <v>848.51299999999901</v>
          </cell>
          <cell r="GD167">
            <v>859.89113583884443</v>
          </cell>
          <cell r="GE167">
            <v>848.51299999999901</v>
          </cell>
          <cell r="GF167">
            <v>0.32457187579013935</v>
          </cell>
          <cell r="GG167">
            <v>7518.2845652531132</v>
          </cell>
          <cell r="GH167">
            <v>0</v>
          </cell>
        </row>
        <row r="168">
          <cell r="A168" t="str">
            <v>accum.profit</v>
          </cell>
          <cell r="I168">
            <v>0</v>
          </cell>
          <cell r="U168">
            <v>0</v>
          </cell>
          <cell r="AD168">
            <v>0</v>
          </cell>
          <cell r="AJ168">
            <v>0</v>
          </cell>
          <cell r="AP168">
            <v>0</v>
          </cell>
          <cell r="AT168">
            <v>0</v>
          </cell>
          <cell r="AV168">
            <v>-14500.133999999998</v>
          </cell>
          <cell r="AX168">
            <v>-14500.133999999998</v>
          </cell>
          <cell r="AZ168" t="str">
            <v>accum.profit</v>
          </cell>
          <cell r="BI168">
            <v>0</v>
          </cell>
          <cell r="BU168">
            <v>0</v>
          </cell>
          <cell r="BX168">
            <v>0</v>
          </cell>
          <cell r="CD168">
            <v>0</v>
          </cell>
          <cell r="CJ168">
            <v>0</v>
          </cell>
          <cell r="CP168">
            <v>0</v>
          </cell>
          <cell r="CT168">
            <v>0</v>
          </cell>
          <cell r="CU168">
            <v>0</v>
          </cell>
          <cell r="CV168">
            <v>-42798.372000000003</v>
          </cell>
          <cell r="CX168">
            <v>-42798.372000000003</v>
          </cell>
          <cell r="FN168">
            <v>0</v>
          </cell>
          <cell r="FO168">
            <v>0</v>
          </cell>
          <cell r="FR168">
            <v>0</v>
          </cell>
          <cell r="FS168">
            <v>0</v>
          </cell>
          <cell r="FT168">
            <v>0</v>
          </cell>
          <cell r="FU168">
            <v>-58934.150097975158</v>
          </cell>
          <cell r="FV168">
            <v>-58934.150097975158</v>
          </cell>
          <cell r="FW168" t="str">
            <v>accum.profit</v>
          </cell>
          <cell r="FX168">
            <v>0</v>
          </cell>
          <cell r="FY168">
            <v>0</v>
          </cell>
          <cell r="GA168">
            <v>0</v>
          </cell>
          <cell r="GB168">
            <v>0</v>
          </cell>
          <cell r="GC168">
            <v>-58934.150097975158</v>
          </cell>
          <cell r="GD168">
            <v>-59724.427636871631</v>
          </cell>
          <cell r="GE168">
            <v>-58934.150097975158</v>
          </cell>
          <cell r="GF168">
            <v>4.0643865841498545</v>
          </cell>
          <cell r="GG168">
            <v>-36481.900686982939</v>
          </cell>
          <cell r="GH168">
            <v>0</v>
          </cell>
        </row>
        <row r="169">
          <cell r="A169" t="str">
            <v>per.results'</v>
          </cell>
          <cell r="I169">
            <v>0</v>
          </cell>
          <cell r="U169">
            <v>0</v>
          </cell>
          <cell r="AD169">
            <v>0</v>
          </cell>
          <cell r="AJ169">
            <v>0</v>
          </cell>
          <cell r="AP169">
            <v>0</v>
          </cell>
          <cell r="AT169">
            <v>0</v>
          </cell>
          <cell r="AV169">
            <v>-7746</v>
          </cell>
          <cell r="AX169">
            <v>-7746</v>
          </cell>
          <cell r="AZ169" t="str">
            <v>per.results'</v>
          </cell>
          <cell r="BI169">
            <v>0</v>
          </cell>
          <cell r="BU169">
            <v>0</v>
          </cell>
          <cell r="BX169">
            <v>0</v>
          </cell>
          <cell r="CD169">
            <v>0</v>
          </cell>
          <cell r="CJ169">
            <v>0</v>
          </cell>
          <cell r="CP169">
            <v>0</v>
          </cell>
          <cell r="CT169">
            <v>0</v>
          </cell>
          <cell r="CU169">
            <v>0</v>
          </cell>
          <cell r="CV169">
            <v>-13039</v>
          </cell>
          <cell r="CX169">
            <v>-13039</v>
          </cell>
          <cell r="FN169">
            <v>0</v>
          </cell>
          <cell r="FO169">
            <v>0</v>
          </cell>
          <cell r="FR169">
            <v>0</v>
          </cell>
          <cell r="FS169">
            <v>0</v>
          </cell>
          <cell r="FT169">
            <v>0</v>
          </cell>
          <cell r="FU169">
            <v>-19376.33429999998</v>
          </cell>
          <cell r="FV169">
            <v>-19376.33429999998</v>
          </cell>
          <cell r="FW169" t="str">
            <v>per.results'</v>
          </cell>
          <cell r="FX169">
            <v>0</v>
          </cell>
          <cell r="FY169">
            <v>0</v>
          </cell>
          <cell r="GA169">
            <v>0</v>
          </cell>
          <cell r="GB169">
            <v>0</v>
          </cell>
          <cell r="GC169">
            <v>-19376.33429999998</v>
          </cell>
          <cell r="GD169">
            <v>-19636.161272272981</v>
          </cell>
          <cell r="GE169">
            <v>-19376.33429999998</v>
          </cell>
          <cell r="GF169">
            <v>2.5014632455460859</v>
          </cell>
          <cell r="GG169">
            <v>-22461.670949802468</v>
          </cell>
          <cell r="GH169">
            <v>0</v>
          </cell>
        </row>
        <row r="170">
          <cell r="A170" t="str">
            <v>s. IEDIOT accum.profit</v>
          </cell>
          <cell r="AT170">
            <v>0</v>
          </cell>
          <cell r="AV170">
            <v>-735</v>
          </cell>
          <cell r="AX170">
            <v>-735</v>
          </cell>
          <cell r="AZ170" t="str">
            <v>s. IEDIOT accum.profit</v>
          </cell>
          <cell r="BI170">
            <v>0</v>
          </cell>
          <cell r="BU170">
            <v>0</v>
          </cell>
          <cell r="BX170">
            <v>0</v>
          </cell>
          <cell r="CD170">
            <v>0</v>
          </cell>
          <cell r="CJ170">
            <v>0</v>
          </cell>
          <cell r="CP170">
            <v>0</v>
          </cell>
          <cell r="CT170">
            <v>0</v>
          </cell>
          <cell r="CU170">
            <v>0</v>
          </cell>
          <cell r="CV170">
            <v>-2458.9899999999998</v>
          </cell>
          <cell r="CX170">
            <v>-2458.9899999999998</v>
          </cell>
          <cell r="FN170">
            <v>0</v>
          </cell>
          <cell r="FO170">
            <v>0</v>
          </cell>
          <cell r="FR170">
            <v>0</v>
          </cell>
          <cell r="FS170">
            <v>0</v>
          </cell>
          <cell r="FT170">
            <v>0</v>
          </cell>
          <cell r="FU170">
            <v>-2791.5806662312216</v>
          </cell>
          <cell r="FV170">
            <v>-2791.5806662312216</v>
          </cell>
          <cell r="FW170" t="str">
            <v>s. IEDIOT accum.profit</v>
          </cell>
          <cell r="FX170">
            <v>0</v>
          </cell>
          <cell r="FY170">
            <v>0</v>
          </cell>
          <cell r="GA170">
            <v>0</v>
          </cell>
          <cell r="GB170">
            <v>0</v>
          </cell>
          <cell r="GC170">
            <v>-2791.5806662312216</v>
          </cell>
          <cell r="GD170">
            <v>-2829.0143696930108</v>
          </cell>
          <cell r="GE170">
            <v>-2791.5806662312216</v>
          </cell>
          <cell r="GF170">
            <v>3.7980689336479205</v>
          </cell>
          <cell r="GG170">
            <v>-1851.2641509433965</v>
          </cell>
          <cell r="GH170">
            <v>0</v>
          </cell>
        </row>
        <row r="171">
          <cell r="A171" t="str">
            <v>s. IEDIOT per.results'</v>
          </cell>
          <cell r="AT171">
            <v>0</v>
          </cell>
          <cell r="AV171">
            <v>-245</v>
          </cell>
          <cell r="AX171">
            <v>-245</v>
          </cell>
          <cell r="AZ171" t="str">
            <v>s. IEDIOT per.results'</v>
          </cell>
          <cell r="BI171">
            <v>0</v>
          </cell>
          <cell r="BU171">
            <v>0</v>
          </cell>
          <cell r="BX171">
            <v>0</v>
          </cell>
          <cell r="CD171">
            <v>0</v>
          </cell>
          <cell r="CJ171">
            <v>0</v>
          </cell>
          <cell r="CP171">
            <v>0</v>
          </cell>
          <cell r="CT171">
            <v>0</v>
          </cell>
          <cell r="CU171">
            <v>0</v>
          </cell>
          <cell r="CV171">
            <v>-1019.2</v>
          </cell>
          <cell r="CX171">
            <v>-1019.2</v>
          </cell>
          <cell r="FN171">
            <v>0</v>
          </cell>
          <cell r="FO171">
            <v>0</v>
          </cell>
          <cell r="FR171">
            <v>0</v>
          </cell>
          <cell r="FS171">
            <v>0</v>
          </cell>
          <cell r="FT171">
            <v>0</v>
          </cell>
          <cell r="FU171">
            <v>-1019.2</v>
          </cell>
          <cell r="FV171">
            <v>-1019.2</v>
          </cell>
          <cell r="FW171" t="str">
            <v>s. IEDIOT per.results'</v>
          </cell>
          <cell r="FX171">
            <v>0</v>
          </cell>
          <cell r="FY171">
            <v>0</v>
          </cell>
          <cell r="GA171">
            <v>0</v>
          </cell>
          <cell r="GB171">
            <v>0</v>
          </cell>
          <cell r="GC171">
            <v>-1019.2</v>
          </cell>
          <cell r="GD171">
            <v>-1032.8669633193024</v>
          </cell>
          <cell r="GE171">
            <v>-1019.2</v>
          </cell>
          <cell r="GF171">
            <v>4.16</v>
          </cell>
          <cell r="GG171">
            <v>-940.66492488569577</v>
          </cell>
          <cell r="GH171">
            <v>0</v>
          </cell>
        </row>
        <row r="172">
          <cell r="B172" t="str">
            <v xml:space="preserve">total </v>
          </cell>
          <cell r="C172">
            <v>0</v>
          </cell>
          <cell r="E172">
            <v>0</v>
          </cell>
          <cell r="G172">
            <v>0</v>
          </cell>
          <cell r="I172">
            <v>0</v>
          </cell>
          <cell r="O172">
            <v>0</v>
          </cell>
          <cell r="Q172">
            <v>0</v>
          </cell>
          <cell r="S172">
            <v>0</v>
          </cell>
          <cell r="U172">
            <v>0</v>
          </cell>
          <cell r="Z172">
            <v>0</v>
          </cell>
          <cell r="AB172">
            <v>0</v>
          </cell>
          <cell r="AD172">
            <v>0</v>
          </cell>
          <cell r="AF172">
            <v>0</v>
          </cell>
          <cell r="AH172">
            <v>0</v>
          </cell>
          <cell r="AJ172">
            <v>0</v>
          </cell>
          <cell r="AL172">
            <v>0</v>
          </cell>
          <cell r="AN172">
            <v>0</v>
          </cell>
          <cell r="AP172">
            <v>0</v>
          </cell>
          <cell r="AR172">
            <v>0</v>
          </cell>
          <cell r="AT172">
            <v>0</v>
          </cell>
          <cell r="AV172">
            <v>-20611.880999999998</v>
          </cell>
          <cell r="AX172">
            <v>-20611.880999999998</v>
          </cell>
          <cell r="BA172" t="str">
            <v xml:space="preserve">total </v>
          </cell>
          <cell r="BC172">
            <v>0</v>
          </cell>
          <cell r="BE172">
            <v>0</v>
          </cell>
          <cell r="BG172">
            <v>0</v>
          </cell>
          <cell r="BI172">
            <v>0</v>
          </cell>
          <cell r="BO172">
            <v>0</v>
          </cell>
          <cell r="BQ172">
            <v>0</v>
          </cell>
          <cell r="BS172">
            <v>0</v>
          </cell>
          <cell r="BU172">
            <v>0</v>
          </cell>
          <cell r="BW172">
            <v>0</v>
          </cell>
          <cell r="BX172">
            <v>0</v>
          </cell>
          <cell r="BZ172">
            <v>0</v>
          </cell>
          <cell r="CB172">
            <v>0</v>
          </cell>
          <cell r="CD172">
            <v>0</v>
          </cell>
          <cell r="CF172">
            <v>0</v>
          </cell>
          <cell r="CH172">
            <v>0</v>
          </cell>
          <cell r="CJ172">
            <v>0</v>
          </cell>
          <cell r="CL172">
            <v>0</v>
          </cell>
          <cell r="CN172">
            <v>0</v>
          </cell>
          <cell r="CP172">
            <v>0</v>
          </cell>
          <cell r="CR172">
            <v>0</v>
          </cell>
          <cell r="CT172">
            <v>0</v>
          </cell>
          <cell r="CU172">
            <v>0</v>
          </cell>
          <cell r="CV172">
            <v>-59614.675999999999</v>
          </cell>
          <cell r="CX172">
            <v>-59614.675999999999</v>
          </cell>
          <cell r="FD172">
            <v>0</v>
          </cell>
          <cell r="FE172">
            <v>0</v>
          </cell>
          <cell r="FI172">
            <v>0</v>
          </cell>
          <cell r="FM172">
            <v>0</v>
          </cell>
          <cell r="FN172">
            <v>0</v>
          </cell>
          <cell r="FO172">
            <v>0</v>
          </cell>
          <cell r="FP172">
            <v>0</v>
          </cell>
          <cell r="FQ172">
            <v>0</v>
          </cell>
          <cell r="FR172">
            <v>0</v>
          </cell>
          <cell r="FS172">
            <v>0</v>
          </cell>
          <cell r="FT172">
            <v>0</v>
          </cell>
          <cell r="FU172">
            <v>-81272.752064206361</v>
          </cell>
          <cell r="FV172">
            <v>-81272.752064206361</v>
          </cell>
          <cell r="FX172">
            <v>0</v>
          </cell>
          <cell r="FY172">
            <v>0</v>
          </cell>
          <cell r="FZ172">
            <v>0</v>
          </cell>
          <cell r="GA172">
            <v>0</v>
          </cell>
          <cell r="GB172">
            <v>0</v>
          </cell>
          <cell r="GC172">
            <v>-81272.752064206361</v>
          </cell>
          <cell r="GD172">
            <v>-82362.579106318095</v>
          </cell>
          <cell r="GE172">
            <v>-81272.752064206361</v>
          </cell>
          <cell r="GF172">
            <v>3.9430051077922665</v>
          </cell>
          <cell r="GG172">
            <v>-54217.216147361389</v>
          </cell>
          <cell r="GH172">
            <v>0</v>
          </cell>
        </row>
        <row r="173">
          <cell r="A173" t="str">
            <v>MERCAZ</v>
          </cell>
          <cell r="B173">
            <v>0.3</v>
          </cell>
          <cell r="AD173">
            <v>0</v>
          </cell>
          <cell r="AJ173">
            <v>0</v>
          </cell>
          <cell r="AP173">
            <v>0</v>
          </cell>
          <cell r="AT173">
            <v>0</v>
          </cell>
          <cell r="AV173">
            <v>0</v>
          </cell>
          <cell r="AX173">
            <v>0</v>
          </cell>
          <cell r="AZ173" t="str">
            <v>MERCAZ</v>
          </cell>
          <cell r="BA173">
            <v>0.3</v>
          </cell>
          <cell r="BX173">
            <v>0</v>
          </cell>
          <cell r="CD173">
            <v>0</v>
          </cell>
          <cell r="CJ173">
            <v>0</v>
          </cell>
          <cell r="CP173">
            <v>0</v>
          </cell>
          <cell r="CT173">
            <v>0</v>
          </cell>
          <cell r="CU173">
            <v>0</v>
          </cell>
          <cell r="CV173">
            <v>-0.6</v>
          </cell>
          <cell r="CX173">
            <v>-0.6</v>
          </cell>
          <cell r="FO173">
            <v>0</v>
          </cell>
          <cell r="FR173">
            <v>0</v>
          </cell>
          <cell r="FS173">
            <v>0</v>
          </cell>
          <cell r="FT173">
            <v>0</v>
          </cell>
          <cell r="FU173">
            <v>-280.21920000000006</v>
          </cell>
          <cell r="FV173">
            <v>-280.21920000000006</v>
          </cell>
          <cell r="FW173" t="str">
            <v>MERCAZ</v>
          </cell>
          <cell r="FX173">
            <v>0</v>
          </cell>
          <cell r="FY173">
            <v>0</v>
          </cell>
          <cell r="GA173">
            <v>0</v>
          </cell>
          <cell r="GB173">
            <v>0</v>
          </cell>
          <cell r="GC173">
            <v>-280.21920000000006</v>
          </cell>
          <cell r="GD173">
            <v>-283.97679961515337</v>
          </cell>
          <cell r="GE173">
            <v>-280.21920000000006</v>
          </cell>
          <cell r="GF173" t="e">
            <v>#DIV/0!</v>
          </cell>
          <cell r="GG173">
            <v>-280.21888503528623</v>
          </cell>
          <cell r="GH173">
            <v>0</v>
          </cell>
        </row>
        <row r="174">
          <cell r="A174" t="str">
            <v>accum.loss</v>
          </cell>
          <cell r="AD174">
            <v>0</v>
          </cell>
          <cell r="AJ174">
            <v>0</v>
          </cell>
          <cell r="AP174">
            <v>0</v>
          </cell>
          <cell r="AT174">
            <v>0</v>
          </cell>
          <cell r="AV174">
            <v>106.13865158371038</v>
          </cell>
          <cell r="AX174">
            <v>106.13865158371038</v>
          </cell>
          <cell r="AZ174" t="str">
            <v>accum.loss</v>
          </cell>
          <cell r="BX174">
            <v>0</v>
          </cell>
          <cell r="CD174">
            <v>0</v>
          </cell>
          <cell r="CJ174">
            <v>0</v>
          </cell>
          <cell r="CP174">
            <v>0</v>
          </cell>
          <cell r="CT174">
            <v>0</v>
          </cell>
          <cell r="CU174">
            <v>0</v>
          </cell>
          <cell r="CV174">
            <v>854.09899999999971</v>
          </cell>
          <cell r="CX174">
            <v>854.09899999999971</v>
          </cell>
          <cell r="FN174">
            <v>0</v>
          </cell>
          <cell r="FO174">
            <v>0</v>
          </cell>
          <cell r="FR174">
            <v>0</v>
          </cell>
          <cell r="FS174">
            <v>0</v>
          </cell>
          <cell r="FT174">
            <v>0</v>
          </cell>
          <cell r="FU174">
            <v>901.14064598301775</v>
          </cell>
          <cell r="FV174">
            <v>901.14064598301775</v>
          </cell>
          <cell r="FW174" t="str">
            <v>accum.loss</v>
          </cell>
          <cell r="FX174">
            <v>0</v>
          </cell>
          <cell r="FY174">
            <v>0</v>
          </cell>
          <cell r="GA174">
            <v>0</v>
          </cell>
          <cell r="GB174">
            <v>0</v>
          </cell>
          <cell r="GC174">
            <v>901.14064598301775</v>
          </cell>
          <cell r="GD174">
            <v>913.22449228814173</v>
          </cell>
          <cell r="GE174">
            <v>901.14064598301775</v>
          </cell>
          <cell r="GF174">
            <v>8.4902213523251522</v>
          </cell>
          <cell r="GG174">
            <v>225.33900013769136</v>
          </cell>
          <cell r="GH174">
            <v>0</v>
          </cell>
        </row>
        <row r="175">
          <cell r="A175" t="str">
            <v>per.results'</v>
          </cell>
          <cell r="AD175">
            <v>0</v>
          </cell>
          <cell r="AJ175">
            <v>0</v>
          </cell>
          <cell r="AP175">
            <v>0</v>
          </cell>
          <cell r="AT175">
            <v>0</v>
          </cell>
          <cell r="AV175">
            <v>-434</v>
          </cell>
          <cell r="AX175">
            <v>-434</v>
          </cell>
          <cell r="AZ175" t="str">
            <v>per.results'</v>
          </cell>
          <cell r="BX175">
            <v>0</v>
          </cell>
          <cell r="CD175">
            <v>0</v>
          </cell>
          <cell r="CJ175">
            <v>0</v>
          </cell>
          <cell r="CP175">
            <v>0</v>
          </cell>
          <cell r="CT175">
            <v>0</v>
          </cell>
          <cell r="CU175">
            <v>0</v>
          </cell>
          <cell r="CV175">
            <v>1944.7980000000002</v>
          </cell>
          <cell r="CX175">
            <v>1944.7980000000002</v>
          </cell>
          <cell r="FN175">
            <v>0</v>
          </cell>
          <cell r="FO175">
            <v>0</v>
          </cell>
          <cell r="FR175">
            <v>0</v>
          </cell>
          <cell r="FS175">
            <v>0</v>
          </cell>
          <cell r="FT175">
            <v>0</v>
          </cell>
          <cell r="FU175">
            <v>42.30119999999998</v>
          </cell>
          <cell r="FV175">
            <v>42.30119999999998</v>
          </cell>
          <cell r="FW175" t="str">
            <v>per.results'</v>
          </cell>
          <cell r="FX175">
            <v>0</v>
          </cell>
          <cell r="FY175">
            <v>0</v>
          </cell>
          <cell r="GA175">
            <v>0</v>
          </cell>
          <cell r="GB175">
            <v>0</v>
          </cell>
          <cell r="GC175">
            <v>42.30119999999998</v>
          </cell>
          <cell r="GD175">
            <v>42.868437979554997</v>
          </cell>
          <cell r="GE175">
            <v>42.30119999999998</v>
          </cell>
          <cell r="GF175">
            <v>-9.7468202764976919E-2</v>
          </cell>
          <cell r="GG175">
            <v>676.67915349444809</v>
          </cell>
          <cell r="GH175">
            <v>0</v>
          </cell>
        </row>
        <row r="176">
          <cell r="B176" t="str">
            <v xml:space="preserve">total </v>
          </cell>
          <cell r="C176">
            <v>0</v>
          </cell>
          <cell r="E176">
            <v>0</v>
          </cell>
          <cell r="G176">
            <v>0</v>
          </cell>
          <cell r="I176">
            <v>0</v>
          </cell>
          <cell r="Q176">
            <v>0</v>
          </cell>
          <cell r="S176">
            <v>0</v>
          </cell>
          <cell r="U176">
            <v>0</v>
          </cell>
          <cell r="Z176">
            <v>0</v>
          </cell>
          <cell r="AB176">
            <v>0</v>
          </cell>
          <cell r="AD176">
            <v>0</v>
          </cell>
          <cell r="AF176">
            <v>0</v>
          </cell>
          <cell r="AH176">
            <v>0</v>
          </cell>
          <cell r="AJ176">
            <v>0</v>
          </cell>
          <cell r="AL176">
            <v>0</v>
          </cell>
          <cell r="AN176">
            <v>0</v>
          </cell>
          <cell r="AP176">
            <v>0</v>
          </cell>
          <cell r="AR176">
            <v>0</v>
          </cell>
          <cell r="AT176">
            <v>0</v>
          </cell>
          <cell r="AV176">
            <v>-327.86134841628962</v>
          </cell>
          <cell r="AX176">
            <v>-327.86134841628962</v>
          </cell>
          <cell r="BA176" t="str">
            <v xml:space="preserve">total </v>
          </cell>
          <cell r="BC176">
            <v>0</v>
          </cell>
          <cell r="BE176">
            <v>0</v>
          </cell>
          <cell r="BG176">
            <v>0</v>
          </cell>
          <cell r="BI176">
            <v>0</v>
          </cell>
          <cell r="BQ176">
            <v>0</v>
          </cell>
          <cell r="BS176">
            <v>0</v>
          </cell>
          <cell r="BU176">
            <v>0</v>
          </cell>
          <cell r="BX176">
            <v>0</v>
          </cell>
          <cell r="BZ176">
            <v>0</v>
          </cell>
          <cell r="CB176">
            <v>0</v>
          </cell>
          <cell r="CD176">
            <v>0</v>
          </cell>
          <cell r="CF176">
            <v>0</v>
          </cell>
          <cell r="CH176">
            <v>0</v>
          </cell>
          <cell r="CJ176">
            <v>0</v>
          </cell>
          <cell r="CL176">
            <v>0</v>
          </cell>
          <cell r="CN176">
            <v>0</v>
          </cell>
          <cell r="CP176">
            <v>0</v>
          </cell>
          <cell r="CR176">
            <v>0</v>
          </cell>
          <cell r="CT176">
            <v>0</v>
          </cell>
          <cell r="CU176">
            <v>0</v>
          </cell>
          <cell r="CV176">
            <v>2798.297</v>
          </cell>
          <cell r="CX176">
            <v>2798.297</v>
          </cell>
          <cell r="FD176">
            <v>0</v>
          </cell>
          <cell r="FE176">
            <v>0</v>
          </cell>
          <cell r="FI176">
            <v>0</v>
          </cell>
          <cell r="FM176">
            <v>0</v>
          </cell>
          <cell r="FN176">
            <v>0</v>
          </cell>
          <cell r="FO176">
            <v>0</v>
          </cell>
          <cell r="FP176">
            <v>0</v>
          </cell>
          <cell r="FQ176">
            <v>0</v>
          </cell>
          <cell r="FR176">
            <v>0</v>
          </cell>
          <cell r="FS176">
            <v>0</v>
          </cell>
          <cell r="FT176">
            <v>0</v>
          </cell>
          <cell r="FU176">
            <v>663.22264598301774</v>
          </cell>
          <cell r="FV176">
            <v>663.22264598301774</v>
          </cell>
          <cell r="FX176">
            <v>0</v>
          </cell>
          <cell r="FY176">
            <v>0</v>
          </cell>
          <cell r="FZ176">
            <v>0</v>
          </cell>
          <cell r="GA176">
            <v>0</v>
          </cell>
          <cell r="GB176">
            <v>0</v>
          </cell>
          <cell r="GC176">
            <v>663.22264598301774</v>
          </cell>
          <cell r="GD176">
            <v>672.11613065254335</v>
          </cell>
          <cell r="GE176">
            <v>663.22264598301774</v>
          </cell>
          <cell r="GF176">
            <v>-2.0228753684649514</v>
          </cell>
          <cell r="GG176">
            <v>621.79926859685338</v>
          </cell>
          <cell r="GH176">
            <v>0</v>
          </cell>
        </row>
        <row r="177">
          <cell r="A177" t="str">
            <v>S.S.C.</v>
          </cell>
          <cell r="B177">
            <v>0.3</v>
          </cell>
          <cell r="AD177">
            <v>0</v>
          </cell>
          <cell r="AJ177">
            <v>0</v>
          </cell>
          <cell r="AP177">
            <v>0</v>
          </cell>
          <cell r="AT177">
            <v>0</v>
          </cell>
          <cell r="AV177">
            <v>1478</v>
          </cell>
          <cell r="AX177">
            <v>1478</v>
          </cell>
          <cell r="AZ177" t="str">
            <v>S.S.C.</v>
          </cell>
          <cell r="BA177">
            <v>0.3</v>
          </cell>
          <cell r="BX177">
            <v>0</v>
          </cell>
          <cell r="CD177">
            <v>0</v>
          </cell>
          <cell r="CJ177">
            <v>0</v>
          </cell>
          <cell r="CP177">
            <v>0</v>
          </cell>
          <cell r="CT177">
            <v>0</v>
          </cell>
          <cell r="CU177">
            <v>0</v>
          </cell>
          <cell r="CV177">
            <v>6171.54</v>
          </cell>
          <cell r="CX177">
            <v>6171.54</v>
          </cell>
          <cell r="FO177">
            <v>0</v>
          </cell>
          <cell r="FR177">
            <v>0</v>
          </cell>
          <cell r="FS177">
            <v>0</v>
          </cell>
          <cell r="FT177">
            <v>0</v>
          </cell>
          <cell r="FU177">
            <v>6171.5313000000015</v>
          </cell>
          <cell r="FV177">
            <v>6171.5313000000015</v>
          </cell>
          <cell r="FW177" t="str">
            <v>S.S.C.</v>
          </cell>
          <cell r="FX177">
            <v>0</v>
          </cell>
          <cell r="FY177">
            <v>0</v>
          </cell>
          <cell r="GA177">
            <v>0</v>
          </cell>
          <cell r="GB177">
            <v>0</v>
          </cell>
          <cell r="GC177">
            <v>6171.5313000000015</v>
          </cell>
          <cell r="GD177">
            <v>6254.2884545339766</v>
          </cell>
          <cell r="GE177">
            <v>6171.5313000000015</v>
          </cell>
          <cell r="GF177">
            <v>4.1755962787550756</v>
          </cell>
          <cell r="GG177">
            <v>2417.9216198563036</v>
          </cell>
          <cell r="GH177">
            <v>0</v>
          </cell>
        </row>
        <row r="178">
          <cell r="A178" t="str">
            <v>accum.loss</v>
          </cell>
          <cell r="AD178">
            <v>0</v>
          </cell>
          <cell r="AJ178">
            <v>0</v>
          </cell>
          <cell r="AN178">
            <v>0</v>
          </cell>
          <cell r="AP178">
            <v>0</v>
          </cell>
          <cell r="AT178">
            <v>0</v>
          </cell>
          <cell r="AV178">
            <v>-2514.8230000000003</v>
          </cell>
          <cell r="AX178">
            <v>-2514.8230000000003</v>
          </cell>
          <cell r="AZ178" t="str">
            <v>accum.loss</v>
          </cell>
          <cell r="BX178">
            <v>0</v>
          </cell>
          <cell r="CD178">
            <v>0</v>
          </cell>
          <cell r="CJ178">
            <v>0</v>
          </cell>
          <cell r="CP178">
            <v>0</v>
          </cell>
          <cell r="CT178">
            <v>0</v>
          </cell>
          <cell r="CU178">
            <v>0</v>
          </cell>
          <cell r="CV178">
            <v>-1211.5911000000003</v>
          </cell>
          <cell r="CX178">
            <v>-1211.5911000000003</v>
          </cell>
          <cell r="FN178">
            <v>0</v>
          </cell>
          <cell r="FO178">
            <v>0</v>
          </cell>
          <cell r="FR178">
            <v>0</v>
          </cell>
          <cell r="FS178">
            <v>0</v>
          </cell>
          <cell r="FT178">
            <v>0</v>
          </cell>
          <cell r="FU178">
            <v>-12442.186800000001</v>
          </cell>
          <cell r="FV178">
            <v>-12442.186800000001</v>
          </cell>
          <cell r="FW178" t="str">
            <v>accum.loss</v>
          </cell>
          <cell r="FX178">
            <v>0</v>
          </cell>
          <cell r="FY178">
            <v>0</v>
          </cell>
          <cell r="GA178">
            <v>0</v>
          </cell>
          <cell r="GB178">
            <v>0</v>
          </cell>
          <cell r="GC178">
            <v>-12442.186800000001</v>
          </cell>
          <cell r="GD178">
            <v>-12609.030315117257</v>
          </cell>
          <cell r="GE178">
            <v>-12442.186800000001</v>
          </cell>
          <cell r="GF178">
            <v>4.9475397672122448</v>
          </cell>
          <cell r="GG178">
            <v>-8884.0182037544473</v>
          </cell>
          <cell r="GH178">
            <v>0</v>
          </cell>
        </row>
        <row r="179">
          <cell r="A179" t="str">
            <v>per.results'</v>
          </cell>
          <cell r="AD179">
            <v>0</v>
          </cell>
          <cell r="AJ179">
            <v>0</v>
          </cell>
          <cell r="AP179">
            <v>0</v>
          </cell>
          <cell r="AT179">
            <v>0</v>
          </cell>
          <cell r="AV179">
            <v>-2171</v>
          </cell>
          <cell r="AX179">
            <v>-2171</v>
          </cell>
          <cell r="AZ179" t="str">
            <v>per.results'</v>
          </cell>
          <cell r="BX179">
            <v>0</v>
          </cell>
          <cell r="CD179">
            <v>0</v>
          </cell>
          <cell r="CJ179">
            <v>0</v>
          </cell>
          <cell r="CP179">
            <v>0</v>
          </cell>
          <cell r="CT179">
            <v>0</v>
          </cell>
          <cell r="CU179">
            <v>0</v>
          </cell>
          <cell r="CV179">
            <v>-6685.6035000000002</v>
          </cell>
          <cell r="CX179">
            <v>-6685.6035000000002</v>
          </cell>
          <cell r="FN179">
            <v>0</v>
          </cell>
          <cell r="FO179">
            <v>0</v>
          </cell>
          <cell r="FR179">
            <v>0</v>
          </cell>
          <cell r="FS179">
            <v>0</v>
          </cell>
          <cell r="FT179">
            <v>0</v>
          </cell>
          <cell r="FU179">
            <v>-7279.2345657000005</v>
          </cell>
          <cell r="FV179">
            <v>-7279.2345657000005</v>
          </cell>
          <cell r="FW179" t="str">
            <v>per.results'</v>
          </cell>
          <cell r="FX179">
            <v>0</v>
          </cell>
          <cell r="FY179">
            <v>0</v>
          </cell>
          <cell r="GA179">
            <v>0</v>
          </cell>
          <cell r="GB179">
            <v>0</v>
          </cell>
          <cell r="GC179">
            <v>-7279.2345657000005</v>
          </cell>
          <cell r="GD179">
            <v>-7376.8454681745106</v>
          </cell>
          <cell r="GE179">
            <v>-7279.2345657000005</v>
          </cell>
          <cell r="GF179">
            <v>3.3529408409488717</v>
          </cell>
          <cell r="GG179">
            <v>-5974.7429784454607</v>
          </cell>
          <cell r="GH179">
            <v>0</v>
          </cell>
        </row>
        <row r="180">
          <cell r="B180" t="str">
            <v xml:space="preserve">total </v>
          </cell>
          <cell r="C180">
            <v>0</v>
          </cell>
          <cell r="E180">
            <v>0</v>
          </cell>
          <cell r="G180">
            <v>0</v>
          </cell>
          <cell r="I180">
            <v>0</v>
          </cell>
          <cell r="Q180">
            <v>0</v>
          </cell>
          <cell r="S180">
            <v>0</v>
          </cell>
          <cell r="U180">
            <v>0</v>
          </cell>
          <cell r="Z180">
            <v>0</v>
          </cell>
          <cell r="AB180">
            <v>0</v>
          </cell>
          <cell r="AD180">
            <v>0</v>
          </cell>
          <cell r="AF180">
            <v>0</v>
          </cell>
          <cell r="AH180">
            <v>0</v>
          </cell>
          <cell r="AJ180">
            <v>0</v>
          </cell>
          <cell r="AL180">
            <v>0</v>
          </cell>
          <cell r="AN180">
            <v>0</v>
          </cell>
          <cell r="AP180">
            <v>0</v>
          </cell>
          <cell r="AR180">
            <v>0</v>
          </cell>
          <cell r="AT180">
            <v>0</v>
          </cell>
          <cell r="AV180">
            <v>-3207.8230000000003</v>
          </cell>
          <cell r="AX180">
            <v>-3207.8230000000003</v>
          </cell>
          <cell r="BA180" t="str">
            <v xml:space="preserve">total </v>
          </cell>
          <cell r="BC180">
            <v>0</v>
          </cell>
          <cell r="BE180">
            <v>0</v>
          </cell>
          <cell r="BG180">
            <v>0</v>
          </cell>
          <cell r="BI180">
            <v>0</v>
          </cell>
          <cell r="BQ180">
            <v>0</v>
          </cell>
          <cell r="BS180">
            <v>0</v>
          </cell>
          <cell r="BU180">
            <v>0</v>
          </cell>
          <cell r="BX180">
            <v>0</v>
          </cell>
          <cell r="BZ180">
            <v>0</v>
          </cell>
          <cell r="CB180">
            <v>0</v>
          </cell>
          <cell r="CD180">
            <v>0</v>
          </cell>
          <cell r="CF180">
            <v>0</v>
          </cell>
          <cell r="CH180">
            <v>0</v>
          </cell>
          <cell r="CJ180">
            <v>0</v>
          </cell>
          <cell r="CL180">
            <v>0</v>
          </cell>
          <cell r="CN180">
            <v>0</v>
          </cell>
          <cell r="CP180">
            <v>0</v>
          </cell>
          <cell r="CR180">
            <v>0</v>
          </cell>
          <cell r="CT180">
            <v>0</v>
          </cell>
          <cell r="CU180">
            <v>0</v>
          </cell>
          <cell r="CV180">
            <v>-1725.6545999999998</v>
          </cell>
          <cell r="CX180">
            <v>-1725.6545999999998</v>
          </cell>
          <cell r="FD180">
            <v>0</v>
          </cell>
          <cell r="FE180">
            <v>0</v>
          </cell>
          <cell r="FI180">
            <v>0</v>
          </cell>
          <cell r="FM180">
            <v>0</v>
          </cell>
          <cell r="FN180">
            <v>0</v>
          </cell>
          <cell r="FO180">
            <v>0</v>
          </cell>
          <cell r="FP180">
            <v>0</v>
          </cell>
          <cell r="FQ180">
            <v>0</v>
          </cell>
          <cell r="FR180">
            <v>0</v>
          </cell>
          <cell r="FS180">
            <v>0</v>
          </cell>
          <cell r="FT180">
            <v>0</v>
          </cell>
          <cell r="FU180">
            <v>-13549.890065700001</v>
          </cell>
          <cell r="FV180">
            <v>-13549.890065700001</v>
          </cell>
          <cell r="FX180">
            <v>0</v>
          </cell>
          <cell r="FY180">
            <v>0</v>
          </cell>
          <cell r="FZ180">
            <v>0</v>
          </cell>
          <cell r="GA180">
            <v>0</v>
          </cell>
          <cell r="GB180">
            <v>0</v>
          </cell>
          <cell r="GC180">
            <v>-13549.890065700001</v>
          </cell>
          <cell r="GD180">
            <v>-13731.587328757792</v>
          </cell>
          <cell r="GE180">
            <v>-13549.890065700001</v>
          </cell>
          <cell r="GF180">
            <v>4.2240142506927594</v>
          </cell>
          <cell r="GG180">
            <v>-12440.839562343603</v>
          </cell>
          <cell r="GH180">
            <v>0</v>
          </cell>
        </row>
        <row r="181">
          <cell r="A181" t="str">
            <v>EDOM</v>
          </cell>
          <cell r="B181">
            <v>0.3</v>
          </cell>
          <cell r="AB181">
            <v>-9.8000000000000004E-2</v>
          </cell>
          <cell r="AD181">
            <v>-9.8000000000000004E-2</v>
          </cell>
          <cell r="AT181">
            <v>-9.8000000000000004E-2</v>
          </cell>
          <cell r="AX181">
            <v>-9.8000000000000004E-2</v>
          </cell>
          <cell r="AZ181" t="str">
            <v>EDOM</v>
          </cell>
          <cell r="BA181">
            <v>0.3</v>
          </cell>
          <cell r="BX181">
            <v>0</v>
          </cell>
          <cell r="CB181">
            <v>-0.3</v>
          </cell>
          <cell r="CD181">
            <v>-0.3</v>
          </cell>
          <cell r="CT181">
            <v>-0.3</v>
          </cell>
          <cell r="CU181">
            <v>0</v>
          </cell>
          <cell r="CX181">
            <v>-0.3</v>
          </cell>
          <cell r="FM181">
            <v>0.7</v>
          </cell>
          <cell r="FN181">
            <v>0.7</v>
          </cell>
          <cell r="FS181">
            <v>0</v>
          </cell>
          <cell r="FT181">
            <v>0.7</v>
          </cell>
          <cell r="FV181">
            <v>0.7</v>
          </cell>
          <cell r="FW181" t="str">
            <v>EDOM</v>
          </cell>
          <cell r="FX181">
            <v>0.7</v>
          </cell>
          <cell r="FY181">
            <v>0</v>
          </cell>
          <cell r="GA181">
            <v>0.7</v>
          </cell>
          <cell r="GB181">
            <v>0.70938665063138895</v>
          </cell>
          <cell r="GC181">
            <v>0.7</v>
          </cell>
          <cell r="GD181">
            <v>0.70938665063138895</v>
          </cell>
          <cell r="GE181">
            <v>0</v>
          </cell>
          <cell r="GF181">
            <v>-7.1428571428571423</v>
          </cell>
          <cell r="GG181">
            <v>-0.34476564337034621</v>
          </cell>
          <cell r="GH181">
            <v>0</v>
          </cell>
        </row>
        <row r="182">
          <cell r="A182" t="str">
            <v>accum.profit</v>
          </cell>
          <cell r="AB182">
            <v>-51.3</v>
          </cell>
          <cell r="AD182">
            <v>-51.3</v>
          </cell>
          <cell r="AT182">
            <v>-51.3</v>
          </cell>
          <cell r="AX182">
            <v>-51.3</v>
          </cell>
          <cell r="AZ182" t="str">
            <v>accum.profit</v>
          </cell>
          <cell r="BX182">
            <v>0</v>
          </cell>
          <cell r="CB182">
            <v>-44.1</v>
          </cell>
          <cell r="CD182">
            <v>-44.1</v>
          </cell>
          <cell r="CT182">
            <v>-44.1</v>
          </cell>
          <cell r="CU182">
            <v>0</v>
          </cell>
          <cell r="CX182">
            <v>-44.1</v>
          </cell>
          <cell r="FM182">
            <v>-186.9</v>
          </cell>
          <cell r="FN182">
            <v>-186.9</v>
          </cell>
          <cell r="FR182">
            <v>0</v>
          </cell>
          <cell r="FS182">
            <v>0</v>
          </cell>
          <cell r="FT182">
            <v>-186.9</v>
          </cell>
          <cell r="FV182">
            <v>-186.9</v>
          </cell>
          <cell r="FW182" t="str">
            <v>accum.profit</v>
          </cell>
          <cell r="FX182">
            <v>-186.9</v>
          </cell>
          <cell r="FY182">
            <v>0</v>
          </cell>
          <cell r="GA182">
            <v>-186.9</v>
          </cell>
          <cell r="GB182">
            <v>-189.40623571858086</v>
          </cell>
          <cell r="GC182">
            <v>-186.9</v>
          </cell>
          <cell r="GD182">
            <v>-189.40623571858086</v>
          </cell>
          <cell r="GE182">
            <v>0</v>
          </cell>
          <cell r="GF182">
            <v>3.6432748538011701</v>
          </cell>
          <cell r="GG182">
            <v>-61.573870053730893</v>
          </cell>
          <cell r="GH182">
            <v>0</v>
          </cell>
        </row>
        <row r="183">
          <cell r="A183" t="str">
            <v>per.results'</v>
          </cell>
          <cell r="AB183">
            <v>-70.873999999999995</v>
          </cell>
          <cell r="AD183">
            <v>-70.873999999999995</v>
          </cell>
          <cell r="AT183">
            <v>-70.873999999999995</v>
          </cell>
          <cell r="AX183">
            <v>-70.873999999999995</v>
          </cell>
          <cell r="AZ183" t="str">
            <v>per.results'</v>
          </cell>
          <cell r="BX183">
            <v>0</v>
          </cell>
          <cell r="CB183">
            <v>-184.536</v>
          </cell>
          <cell r="CD183">
            <v>-184.536</v>
          </cell>
          <cell r="CT183">
            <v>-184.536</v>
          </cell>
          <cell r="CU183">
            <v>0</v>
          </cell>
          <cell r="CX183">
            <v>-184.536</v>
          </cell>
          <cell r="FM183">
            <v>-234.244</v>
          </cell>
          <cell r="FN183">
            <v>-234.244</v>
          </cell>
          <cell r="FR183">
            <v>0</v>
          </cell>
          <cell r="FS183">
            <v>0</v>
          </cell>
          <cell r="FT183">
            <v>-234.244</v>
          </cell>
          <cell r="FV183">
            <v>-234.244</v>
          </cell>
          <cell r="FW183" t="str">
            <v>per.results'</v>
          </cell>
          <cell r="FX183">
            <v>-234.244</v>
          </cell>
          <cell r="FY183">
            <v>0</v>
          </cell>
          <cell r="GA183">
            <v>-234.244</v>
          </cell>
          <cell r="GB183">
            <v>-237.38509512928442</v>
          </cell>
          <cell r="GC183">
            <v>-234.244</v>
          </cell>
          <cell r="GD183">
            <v>-237.38509512928442</v>
          </cell>
          <cell r="GE183">
            <v>0</v>
          </cell>
          <cell r="GF183">
            <v>3.3050766148375992</v>
          </cell>
          <cell r="GG183">
            <v>-134.74064500099917</v>
          </cell>
          <cell r="GH183">
            <v>0</v>
          </cell>
        </row>
        <row r="184">
          <cell r="C184">
            <v>0</v>
          </cell>
          <cell r="E184">
            <v>0</v>
          </cell>
          <cell r="G184">
            <v>0</v>
          </cell>
          <cell r="I184">
            <v>0</v>
          </cell>
          <cell r="Q184">
            <v>0</v>
          </cell>
          <cell r="S184">
            <v>0</v>
          </cell>
          <cell r="U184">
            <v>0</v>
          </cell>
          <cell r="Z184">
            <v>0</v>
          </cell>
          <cell r="AB184">
            <v>-122.27199999999999</v>
          </cell>
          <cell r="AD184">
            <v>-122.27199999999999</v>
          </cell>
          <cell r="AF184">
            <v>0</v>
          </cell>
          <cell r="AH184">
            <v>0</v>
          </cell>
          <cell r="AJ184">
            <v>0</v>
          </cell>
          <cell r="AL184">
            <v>0</v>
          </cell>
          <cell r="AN184">
            <v>0</v>
          </cell>
          <cell r="AP184">
            <v>0</v>
          </cell>
          <cell r="AR184">
            <v>0</v>
          </cell>
          <cell r="AT184">
            <v>-122.27199999999999</v>
          </cell>
          <cell r="AV184">
            <v>0</v>
          </cell>
          <cell r="AX184">
            <v>-122.27199999999999</v>
          </cell>
          <cell r="BA184" t="str">
            <v xml:space="preserve">total </v>
          </cell>
          <cell r="BC184">
            <v>0</v>
          </cell>
          <cell r="BE184">
            <v>0</v>
          </cell>
          <cell r="BG184">
            <v>0</v>
          </cell>
          <cell r="BI184">
            <v>0</v>
          </cell>
          <cell r="BQ184">
            <v>0</v>
          </cell>
          <cell r="BS184">
            <v>0</v>
          </cell>
          <cell r="BU184">
            <v>0</v>
          </cell>
          <cell r="BX184">
            <v>0</v>
          </cell>
          <cell r="BZ184">
            <v>0</v>
          </cell>
          <cell r="CB184">
            <v>-228.93600000000001</v>
          </cell>
          <cell r="CD184">
            <v>-228.93600000000001</v>
          </cell>
          <cell r="CF184">
            <v>0</v>
          </cell>
          <cell r="CH184">
            <v>0</v>
          </cell>
          <cell r="CJ184">
            <v>0</v>
          </cell>
          <cell r="CL184">
            <v>0</v>
          </cell>
          <cell r="CN184">
            <v>0</v>
          </cell>
          <cell r="CP184">
            <v>0</v>
          </cell>
          <cell r="CR184">
            <v>0</v>
          </cell>
          <cell r="CT184">
            <v>-228.93600000000001</v>
          </cell>
          <cell r="CU184">
            <v>0</v>
          </cell>
          <cell r="CV184">
            <v>0</v>
          </cell>
          <cell r="CX184">
            <v>-228.93600000000001</v>
          </cell>
          <cell r="FD184">
            <v>0</v>
          </cell>
          <cell r="FE184">
            <v>0</v>
          </cell>
          <cell r="FI184">
            <v>0</v>
          </cell>
          <cell r="FM184">
            <v>-420.44400000000002</v>
          </cell>
          <cell r="FN184">
            <v>-420.44400000000002</v>
          </cell>
          <cell r="FO184">
            <v>0</v>
          </cell>
          <cell r="FP184">
            <v>0</v>
          </cell>
          <cell r="FQ184">
            <v>0</v>
          </cell>
          <cell r="FR184">
            <v>0</v>
          </cell>
          <cell r="FS184">
            <v>0</v>
          </cell>
          <cell r="FT184">
            <v>-420.44400000000002</v>
          </cell>
          <cell r="FU184">
            <v>0</v>
          </cell>
          <cell r="FV184">
            <v>-420.44400000000002</v>
          </cell>
          <cell r="FX184">
            <v>-420.44400000000002</v>
          </cell>
          <cell r="FY184">
            <v>0</v>
          </cell>
          <cell r="FZ184">
            <v>0</v>
          </cell>
          <cell r="GA184">
            <v>-420.44400000000002</v>
          </cell>
          <cell r="GB184">
            <v>-426.0819441972339</v>
          </cell>
          <cell r="GC184">
            <v>-420.44400000000002</v>
          </cell>
          <cell r="GD184">
            <v>-426.0819441972339</v>
          </cell>
          <cell r="GE184">
            <v>0</v>
          </cell>
          <cell r="GF184">
            <v>3.4385959172991369</v>
          </cell>
          <cell r="GG184">
            <v>-196.65928069810036</v>
          </cell>
          <cell r="GH184">
            <v>0</v>
          </cell>
        </row>
        <row r="185">
          <cell r="AD185">
            <v>0</v>
          </cell>
          <cell r="AT185">
            <v>0</v>
          </cell>
          <cell r="BX185">
            <v>0</v>
          </cell>
          <cell r="CD185">
            <v>0</v>
          </cell>
          <cell r="CT185">
            <v>0</v>
          </cell>
          <cell r="CU185">
            <v>0</v>
          </cell>
          <cell r="CX185">
            <v>0</v>
          </cell>
          <cell r="FS185">
            <v>0</v>
          </cell>
          <cell r="FT185">
            <v>0</v>
          </cell>
          <cell r="FV185">
            <v>0</v>
          </cell>
          <cell r="FX185">
            <v>0</v>
          </cell>
          <cell r="FY185">
            <v>0</v>
          </cell>
          <cell r="GA185">
            <v>0</v>
          </cell>
          <cell r="GB185">
            <v>0</v>
          </cell>
          <cell r="GC185">
            <v>0</v>
          </cell>
          <cell r="GD185">
            <v>0</v>
          </cell>
          <cell r="GE185">
            <v>0</v>
          </cell>
          <cell r="GF185" t="e">
            <v>#DIV/0!</v>
          </cell>
          <cell r="GH185">
            <v>0</v>
          </cell>
        </row>
        <row r="186">
          <cell r="A186" t="str">
            <v>IDAN</v>
          </cell>
          <cell r="B186">
            <v>0.25</v>
          </cell>
          <cell r="W186">
            <v>-2</v>
          </cell>
          <cell r="AD186">
            <v>-2</v>
          </cell>
          <cell r="AT186">
            <v>-2</v>
          </cell>
          <cell r="AX186">
            <v>-2</v>
          </cell>
          <cell r="AZ186" t="str">
            <v>IDAN</v>
          </cell>
          <cell r="BW186">
            <v>-2.5</v>
          </cell>
          <cell r="BX186">
            <v>0</v>
          </cell>
          <cell r="CD186">
            <v>-2.5</v>
          </cell>
          <cell r="CT186">
            <v>-2.5</v>
          </cell>
          <cell r="CU186">
            <v>0</v>
          </cell>
          <cell r="CX186">
            <v>-2.5</v>
          </cell>
          <cell r="FS186">
            <v>0</v>
          </cell>
          <cell r="FT186">
            <v>0</v>
          </cell>
          <cell r="FV186">
            <v>0</v>
          </cell>
          <cell r="FW186" t="str">
            <v>IDAN</v>
          </cell>
          <cell r="FX186">
            <v>0</v>
          </cell>
          <cell r="FY186">
            <v>0</v>
          </cell>
          <cell r="GA186">
            <v>0</v>
          </cell>
          <cell r="GB186">
            <v>0</v>
          </cell>
          <cell r="GC186">
            <v>0</v>
          </cell>
          <cell r="GD186">
            <v>0</v>
          </cell>
          <cell r="GE186">
            <v>0</v>
          </cell>
          <cell r="GF186">
            <v>0</v>
          </cell>
          <cell r="GH186">
            <v>0</v>
          </cell>
        </row>
        <row r="187">
          <cell r="A187" t="str">
            <v>accum.profit</v>
          </cell>
          <cell r="M187">
            <v>0</v>
          </cell>
          <cell r="W187">
            <v>-1766</v>
          </cell>
          <cell r="AD187">
            <v>-1766</v>
          </cell>
          <cell r="AT187">
            <v>-1766</v>
          </cell>
          <cell r="AX187">
            <v>-1766</v>
          </cell>
          <cell r="AZ187" t="str">
            <v>accum.profit</v>
          </cell>
          <cell r="BW187">
            <v>5018</v>
          </cell>
          <cell r="BX187">
            <v>0</v>
          </cell>
          <cell r="CD187">
            <v>5018</v>
          </cell>
          <cell r="CT187">
            <v>5018</v>
          </cell>
          <cell r="CU187">
            <v>0</v>
          </cell>
          <cell r="CX187">
            <v>5018</v>
          </cell>
          <cell r="FG187">
            <v>0</v>
          </cell>
          <cell r="FJ187">
            <v>-9.25</v>
          </cell>
          <cell r="FN187">
            <v>-9.25</v>
          </cell>
          <cell r="FS187">
            <v>0</v>
          </cell>
          <cell r="FT187">
            <v>-9.25</v>
          </cell>
          <cell r="FV187">
            <v>-9.25</v>
          </cell>
          <cell r="FW187" t="str">
            <v>accum.profit</v>
          </cell>
          <cell r="FX187">
            <v>-9.25</v>
          </cell>
          <cell r="FY187">
            <v>0</v>
          </cell>
          <cell r="GA187">
            <v>-9.25</v>
          </cell>
          <cell r="GB187">
            <v>-9.3740378833433535</v>
          </cell>
          <cell r="GC187">
            <v>-9.25</v>
          </cell>
          <cell r="GD187">
            <v>-9.3740378833433535</v>
          </cell>
          <cell r="GE187">
            <v>0</v>
          </cell>
          <cell r="GF187">
            <v>5.2378255945639864E-3</v>
          </cell>
          <cell r="GH187">
            <v>0</v>
          </cell>
        </row>
        <row r="188">
          <cell r="A188" t="str">
            <v>per.results'</v>
          </cell>
          <cell r="AD188">
            <v>0</v>
          </cell>
          <cell r="AT188">
            <v>0</v>
          </cell>
          <cell r="AX188">
            <v>0</v>
          </cell>
          <cell r="AZ188" t="str">
            <v>per.results'</v>
          </cell>
          <cell r="BX188">
            <v>0</v>
          </cell>
          <cell r="CD188">
            <v>0</v>
          </cell>
          <cell r="CT188">
            <v>0</v>
          </cell>
          <cell r="CU188">
            <v>0</v>
          </cell>
          <cell r="CX188">
            <v>0</v>
          </cell>
          <cell r="FJ188">
            <v>-7886.25</v>
          </cell>
          <cell r="FN188">
            <v>-7886.25</v>
          </cell>
          <cell r="FR188">
            <v>0</v>
          </cell>
          <cell r="FS188">
            <v>0</v>
          </cell>
          <cell r="FT188">
            <v>-7886.25</v>
          </cell>
          <cell r="FV188">
            <v>-7886.25</v>
          </cell>
          <cell r="FW188" t="str">
            <v>per.results'</v>
          </cell>
          <cell r="FX188">
            <v>-7886.25</v>
          </cell>
          <cell r="FY188">
            <v>0</v>
          </cell>
          <cell r="GA188">
            <v>-7886.25</v>
          </cell>
          <cell r="GB188">
            <v>-7992.0006764882728</v>
          </cell>
          <cell r="GC188">
            <v>-7886.25</v>
          </cell>
          <cell r="GD188">
            <v>-7992.0006764882728</v>
          </cell>
          <cell r="GE188">
            <v>0</v>
          </cell>
          <cell r="GF188" t="e">
            <v>#DIV/0!</v>
          </cell>
          <cell r="GH188">
            <v>0</v>
          </cell>
        </row>
        <row r="189">
          <cell r="C189">
            <v>0</v>
          </cell>
          <cell r="E189">
            <v>0</v>
          </cell>
          <cell r="G189">
            <v>0</v>
          </cell>
          <cell r="I189">
            <v>0</v>
          </cell>
          <cell r="K189">
            <v>0</v>
          </cell>
          <cell r="O189">
            <v>0</v>
          </cell>
          <cell r="Q189">
            <v>0</v>
          </cell>
          <cell r="S189">
            <v>0</v>
          </cell>
          <cell r="U189">
            <v>0</v>
          </cell>
          <cell r="W189">
            <v>-1768</v>
          </cell>
          <cell r="Z189">
            <v>0</v>
          </cell>
          <cell r="AB189">
            <v>0</v>
          </cell>
          <cell r="AD189">
            <v>-1768</v>
          </cell>
          <cell r="AF189">
            <v>0</v>
          </cell>
          <cell r="AH189">
            <v>0</v>
          </cell>
          <cell r="AJ189">
            <v>0</v>
          </cell>
          <cell r="AL189">
            <v>0</v>
          </cell>
          <cell r="AN189">
            <v>0</v>
          </cell>
          <cell r="AP189">
            <v>0</v>
          </cell>
          <cell r="AR189">
            <v>0</v>
          </cell>
          <cell r="AT189">
            <v>-1768</v>
          </cell>
          <cell r="AV189">
            <v>0</v>
          </cell>
          <cell r="AX189">
            <v>-1768</v>
          </cell>
          <cell r="BC189">
            <v>0</v>
          </cell>
          <cell r="BE189">
            <v>0</v>
          </cell>
          <cell r="BG189">
            <v>0</v>
          </cell>
          <cell r="BI189">
            <v>0</v>
          </cell>
          <cell r="BK189">
            <v>0</v>
          </cell>
          <cell r="BM189">
            <v>0</v>
          </cell>
          <cell r="BO189">
            <v>0</v>
          </cell>
          <cell r="BQ189">
            <v>0</v>
          </cell>
          <cell r="BS189">
            <v>0</v>
          </cell>
          <cell r="BU189">
            <v>0</v>
          </cell>
          <cell r="BW189">
            <v>5015.5</v>
          </cell>
          <cell r="BX189">
            <v>0</v>
          </cell>
          <cell r="BZ189">
            <v>0</v>
          </cell>
          <cell r="CB189">
            <v>0</v>
          </cell>
          <cell r="CD189">
            <v>5015.5</v>
          </cell>
          <cell r="CF189">
            <v>0</v>
          </cell>
          <cell r="CH189">
            <v>0</v>
          </cell>
          <cell r="CJ189">
            <v>0</v>
          </cell>
          <cell r="CL189">
            <v>0</v>
          </cell>
          <cell r="CN189">
            <v>0</v>
          </cell>
          <cell r="CP189">
            <v>0</v>
          </cell>
          <cell r="CR189">
            <v>0</v>
          </cell>
          <cell r="CT189">
            <v>5015.5</v>
          </cell>
          <cell r="CU189">
            <v>0</v>
          </cell>
          <cell r="CV189">
            <v>0</v>
          </cell>
          <cell r="CX189">
            <v>5015.5</v>
          </cell>
          <cell r="FD189">
            <v>0</v>
          </cell>
          <cell r="FE189">
            <v>0</v>
          </cell>
          <cell r="FH189">
            <v>0</v>
          </cell>
          <cell r="FI189">
            <v>0</v>
          </cell>
          <cell r="FJ189">
            <v>-7895.5</v>
          </cell>
          <cell r="FM189">
            <v>0</v>
          </cell>
          <cell r="FN189">
            <v>-7895.5</v>
          </cell>
          <cell r="FO189">
            <v>0</v>
          </cell>
          <cell r="FP189">
            <v>0</v>
          </cell>
          <cell r="FQ189">
            <v>0</v>
          </cell>
          <cell r="FR189">
            <v>0</v>
          </cell>
          <cell r="FS189">
            <v>0</v>
          </cell>
          <cell r="FT189">
            <v>-7895.5</v>
          </cell>
          <cell r="FU189">
            <v>0</v>
          </cell>
          <cell r="FV189">
            <v>-7895.5</v>
          </cell>
          <cell r="FX189">
            <v>-7895.5</v>
          </cell>
          <cell r="FY189">
            <v>0</v>
          </cell>
          <cell r="FZ189">
            <v>0</v>
          </cell>
          <cell r="GA189">
            <v>-7895.5</v>
          </cell>
          <cell r="GB189">
            <v>-8001.3747143716164</v>
          </cell>
          <cell r="GC189">
            <v>-7895.5</v>
          </cell>
          <cell r="GD189">
            <v>-8001.3747143716164</v>
          </cell>
          <cell r="GE189">
            <v>0</v>
          </cell>
          <cell r="GF189">
            <v>4.4657805429864252</v>
          </cell>
          <cell r="GH189">
            <v>0</v>
          </cell>
        </row>
        <row r="190">
          <cell r="AT190">
            <v>0</v>
          </cell>
          <cell r="BX190">
            <v>0</v>
          </cell>
          <cell r="CD190">
            <v>0</v>
          </cell>
          <cell r="CT190">
            <v>0</v>
          </cell>
          <cell r="CU190">
            <v>0</v>
          </cell>
          <cell r="FS190">
            <v>0</v>
          </cell>
          <cell r="FX190">
            <v>0</v>
          </cell>
          <cell r="FY190">
            <v>0</v>
          </cell>
          <cell r="GA190">
            <v>0</v>
          </cell>
          <cell r="GB190">
            <v>0</v>
          </cell>
          <cell r="GC190">
            <v>0</v>
          </cell>
          <cell r="GD190">
            <v>0</v>
          </cell>
          <cell r="GE190">
            <v>0</v>
          </cell>
          <cell r="GF190" t="e">
            <v>#DIV/0!</v>
          </cell>
          <cell r="GH190">
            <v>0</v>
          </cell>
        </row>
        <row r="191">
          <cell r="A191" t="str">
            <v>T.L.M.</v>
          </cell>
          <cell r="B191">
            <v>0.32550000000000001</v>
          </cell>
          <cell r="C191">
            <v>0</v>
          </cell>
          <cell r="AD191">
            <v>0</v>
          </cell>
          <cell r="AJ191">
            <v>0</v>
          </cell>
          <cell r="AN191">
            <v>2378</v>
          </cell>
          <cell r="AP191">
            <v>2378</v>
          </cell>
          <cell r="AT191">
            <v>2378</v>
          </cell>
          <cell r="AX191">
            <v>2378</v>
          </cell>
          <cell r="AZ191" t="str">
            <v>T.L.M.</v>
          </cell>
          <cell r="BA191">
            <v>0.3</v>
          </cell>
          <cell r="BX191">
            <v>0</v>
          </cell>
          <cell r="CD191">
            <v>0</v>
          </cell>
          <cell r="CH191">
            <v>0</v>
          </cell>
          <cell r="CJ191">
            <v>0</v>
          </cell>
          <cell r="CN191">
            <v>9928</v>
          </cell>
          <cell r="CP191">
            <v>9928</v>
          </cell>
          <cell r="CT191">
            <v>9928</v>
          </cell>
          <cell r="CU191">
            <v>0</v>
          </cell>
          <cell r="CX191">
            <v>9928</v>
          </cell>
          <cell r="FO191">
            <v>0</v>
          </cell>
          <cell r="FQ191">
            <v>9929</v>
          </cell>
          <cell r="FR191">
            <v>9929</v>
          </cell>
          <cell r="FS191">
            <v>0</v>
          </cell>
          <cell r="FT191">
            <v>9929</v>
          </cell>
          <cell r="FV191">
            <v>9929</v>
          </cell>
          <cell r="FW191" t="str">
            <v>T.L.M.</v>
          </cell>
          <cell r="FX191">
            <v>0</v>
          </cell>
          <cell r="FY191">
            <v>9929</v>
          </cell>
          <cell r="GA191">
            <v>9929</v>
          </cell>
          <cell r="GB191">
            <v>10062.142934455802</v>
          </cell>
          <cell r="GC191">
            <v>9929</v>
          </cell>
          <cell r="GD191">
            <v>10062.142934455802</v>
          </cell>
          <cell r="GE191">
            <v>0</v>
          </cell>
          <cell r="GF191">
            <v>4.175357443229605</v>
          </cell>
          <cell r="GG191">
            <v>3889.2041149575443</v>
          </cell>
          <cell r="GH191">
            <v>0</v>
          </cell>
          <cell r="GT191" t="str">
            <v xml:space="preserve">דוח דולר  </v>
          </cell>
        </row>
        <row r="192">
          <cell r="A192" t="str">
            <v>accum.profit</v>
          </cell>
          <cell r="AD192">
            <v>0</v>
          </cell>
          <cell r="AJ192">
            <v>0</v>
          </cell>
          <cell r="AN192">
            <v>-4136</v>
          </cell>
          <cell r="AP192">
            <v>-4136</v>
          </cell>
          <cell r="AT192">
            <v>-4136</v>
          </cell>
          <cell r="AX192">
            <v>-4136</v>
          </cell>
          <cell r="AZ192" t="str">
            <v>accum.profit</v>
          </cell>
          <cell r="BX192">
            <v>0</v>
          </cell>
          <cell r="CD192">
            <v>0</v>
          </cell>
          <cell r="CJ192">
            <v>0</v>
          </cell>
          <cell r="CN192">
            <v>-2373</v>
          </cell>
          <cell r="CP192">
            <v>-2373</v>
          </cell>
          <cell r="CT192">
            <v>-2373</v>
          </cell>
          <cell r="CU192">
            <v>0</v>
          </cell>
          <cell r="CX192">
            <v>-2373</v>
          </cell>
          <cell r="FN192">
            <v>0</v>
          </cell>
          <cell r="FO192">
            <v>0</v>
          </cell>
          <cell r="FQ192">
            <v>-20312</v>
          </cell>
          <cell r="FR192">
            <v>-20312</v>
          </cell>
          <cell r="FS192">
            <v>0</v>
          </cell>
          <cell r="FT192">
            <v>-20312</v>
          </cell>
          <cell r="FV192">
            <v>-20312</v>
          </cell>
          <cell r="FW192" t="str">
            <v>accum.profit</v>
          </cell>
          <cell r="FX192">
            <v>0</v>
          </cell>
          <cell r="FY192">
            <v>-20312</v>
          </cell>
          <cell r="GA192">
            <v>-20312</v>
          </cell>
          <cell r="GB192">
            <v>-20584.373782321105</v>
          </cell>
          <cell r="GC192">
            <v>-20312</v>
          </cell>
          <cell r="GD192">
            <v>-20584.373782321105</v>
          </cell>
          <cell r="GE192">
            <v>0</v>
          </cell>
          <cell r="GF192">
            <v>4.9110251450676978</v>
          </cell>
          <cell r="GG192">
            <v>-14495.417300457219</v>
          </cell>
          <cell r="GH192">
            <v>0</v>
          </cell>
        </row>
        <row r="193">
          <cell r="A193" t="str">
            <v>per.results'</v>
          </cell>
          <cell r="AD193">
            <v>0</v>
          </cell>
          <cell r="AJ193">
            <v>0</v>
          </cell>
          <cell r="AN193">
            <v>-3502</v>
          </cell>
          <cell r="AP193">
            <v>-3502</v>
          </cell>
          <cell r="AT193">
            <v>-3502</v>
          </cell>
          <cell r="AX193">
            <v>-3502</v>
          </cell>
          <cell r="AZ193" t="str">
            <v>per.results'</v>
          </cell>
          <cell r="BX193">
            <v>0</v>
          </cell>
          <cell r="CD193">
            <v>0</v>
          </cell>
          <cell r="CJ193">
            <v>0</v>
          </cell>
          <cell r="CN193">
            <v>-10867</v>
          </cell>
          <cell r="CP193">
            <v>-10867</v>
          </cell>
          <cell r="CT193">
            <v>-10867</v>
          </cell>
          <cell r="CU193">
            <v>0</v>
          </cell>
          <cell r="CX193">
            <v>-10867</v>
          </cell>
          <cell r="FN193">
            <v>0</v>
          </cell>
          <cell r="FO193">
            <v>0</v>
          </cell>
          <cell r="FQ193">
            <v>-11813</v>
          </cell>
          <cell r="FR193">
            <v>-11813</v>
          </cell>
          <cell r="FS193">
            <v>0</v>
          </cell>
          <cell r="FT193">
            <v>-11813</v>
          </cell>
          <cell r="FV193">
            <v>-11813</v>
          </cell>
          <cell r="FW193" t="str">
            <v>per.results'</v>
          </cell>
          <cell r="FX193">
            <v>0</v>
          </cell>
          <cell r="FY193">
            <v>-11813</v>
          </cell>
          <cell r="GA193">
            <v>-11813</v>
          </cell>
          <cell r="GB193">
            <v>-11971.40643415514</v>
          </cell>
          <cell r="GC193">
            <v>-11813</v>
          </cell>
          <cell r="GD193">
            <v>-11971.40643415514</v>
          </cell>
          <cell r="GE193">
            <v>0</v>
          </cell>
          <cell r="GF193">
            <v>3.3732153055396914</v>
          </cell>
          <cell r="GG193">
            <v>-9705.3320868713272</v>
          </cell>
          <cell r="GH193">
            <v>0</v>
          </cell>
        </row>
        <row r="194">
          <cell r="B194" t="str">
            <v xml:space="preserve">total </v>
          </cell>
          <cell r="C194">
            <v>0</v>
          </cell>
          <cell r="E194">
            <v>0</v>
          </cell>
          <cell r="G194">
            <v>0</v>
          </cell>
          <cell r="I194">
            <v>0</v>
          </cell>
          <cell r="Q194">
            <v>0</v>
          </cell>
          <cell r="S194">
            <v>0</v>
          </cell>
          <cell r="U194">
            <v>0</v>
          </cell>
          <cell r="Z194">
            <v>0</v>
          </cell>
          <cell r="AB194">
            <v>0</v>
          </cell>
          <cell r="AD194">
            <v>0</v>
          </cell>
          <cell r="AF194">
            <v>0</v>
          </cell>
          <cell r="AH194">
            <v>0</v>
          </cell>
          <cell r="AJ194">
            <v>0</v>
          </cell>
          <cell r="AL194">
            <v>0</v>
          </cell>
          <cell r="AN194">
            <v>-5260</v>
          </cell>
          <cell r="AP194">
            <v>-5260</v>
          </cell>
          <cell r="AR194">
            <v>0</v>
          </cell>
          <cell r="AT194">
            <v>-5260</v>
          </cell>
          <cell r="AV194">
            <v>0</v>
          </cell>
          <cell r="AX194">
            <v>-5260</v>
          </cell>
          <cell r="BA194" t="str">
            <v xml:space="preserve">total </v>
          </cell>
          <cell r="BC194">
            <v>0</v>
          </cell>
          <cell r="BE194">
            <v>0</v>
          </cell>
          <cell r="BG194">
            <v>0</v>
          </cell>
          <cell r="BI194">
            <v>0</v>
          </cell>
          <cell r="BQ194">
            <v>0</v>
          </cell>
          <cell r="BS194">
            <v>0</v>
          </cell>
          <cell r="BU194">
            <v>0</v>
          </cell>
          <cell r="BX194">
            <v>0</v>
          </cell>
          <cell r="BZ194">
            <v>0</v>
          </cell>
          <cell r="CB194">
            <v>0</v>
          </cell>
          <cell r="CD194">
            <v>0</v>
          </cell>
          <cell r="CF194">
            <v>0</v>
          </cell>
          <cell r="CH194">
            <v>0</v>
          </cell>
          <cell r="CJ194">
            <v>0</v>
          </cell>
          <cell r="CL194">
            <v>0</v>
          </cell>
          <cell r="CN194">
            <v>-3312</v>
          </cell>
          <cell r="CP194">
            <v>-3312</v>
          </cell>
          <cell r="CR194">
            <v>0</v>
          </cell>
          <cell r="CT194">
            <v>-3312</v>
          </cell>
          <cell r="CU194">
            <v>0</v>
          </cell>
          <cell r="CV194">
            <v>0</v>
          </cell>
          <cell r="CX194">
            <v>-3312</v>
          </cell>
          <cell r="FD194">
            <v>0</v>
          </cell>
          <cell r="FE194">
            <v>0</v>
          </cell>
          <cell r="FM194">
            <v>0</v>
          </cell>
          <cell r="FN194">
            <v>0</v>
          </cell>
          <cell r="FO194">
            <v>0</v>
          </cell>
          <cell r="FP194">
            <v>0</v>
          </cell>
          <cell r="FQ194">
            <v>-22196</v>
          </cell>
          <cell r="FR194">
            <v>-22196</v>
          </cell>
          <cell r="FT194">
            <v>-22196</v>
          </cell>
          <cell r="FU194">
            <v>0</v>
          </cell>
          <cell r="FV194">
            <v>-22196</v>
          </cell>
          <cell r="FX194">
            <v>0</v>
          </cell>
          <cell r="FY194">
            <v>-22196</v>
          </cell>
          <cell r="FZ194">
            <v>0</v>
          </cell>
          <cell r="GA194">
            <v>-22196</v>
          </cell>
          <cell r="GB194">
            <v>-22493.637282020441</v>
          </cell>
          <cell r="GC194">
            <v>-22196</v>
          </cell>
          <cell r="GD194">
            <v>-22493.637282020441</v>
          </cell>
          <cell r="GE194">
            <v>0</v>
          </cell>
          <cell r="GF194">
            <v>4.2197718631178711</v>
          </cell>
          <cell r="GG194">
            <v>-20311.545272371004</v>
          </cell>
          <cell r="GH194">
            <v>0</v>
          </cell>
        </row>
        <row r="195">
          <cell r="BX195">
            <v>0</v>
          </cell>
          <cell r="CU195">
            <v>0</v>
          </cell>
          <cell r="FX195">
            <v>0</v>
          </cell>
          <cell r="FY195">
            <v>0</v>
          </cell>
          <cell r="GA195">
            <v>0</v>
          </cell>
          <cell r="GB195">
            <v>0</v>
          </cell>
          <cell r="GC195">
            <v>0</v>
          </cell>
          <cell r="GD195">
            <v>0</v>
          </cell>
          <cell r="GE195">
            <v>0</v>
          </cell>
          <cell r="GF195" t="e">
            <v>#DIV/0!</v>
          </cell>
        </row>
        <row r="196">
          <cell r="A196" t="str">
            <v>NETCOM</v>
          </cell>
          <cell r="M196">
            <v>0</v>
          </cell>
          <cell r="O196">
            <v>20</v>
          </cell>
          <cell r="AT196">
            <v>20</v>
          </cell>
          <cell r="AX196">
            <v>20</v>
          </cell>
          <cell r="AZ196" t="str">
            <v>NETCOM</v>
          </cell>
          <cell r="BO196">
            <v>85.5</v>
          </cell>
          <cell r="BX196">
            <v>0</v>
          </cell>
          <cell r="CT196">
            <v>85.5</v>
          </cell>
          <cell r="CU196">
            <v>0</v>
          </cell>
          <cell r="CX196">
            <v>85.5</v>
          </cell>
          <cell r="FH196">
            <v>84</v>
          </cell>
          <cell r="FT196">
            <v>84</v>
          </cell>
          <cell r="FV196">
            <v>84</v>
          </cell>
          <cell r="FW196" t="str">
            <v>NETCOM</v>
          </cell>
          <cell r="FX196">
            <v>0</v>
          </cell>
          <cell r="FY196">
            <v>0</v>
          </cell>
          <cell r="GA196">
            <v>0</v>
          </cell>
          <cell r="GB196">
            <v>0</v>
          </cell>
          <cell r="GC196">
            <v>84</v>
          </cell>
          <cell r="GD196">
            <v>85.126398075766687</v>
          </cell>
          <cell r="GE196">
            <v>84</v>
          </cell>
          <cell r="GF196">
            <v>4.2</v>
          </cell>
        </row>
        <row r="197">
          <cell r="M197">
            <v>0</v>
          </cell>
          <cell r="AT197">
            <v>0</v>
          </cell>
          <cell r="BX197">
            <v>0</v>
          </cell>
          <cell r="CT197">
            <v>0</v>
          </cell>
          <cell r="CU197">
            <v>0</v>
          </cell>
          <cell r="FI197">
            <v>0</v>
          </cell>
          <cell r="FS197">
            <v>0</v>
          </cell>
          <cell r="FX197">
            <v>0</v>
          </cell>
          <cell r="FY197">
            <v>0</v>
          </cell>
          <cell r="GA197">
            <v>0</v>
          </cell>
          <cell r="GB197">
            <v>0</v>
          </cell>
          <cell r="GC197">
            <v>0</v>
          </cell>
          <cell r="GD197">
            <v>0</v>
          </cell>
          <cell r="GE197">
            <v>0</v>
          </cell>
          <cell r="GF197" t="e">
            <v>#DIV/0!</v>
          </cell>
        </row>
        <row r="198">
          <cell r="A198" t="str">
            <v>TOTAL MINORITY INTERESTS</v>
          </cell>
          <cell r="C198">
            <v>0</v>
          </cell>
          <cell r="E198">
            <v>0</v>
          </cell>
          <cell r="G198">
            <v>0</v>
          </cell>
          <cell r="I198">
            <v>0</v>
          </cell>
          <cell r="K198">
            <v>0</v>
          </cell>
          <cell r="L198">
            <v>0</v>
          </cell>
          <cell r="O198">
            <v>20</v>
          </cell>
          <cell r="Q198">
            <v>0</v>
          </cell>
          <cell r="S198">
            <v>0</v>
          </cell>
          <cell r="U198">
            <v>0</v>
          </cell>
          <cell r="W198">
            <v>-1768</v>
          </cell>
          <cell r="Z198">
            <v>0</v>
          </cell>
          <cell r="AB198">
            <v>-122.27199999999999</v>
          </cell>
          <cell r="AD198">
            <v>-1890.2719999999999</v>
          </cell>
          <cell r="AF198">
            <v>0</v>
          </cell>
          <cell r="AH198">
            <v>0</v>
          </cell>
          <cell r="AJ198">
            <v>0</v>
          </cell>
          <cell r="AL198">
            <v>0</v>
          </cell>
          <cell r="AN198">
            <v>-5260</v>
          </cell>
          <cell r="AP198">
            <v>-5260</v>
          </cell>
          <cell r="AR198">
            <v>0</v>
          </cell>
          <cell r="AT198">
            <v>-7130.2719999999999</v>
          </cell>
          <cell r="AV198">
            <v>-24147.565348416287</v>
          </cell>
          <cell r="AX198">
            <v>-31277.837348416288</v>
          </cell>
          <cell r="AZ198" t="str">
            <v>TOTAL MINORITY INTERESTS</v>
          </cell>
          <cell r="BC198">
            <v>0</v>
          </cell>
          <cell r="BE198">
            <v>0</v>
          </cell>
          <cell r="BG198">
            <v>0</v>
          </cell>
          <cell r="BI198">
            <v>0</v>
          </cell>
          <cell r="BK198">
            <v>0</v>
          </cell>
          <cell r="BM198">
            <v>0</v>
          </cell>
          <cell r="BO198">
            <v>85.5</v>
          </cell>
          <cell r="BQ198">
            <v>0</v>
          </cell>
          <cell r="BS198">
            <v>0</v>
          </cell>
          <cell r="BU198">
            <v>0</v>
          </cell>
          <cell r="BW198">
            <v>5015.5</v>
          </cell>
          <cell r="BX198">
            <v>0</v>
          </cell>
          <cell r="BZ198">
            <v>0</v>
          </cell>
          <cell r="CB198">
            <v>-228.93600000000001</v>
          </cell>
          <cell r="CD198">
            <v>4786.5640000000003</v>
          </cell>
          <cell r="CF198">
            <v>0</v>
          </cell>
          <cell r="CH198">
            <v>0</v>
          </cell>
          <cell r="CJ198">
            <v>0</v>
          </cell>
          <cell r="CL198">
            <v>0</v>
          </cell>
          <cell r="CN198">
            <v>-3312</v>
          </cell>
          <cell r="CP198">
            <v>-3312</v>
          </cell>
          <cell r="CR198">
            <v>0</v>
          </cell>
          <cell r="CT198">
            <v>1560.0639999999999</v>
          </cell>
          <cell r="CU198">
            <v>0</v>
          </cell>
          <cell r="CV198">
            <v>-58542.033600000002</v>
          </cell>
          <cell r="CX198">
            <v>-56981.969600000004</v>
          </cell>
          <cell r="FD198">
            <v>0</v>
          </cell>
          <cell r="FE198">
            <v>0</v>
          </cell>
          <cell r="FH198">
            <v>84</v>
          </cell>
          <cell r="FI198">
            <v>0</v>
          </cell>
          <cell r="FJ198">
            <v>-7895.5</v>
          </cell>
          <cell r="FM198">
            <v>-420.44400000000002</v>
          </cell>
          <cell r="FN198">
            <v>-8315.9439999999995</v>
          </cell>
          <cell r="FO198">
            <v>0</v>
          </cell>
          <cell r="FP198">
            <v>0</v>
          </cell>
          <cell r="FQ198">
            <v>-22196</v>
          </cell>
          <cell r="FR198">
            <v>-22196</v>
          </cell>
          <cell r="FS198">
            <v>0</v>
          </cell>
          <cell r="FT198">
            <v>-30427.944</v>
          </cell>
          <cell r="FU198">
            <v>-94159.419483923339</v>
          </cell>
          <cell r="FV198">
            <v>-124587.36348392334</v>
          </cell>
          <cell r="FW198" t="str">
            <v>TOTAL MINORITY INTERESTS</v>
          </cell>
          <cell r="FX198">
            <v>-8315.9439999999995</v>
          </cell>
          <cell r="FY198">
            <v>-22196</v>
          </cell>
          <cell r="FZ198">
            <v>0</v>
          </cell>
          <cell r="GA198">
            <v>-30511.944</v>
          </cell>
          <cell r="GB198">
            <v>-30921.093940589293</v>
          </cell>
          <cell r="GC198">
            <v>-124587.36348392334</v>
          </cell>
          <cell r="GD198">
            <v>-126258.01784693687</v>
          </cell>
          <cell r="GE198">
            <v>-94075.419483923339</v>
          </cell>
          <cell r="GF198">
            <v>3.9832473740462002</v>
          </cell>
          <cell r="GG198">
            <v>-86544.460994177251</v>
          </cell>
          <cell r="GH198">
            <v>0</v>
          </cell>
        </row>
        <row r="199">
          <cell r="A199" t="str">
            <v>PROV.FOR SEVERANCE PAY</v>
          </cell>
          <cell r="I199">
            <v>0</v>
          </cell>
          <cell r="M199">
            <v>-7.295072115384615</v>
          </cell>
          <cell r="O199">
            <v>-100</v>
          </cell>
          <cell r="Q199">
            <v>-681.90476923076926</v>
          </cell>
          <cell r="U199">
            <v>-681.90476923076926</v>
          </cell>
          <cell r="W199">
            <v>-224</v>
          </cell>
          <cell r="X199">
            <v>-224</v>
          </cell>
          <cell r="AD199">
            <v>-1129.9047692307693</v>
          </cell>
          <cell r="AL199">
            <v>-13.708</v>
          </cell>
          <cell r="AP199">
            <v>-13.708</v>
          </cell>
          <cell r="AR199">
            <v>-7.1879999999999997</v>
          </cell>
          <cell r="AT199">
            <v>-1258.095841346154</v>
          </cell>
          <cell r="AX199">
            <v>-1258.095841346154</v>
          </cell>
          <cell r="AZ199" t="str">
            <v>PROV.FOR SEVERANCE PAY</v>
          </cell>
          <cell r="BI199">
            <v>0</v>
          </cell>
          <cell r="BM199">
            <v>-30.3475</v>
          </cell>
          <cell r="BO199">
            <v>-414.5</v>
          </cell>
          <cell r="BQ199">
            <v>-2836.7269999999999</v>
          </cell>
          <cell r="BU199">
            <v>-2836.7269999999999</v>
          </cell>
          <cell r="BW199">
            <v>-933</v>
          </cell>
          <cell r="BX199">
            <v>-933</v>
          </cell>
          <cell r="CD199">
            <v>-4702.7269999999999</v>
          </cell>
          <cell r="CL199">
            <v>-57</v>
          </cell>
          <cell r="CP199">
            <v>-57</v>
          </cell>
          <cell r="CR199">
            <v>-29.9</v>
          </cell>
          <cell r="CT199">
            <v>-5234.4744999999994</v>
          </cell>
          <cell r="CU199">
            <v>0</v>
          </cell>
          <cell r="CX199">
            <v>-5234.4744999999994</v>
          </cell>
          <cell r="FG199">
            <v>-30.3475</v>
          </cell>
          <cell r="FH199">
            <v>-414.5</v>
          </cell>
          <cell r="FI199">
            <v>-2836.7269999999999</v>
          </cell>
          <cell r="FJ199">
            <v>-933</v>
          </cell>
          <cell r="FK199">
            <v>-933</v>
          </cell>
          <cell r="FN199">
            <v>-4702.7269999999999</v>
          </cell>
          <cell r="FP199">
            <v>-57</v>
          </cell>
          <cell r="FR199">
            <v>-57</v>
          </cell>
          <cell r="FS199">
            <v>-29.9</v>
          </cell>
          <cell r="FT199">
            <v>-5234.4744999999994</v>
          </cell>
          <cell r="FV199">
            <v>-5234.4744999999994</v>
          </cell>
          <cell r="FW199" t="str">
            <v>PROV.FOR SEVERANCE PAY</v>
          </cell>
          <cell r="FX199">
            <v>-4702.7269999999999</v>
          </cell>
          <cell r="FY199">
            <v>-57</v>
          </cell>
          <cell r="GA199">
            <v>-4759.7269999999999</v>
          </cell>
          <cell r="GB199">
            <v>-4823.5525634996993</v>
          </cell>
          <cell r="GC199">
            <v>-5234.4744999999994</v>
          </cell>
          <cell r="GD199">
            <v>-5304.666190529163</v>
          </cell>
          <cell r="GE199">
            <v>-474.74749999999949</v>
          </cell>
          <cell r="GF199">
            <v>4.1606325432243283</v>
          </cell>
          <cell r="GG199">
            <v>-3978.9215148877374</v>
          </cell>
          <cell r="GH199">
            <v>0</v>
          </cell>
        </row>
        <row r="200">
          <cell r="Q200">
            <v>656.71600000000001</v>
          </cell>
          <cell r="U200">
            <v>656.71600000000001</v>
          </cell>
          <cell r="W200">
            <v>199.5</v>
          </cell>
          <cell r="X200">
            <v>199.5</v>
          </cell>
          <cell r="Z200">
            <v>0</v>
          </cell>
          <cell r="AD200">
            <v>1055.7159999999999</v>
          </cell>
          <cell r="AH200">
            <v>0</v>
          </cell>
          <cell r="AJ200">
            <v>0</v>
          </cell>
          <cell r="AN200">
            <v>0</v>
          </cell>
          <cell r="AP200">
            <v>0</v>
          </cell>
          <cell r="AT200">
            <v>1055.7159999999999</v>
          </cell>
          <cell r="AV200">
            <v>0</v>
          </cell>
          <cell r="AX200">
            <v>1055.7159999999999</v>
          </cell>
          <cell r="BC200">
            <v>0</v>
          </cell>
          <cell r="BE200">
            <v>0</v>
          </cell>
          <cell r="BG200">
            <v>0</v>
          </cell>
          <cell r="BI200">
            <v>0</v>
          </cell>
          <cell r="BQ200">
            <v>2731.94</v>
          </cell>
          <cell r="BU200">
            <v>2731.94</v>
          </cell>
          <cell r="BW200">
            <v>830.5</v>
          </cell>
          <cell r="BX200">
            <v>830.5</v>
          </cell>
          <cell r="BZ200">
            <v>0</v>
          </cell>
          <cell r="CD200">
            <v>4392.9399999999996</v>
          </cell>
          <cell r="CH200">
            <v>0</v>
          </cell>
          <cell r="CJ200">
            <v>0</v>
          </cell>
          <cell r="CL200">
            <v>0</v>
          </cell>
          <cell r="CN200">
            <v>0</v>
          </cell>
          <cell r="CP200">
            <v>0</v>
          </cell>
          <cell r="CR200" t="str">
            <v>_______</v>
          </cell>
          <cell r="CT200">
            <v>4392.9399999999996</v>
          </cell>
          <cell r="CU200">
            <v>0</v>
          </cell>
          <cell r="CX200">
            <v>4392.9399999999996</v>
          </cell>
          <cell r="FI200">
            <v>2731.94</v>
          </cell>
          <cell r="FJ200">
            <v>830.5</v>
          </cell>
          <cell r="FK200">
            <v>830.5</v>
          </cell>
          <cell r="FN200">
            <v>4392.9399999999996</v>
          </cell>
          <cell r="FO200">
            <v>0</v>
          </cell>
          <cell r="FQ200">
            <v>0</v>
          </cell>
          <cell r="FR200">
            <v>0</v>
          </cell>
          <cell r="FS200">
            <v>0</v>
          </cell>
          <cell r="FT200">
            <v>4392.9399999999996</v>
          </cell>
          <cell r="FV200">
            <v>4392.9399999999996</v>
          </cell>
          <cell r="FX200">
            <v>4392.9399999999996</v>
          </cell>
          <cell r="FY200">
            <v>0</v>
          </cell>
          <cell r="GA200">
            <v>4392.9399999999996</v>
          </cell>
          <cell r="GB200">
            <v>4451.8471328923633</v>
          </cell>
          <cell r="GC200">
            <v>4392.9399999999996</v>
          </cell>
          <cell r="GD200">
            <v>4451.8471328923633</v>
          </cell>
          <cell r="GE200">
            <v>0</v>
          </cell>
          <cell r="GF200">
            <v>4.1611001443570057</v>
          </cell>
          <cell r="GG200">
            <v>2102.5216088906791</v>
          </cell>
          <cell r="GH200">
            <v>0</v>
          </cell>
        </row>
        <row r="201">
          <cell r="C201">
            <v>0</v>
          </cell>
          <cell r="E201">
            <v>0</v>
          </cell>
          <cell r="G201">
            <v>0</v>
          </cell>
          <cell r="I201">
            <v>0</v>
          </cell>
          <cell r="M201">
            <v>-7.295072115384615</v>
          </cell>
          <cell r="O201">
            <v>-100</v>
          </cell>
          <cell r="Q201">
            <v>-25.188769230769253</v>
          </cell>
          <cell r="S201">
            <v>0</v>
          </cell>
          <cell r="U201">
            <v>-25.188769230769253</v>
          </cell>
          <cell r="W201">
            <v>-24.5</v>
          </cell>
          <cell r="X201">
            <v>-24.5</v>
          </cell>
          <cell r="Z201">
            <v>0</v>
          </cell>
          <cell r="AB201">
            <v>0</v>
          </cell>
          <cell r="AD201">
            <v>-74.188769230769367</v>
          </cell>
          <cell r="AF201">
            <v>0</v>
          </cell>
          <cell r="AH201">
            <v>0</v>
          </cell>
          <cell r="AJ201">
            <v>0</v>
          </cell>
          <cell r="AL201">
            <v>-13.708</v>
          </cell>
          <cell r="AP201">
            <v>-13.708</v>
          </cell>
          <cell r="AR201">
            <v>-7.1879999999999997</v>
          </cell>
          <cell r="AT201">
            <v>-202.37984134615408</v>
          </cell>
          <cell r="AV201">
            <v>0</v>
          </cell>
          <cell r="AX201">
            <v>-202.37984134615408</v>
          </cell>
          <cell r="BC201">
            <v>0</v>
          </cell>
          <cell r="BE201">
            <v>0</v>
          </cell>
          <cell r="BG201">
            <v>0</v>
          </cell>
          <cell r="BI201">
            <v>0</v>
          </cell>
          <cell r="BM201">
            <v>-30.3475</v>
          </cell>
          <cell r="BO201">
            <v>-414.5</v>
          </cell>
          <cell r="BQ201">
            <v>-104.78699999999981</v>
          </cell>
          <cell r="BS201">
            <v>0</v>
          </cell>
          <cell r="BU201">
            <v>-104.78699999999981</v>
          </cell>
          <cell r="BW201">
            <v>-102.5</v>
          </cell>
          <cell r="BX201">
            <v>-102.5</v>
          </cell>
          <cell r="BZ201">
            <v>0</v>
          </cell>
          <cell r="CB201">
            <v>0</v>
          </cell>
          <cell r="CD201">
            <v>-309.78699999999981</v>
          </cell>
          <cell r="CF201">
            <v>0</v>
          </cell>
          <cell r="CH201">
            <v>0</v>
          </cell>
          <cell r="CJ201">
            <v>0</v>
          </cell>
          <cell r="CL201">
            <v>-57</v>
          </cell>
          <cell r="CP201">
            <v>-57</v>
          </cell>
          <cell r="CR201">
            <v>-29.9</v>
          </cell>
          <cell r="CT201">
            <v>-841.53449999999884</v>
          </cell>
          <cell r="CU201">
            <v>-9.0949470177292824E-13</v>
          </cell>
          <cell r="CV201">
            <v>0</v>
          </cell>
          <cell r="CX201">
            <v>-841.53449999999975</v>
          </cell>
          <cell r="FE201">
            <v>0</v>
          </cell>
          <cell r="FG201">
            <v>-30.3475</v>
          </cell>
          <cell r="FH201">
            <v>-414.5</v>
          </cell>
          <cell r="FI201">
            <v>-104.78699999999981</v>
          </cell>
          <cell r="FJ201">
            <v>-102.5</v>
          </cell>
          <cell r="FK201">
            <v>-102.5</v>
          </cell>
          <cell r="FM201">
            <v>0</v>
          </cell>
          <cell r="FN201">
            <v>-309.78699999999935</v>
          </cell>
          <cell r="FO201">
            <v>0</v>
          </cell>
          <cell r="FP201">
            <v>-57</v>
          </cell>
          <cell r="FR201">
            <v>-57</v>
          </cell>
          <cell r="FS201">
            <v>-29.9</v>
          </cell>
          <cell r="FT201">
            <v>-841.53449999999884</v>
          </cell>
          <cell r="FU201">
            <v>0</v>
          </cell>
          <cell r="FV201">
            <v>-841.53449999999884</v>
          </cell>
          <cell r="FX201">
            <v>-309.78699999999935</v>
          </cell>
          <cell r="FY201">
            <v>-57</v>
          </cell>
          <cell r="GA201">
            <v>-366.78699999999935</v>
          </cell>
          <cell r="GB201">
            <v>-371.70543060733547</v>
          </cell>
          <cell r="GC201">
            <v>-841.53449999999884</v>
          </cell>
          <cell r="GD201">
            <v>-852.8190576367997</v>
          </cell>
          <cell r="GE201">
            <v>-474.74749999999949</v>
          </cell>
          <cell r="GF201">
            <v>4.1581932983168182</v>
          </cell>
          <cell r="GG201">
            <v>-1876.3999059970588</v>
          </cell>
          <cell r="GH201">
            <v>0</v>
          </cell>
        </row>
        <row r="202">
          <cell r="A202" t="str">
            <v>DEFERRED TAXES</v>
          </cell>
          <cell r="C202">
            <v>1274.1980000000001</v>
          </cell>
          <cell r="E202">
            <v>0</v>
          </cell>
          <cell r="G202">
            <v>-1706</v>
          </cell>
          <cell r="I202">
            <v>-431.80199999999991</v>
          </cell>
          <cell r="O202">
            <v>116.5</v>
          </cell>
          <cell r="Q202">
            <v>0</v>
          </cell>
          <cell r="S202">
            <v>0</v>
          </cell>
          <cell r="U202">
            <v>0</v>
          </cell>
          <cell r="W202">
            <v>-181.5</v>
          </cell>
          <cell r="X202">
            <v>-181.5</v>
          </cell>
          <cell r="Z202">
            <v>-56.972000000000001</v>
          </cell>
          <cell r="AD202">
            <v>-419.97199999999998</v>
          </cell>
          <cell r="AH202">
            <v>0</v>
          </cell>
          <cell r="AJ202">
            <v>0</v>
          </cell>
          <cell r="AL202">
            <v>-711.50199999999995</v>
          </cell>
          <cell r="AP202">
            <v>-711.50199999999995</v>
          </cell>
          <cell r="AR202">
            <v>0</v>
          </cell>
          <cell r="AT202">
            <v>-1446.7759999999998</v>
          </cell>
          <cell r="AX202">
            <v>-1446.7759999999998</v>
          </cell>
          <cell r="AZ202" t="str">
            <v>DEFERRED TAXES</v>
          </cell>
          <cell r="BC202">
            <v>0</v>
          </cell>
          <cell r="BE202">
            <v>0</v>
          </cell>
          <cell r="BG202">
            <v>0</v>
          </cell>
          <cell r="BI202">
            <v>0</v>
          </cell>
          <cell r="BO202">
            <v>141.5</v>
          </cell>
          <cell r="BQ202">
            <v>0</v>
          </cell>
          <cell r="BS202">
            <v>0</v>
          </cell>
          <cell r="BU202" t="str">
            <v xml:space="preserve"> </v>
          </cell>
          <cell r="BW202">
            <v>-1071.5</v>
          </cell>
          <cell r="BX202">
            <v>-1071.5</v>
          </cell>
          <cell r="BZ202">
            <v>293.47699999999998</v>
          </cell>
          <cell r="CD202">
            <v>-1849.5230000000001</v>
          </cell>
          <cell r="CH202">
            <v>0</v>
          </cell>
          <cell r="CJ202">
            <v>0</v>
          </cell>
          <cell r="CL202">
            <v>-2871</v>
          </cell>
          <cell r="CP202">
            <v>-2871</v>
          </cell>
          <cell r="CR202">
            <v>0</v>
          </cell>
          <cell r="CT202">
            <v>-4579.0230000000001</v>
          </cell>
          <cell r="CU202">
            <v>0</v>
          </cell>
          <cell r="CV202">
            <v>0</v>
          </cell>
          <cell r="CX202">
            <v>-4579.0230000000001</v>
          </cell>
          <cell r="FC202">
            <v>-608.28200000000004</v>
          </cell>
          <cell r="FE202">
            <v>-1121.7408198399999</v>
          </cell>
          <cell r="FF202">
            <v>-1730.02281984</v>
          </cell>
          <cell r="FH202">
            <v>509</v>
          </cell>
          <cell r="FJ202">
            <v>-1283.5</v>
          </cell>
          <cell r="FK202">
            <v>-1283.5</v>
          </cell>
          <cell r="FL202">
            <v>-54</v>
          </cell>
          <cell r="FN202">
            <v>-2621</v>
          </cell>
          <cell r="FO202">
            <v>0</v>
          </cell>
          <cell r="FP202">
            <v>-4225</v>
          </cell>
          <cell r="FR202">
            <v>-4225</v>
          </cell>
          <cell r="FS202">
            <v>0</v>
          </cell>
          <cell r="FT202">
            <v>-8067.02281984</v>
          </cell>
          <cell r="FU202">
            <v>0</v>
          </cell>
          <cell r="FV202">
            <v>-8067.02281984</v>
          </cell>
          <cell r="FW202" t="str">
            <v>DEFERRED TAXES</v>
          </cell>
          <cell r="FX202">
            <v>-2621</v>
          </cell>
          <cell r="FY202">
            <v>-4225</v>
          </cell>
          <cell r="GA202">
            <v>-6846</v>
          </cell>
          <cell r="GB202">
            <v>-6937.8014431749853</v>
          </cell>
          <cell r="GC202">
            <v>-8067.02281984</v>
          </cell>
          <cell r="GD202">
            <v>-8175.197569618972</v>
          </cell>
          <cell r="GE202">
            <v>-1221.02281984</v>
          </cell>
          <cell r="GF202">
            <v>5.5758616536630417</v>
          </cell>
          <cell r="GG202">
            <v>-3680.1071195297195</v>
          </cell>
          <cell r="GH202">
            <v>0</v>
          </cell>
        </row>
        <row r="203">
          <cell r="A203" t="str">
            <v>BANK LONG TERM LOANS</v>
          </cell>
          <cell r="C203">
            <v>-9226.8590000000004</v>
          </cell>
          <cell r="I203">
            <v>-9226.8590000000004</v>
          </cell>
          <cell r="O203">
            <v>-33</v>
          </cell>
          <cell r="Q203">
            <v>-14005.446</v>
          </cell>
          <cell r="U203">
            <v>-14005.446</v>
          </cell>
          <cell r="W203">
            <v>-2099</v>
          </cell>
          <cell r="X203">
            <v>-2099</v>
          </cell>
          <cell r="AD203">
            <v>-18203.446</v>
          </cell>
          <cell r="AJ203">
            <v>0</v>
          </cell>
          <cell r="AL203">
            <v>-27178</v>
          </cell>
          <cell r="AP203">
            <v>-27178</v>
          </cell>
          <cell r="AT203">
            <v>-54641.305</v>
          </cell>
          <cell r="AX203">
            <v>-54641.305</v>
          </cell>
          <cell r="AZ203" t="str">
            <v>BANK LONG TERM LOANS</v>
          </cell>
          <cell r="BC203">
            <v>-38383.699999999997</v>
          </cell>
          <cell r="BI203">
            <v>-38383.699999999997</v>
          </cell>
          <cell r="BO203">
            <v>-136.5</v>
          </cell>
          <cell r="BQ203">
            <v>-58260.652000000002</v>
          </cell>
          <cell r="BU203">
            <v>-58260.652000000002</v>
          </cell>
          <cell r="BW203">
            <v>-8731.5</v>
          </cell>
          <cell r="BX203">
            <v>-8731.5</v>
          </cell>
          <cell r="CD203">
            <v>-75723.652000000002</v>
          </cell>
          <cell r="CJ203">
            <v>0</v>
          </cell>
          <cell r="CL203">
            <v>-113062</v>
          </cell>
          <cell r="CP203">
            <v>-113062</v>
          </cell>
          <cell r="CT203">
            <v>-227305.85200000001</v>
          </cell>
          <cell r="CU203">
            <v>0</v>
          </cell>
          <cell r="CX203">
            <v>-227305.85200000001</v>
          </cell>
          <cell r="FC203">
            <v>-38383.732000000004</v>
          </cell>
          <cell r="FF203">
            <v>-38383.732000000004</v>
          </cell>
          <cell r="FH203">
            <v>-136.5</v>
          </cell>
          <cell r="FI203">
            <v>-58260.652000000002</v>
          </cell>
          <cell r="FJ203">
            <v>-8731.5</v>
          </cell>
          <cell r="FK203">
            <v>-8731.5</v>
          </cell>
          <cell r="FN203">
            <v>-75723.652000000002</v>
          </cell>
          <cell r="FO203">
            <v>0</v>
          </cell>
          <cell r="FP203">
            <v>-113062</v>
          </cell>
          <cell r="FR203">
            <v>-113062</v>
          </cell>
          <cell r="FS203">
            <v>0</v>
          </cell>
          <cell r="FT203">
            <v>-227305.88400000002</v>
          </cell>
          <cell r="FV203">
            <v>-227305.88400000002</v>
          </cell>
          <cell r="FW203" t="str">
            <v>BANK LONG TERM LOANS</v>
          </cell>
          <cell r="FX203">
            <v>-75723.652000000002</v>
          </cell>
          <cell r="FY203">
            <v>-113062</v>
          </cell>
          <cell r="GA203">
            <v>-188785.652</v>
          </cell>
          <cell r="GB203">
            <v>-191317.17337077571</v>
          </cell>
          <cell r="GC203">
            <v>-227305.88400000002</v>
          </cell>
          <cell r="GD203">
            <v>-230353.94245652435</v>
          </cell>
          <cell r="GE203">
            <v>-38520.232000000018</v>
          </cell>
          <cell r="GF203">
            <v>4.1599644078778866</v>
          </cell>
          <cell r="GG203">
            <v>-179033.82779555846</v>
          </cell>
          <cell r="GH203">
            <v>0</v>
          </cell>
        </row>
        <row r="204">
          <cell r="A204" t="str">
            <v>Less current maturity</v>
          </cell>
          <cell r="C204">
            <v>704.9</v>
          </cell>
          <cell r="I204">
            <v>704.9</v>
          </cell>
          <cell r="O204">
            <v>22</v>
          </cell>
          <cell r="Q204">
            <v>1743.2809999999999</v>
          </cell>
          <cell r="U204">
            <v>1743.2809999999999</v>
          </cell>
          <cell r="W204">
            <v>1808.5</v>
          </cell>
          <cell r="X204">
            <v>1808.5</v>
          </cell>
          <cell r="AD204">
            <v>5360.2809999999999</v>
          </cell>
          <cell r="AJ204">
            <v>0</v>
          </cell>
          <cell r="AL204">
            <v>6067.473</v>
          </cell>
          <cell r="AP204">
            <v>6067.473</v>
          </cell>
          <cell r="AT204">
            <v>12154.653999999999</v>
          </cell>
          <cell r="AX204">
            <v>12154.653999999999</v>
          </cell>
          <cell r="AZ204" t="str">
            <v>Less current maturity</v>
          </cell>
          <cell r="BC204">
            <v>2575.0320000000002</v>
          </cell>
          <cell r="BG204">
            <v>0</v>
          </cell>
          <cell r="BI204">
            <v>2575.0320000000002</v>
          </cell>
          <cell r="BO204">
            <v>90.5</v>
          </cell>
          <cell r="BQ204">
            <v>7252.0470000000005</v>
          </cell>
          <cell r="BU204">
            <v>7252.0470000000005</v>
          </cell>
          <cell r="BW204">
            <v>7523</v>
          </cell>
          <cell r="BX204">
            <v>7523</v>
          </cell>
          <cell r="CD204">
            <v>22298.046999999999</v>
          </cell>
          <cell r="CJ204">
            <v>0</v>
          </cell>
          <cell r="CL204">
            <v>25241</v>
          </cell>
          <cell r="CP204">
            <v>25241</v>
          </cell>
          <cell r="CT204">
            <v>50204.578999999998</v>
          </cell>
          <cell r="CU204">
            <v>0</v>
          </cell>
          <cell r="CX204">
            <v>50204.578999999998</v>
          </cell>
          <cell r="FC204">
            <v>2932.384</v>
          </cell>
          <cell r="FF204">
            <v>2932.384</v>
          </cell>
          <cell r="FH204">
            <v>90.5</v>
          </cell>
          <cell r="FI204">
            <v>7252.0470000000005</v>
          </cell>
          <cell r="FJ204">
            <v>7523</v>
          </cell>
          <cell r="FK204">
            <v>7523</v>
          </cell>
          <cell r="FN204">
            <v>22298.046999999999</v>
          </cell>
          <cell r="FO204">
            <v>0</v>
          </cell>
          <cell r="FP204">
            <v>25241</v>
          </cell>
          <cell r="FR204">
            <v>25241</v>
          </cell>
          <cell r="FS204">
            <v>0</v>
          </cell>
          <cell r="FT204">
            <v>50561.930999999997</v>
          </cell>
          <cell r="FV204">
            <v>50561.930999999997</v>
          </cell>
          <cell r="FW204" t="str">
            <v>Less current maturity</v>
          </cell>
          <cell r="FX204">
            <v>22298.046999999999</v>
          </cell>
          <cell r="FY204">
            <v>25241</v>
          </cell>
          <cell r="GA204">
            <v>47539.046999999999</v>
          </cell>
          <cell r="GB204">
            <v>48176.52189362597</v>
          </cell>
          <cell r="GC204">
            <v>50561.930999999997</v>
          </cell>
          <cell r="GD204">
            <v>51239.941259350569</v>
          </cell>
          <cell r="GE204">
            <v>3022.8839999999982</v>
          </cell>
          <cell r="GF204">
            <v>4.1598823792104653</v>
          </cell>
          <cell r="GG204">
            <v>27337.758290006532</v>
          </cell>
          <cell r="GH204">
            <v>0</v>
          </cell>
        </row>
        <row r="205">
          <cell r="A205" t="str">
            <v>Total long term loans from banks</v>
          </cell>
          <cell r="C205">
            <v>-8521.9590000000007</v>
          </cell>
          <cell r="E205">
            <v>0</v>
          </cell>
          <cell r="G205">
            <v>0</v>
          </cell>
          <cell r="I205">
            <v>-8521.9590000000007</v>
          </cell>
          <cell r="O205">
            <v>-11</v>
          </cell>
          <cell r="Q205">
            <v>-12262.165000000001</v>
          </cell>
          <cell r="S205">
            <v>0</v>
          </cell>
          <cell r="U205">
            <v>-12262.165000000001</v>
          </cell>
          <cell r="W205">
            <v>-290.5</v>
          </cell>
          <cell r="X205">
            <v>-290.5</v>
          </cell>
          <cell r="Z205">
            <v>0</v>
          </cell>
          <cell r="AB205">
            <v>0</v>
          </cell>
          <cell r="AD205">
            <v>-12843.165000000001</v>
          </cell>
          <cell r="AF205">
            <v>0</v>
          </cell>
          <cell r="AH205">
            <v>0</v>
          </cell>
          <cell r="AJ205">
            <v>0</v>
          </cell>
          <cell r="AL205">
            <v>-21110.527000000002</v>
          </cell>
          <cell r="AN205">
            <v>0</v>
          </cell>
          <cell r="AP205">
            <v>-21110.527000000002</v>
          </cell>
          <cell r="AR205">
            <v>0</v>
          </cell>
          <cell r="AT205">
            <v>-42486.650999999998</v>
          </cell>
          <cell r="AV205">
            <v>0</v>
          </cell>
          <cell r="AX205">
            <v>-42486.650999999998</v>
          </cell>
          <cell r="AZ205" t="str">
            <v>Total long term loans from banks</v>
          </cell>
          <cell r="BC205">
            <v>-35808.667999999998</v>
          </cell>
          <cell r="BE205">
            <v>0</v>
          </cell>
          <cell r="BG205">
            <v>0</v>
          </cell>
          <cell r="BI205">
            <v>-35808.667999999998</v>
          </cell>
          <cell r="BO205">
            <v>-46</v>
          </cell>
          <cell r="BQ205">
            <v>-51008.605000000003</v>
          </cell>
          <cell r="BS205">
            <v>0</v>
          </cell>
          <cell r="BU205">
            <v>-51008.605000000003</v>
          </cell>
          <cell r="BW205">
            <v>-1208.5</v>
          </cell>
          <cell r="BX205">
            <v>-1208.5</v>
          </cell>
          <cell r="BZ205">
            <v>0</v>
          </cell>
          <cell r="CB205">
            <v>0</v>
          </cell>
          <cell r="CD205">
            <v>-53425.605000000003</v>
          </cell>
          <cell r="CF205">
            <v>0</v>
          </cell>
          <cell r="CH205">
            <v>0</v>
          </cell>
          <cell r="CJ205">
            <v>0</v>
          </cell>
          <cell r="CL205">
            <v>-87821</v>
          </cell>
          <cell r="CN205">
            <v>0</v>
          </cell>
          <cell r="CP205">
            <v>-87821</v>
          </cell>
          <cell r="CR205">
            <v>0</v>
          </cell>
          <cell r="CT205">
            <v>-177101.27300000002</v>
          </cell>
          <cell r="CU205">
            <v>0</v>
          </cell>
          <cell r="CV205">
            <v>0</v>
          </cell>
          <cell r="CX205">
            <v>-177101.27300000002</v>
          </cell>
          <cell r="FC205">
            <v>-35451.348000000005</v>
          </cell>
          <cell r="FD205">
            <v>0</v>
          </cell>
          <cell r="FE205">
            <v>0</v>
          </cell>
          <cell r="FF205">
            <v>-35451.348000000005</v>
          </cell>
          <cell r="FG205">
            <v>0</v>
          </cell>
          <cell r="FH205">
            <v>-46</v>
          </cell>
          <cell r="FI205">
            <v>-51008.605000000003</v>
          </cell>
          <cell r="FJ205">
            <v>-1208.5</v>
          </cell>
          <cell r="FK205">
            <v>-1208.5</v>
          </cell>
          <cell r="FL205">
            <v>0</v>
          </cell>
          <cell r="FM205">
            <v>0</v>
          </cell>
          <cell r="FN205">
            <v>-53425.605000000003</v>
          </cell>
          <cell r="FO205">
            <v>0</v>
          </cell>
          <cell r="FP205">
            <v>-87821</v>
          </cell>
          <cell r="FQ205">
            <v>0</v>
          </cell>
          <cell r="FR205">
            <v>-87821</v>
          </cell>
          <cell r="FS205">
            <v>0</v>
          </cell>
          <cell r="FT205">
            <v>-176743.95300000004</v>
          </cell>
          <cell r="FU205">
            <v>0</v>
          </cell>
          <cell r="FV205">
            <v>-176743.95300000004</v>
          </cell>
          <cell r="FW205" t="str">
            <v>Total long term loans from banks</v>
          </cell>
          <cell r="FX205">
            <v>-53425.605000000003</v>
          </cell>
          <cell r="FY205">
            <v>-87821</v>
          </cell>
          <cell r="FZ205">
            <v>0</v>
          </cell>
          <cell r="GA205">
            <v>-141246.60500000001</v>
          </cell>
          <cell r="GB205">
            <v>-143140.65147714975</v>
          </cell>
          <cell r="GC205">
            <v>-176743.95300000004</v>
          </cell>
          <cell r="GD205">
            <v>-179114.00119717378</v>
          </cell>
          <cell r="GE205">
            <v>-35497.34800000002</v>
          </cell>
          <cell r="GF205">
            <v>4.1599878747797758</v>
          </cell>
          <cell r="GG205">
            <v>-151696.06950555192</v>
          </cell>
          <cell r="GH205">
            <v>0</v>
          </cell>
        </row>
        <row r="206">
          <cell r="A206" t="str">
            <v>RELATED LONG TERM LOANS</v>
          </cell>
          <cell r="AT206">
            <v>0</v>
          </cell>
          <cell r="AZ206" t="str">
            <v>RELATED LONG TERM LOANS</v>
          </cell>
          <cell r="BX206">
            <v>0</v>
          </cell>
          <cell r="CD206">
            <v>0</v>
          </cell>
          <cell r="CT206">
            <v>0</v>
          </cell>
          <cell r="CU206">
            <v>0</v>
          </cell>
          <cell r="FS206">
            <v>0</v>
          </cell>
          <cell r="FW206" t="str">
            <v>RELATED LONG TERM LOANS</v>
          </cell>
          <cell r="FX206">
            <v>0</v>
          </cell>
          <cell r="FY206">
            <v>0</v>
          </cell>
          <cell r="GA206">
            <v>0</v>
          </cell>
          <cell r="GB206">
            <v>0</v>
          </cell>
          <cell r="GC206">
            <v>0</v>
          </cell>
          <cell r="GD206">
            <v>0</v>
          </cell>
          <cell r="GE206">
            <v>0</v>
          </cell>
          <cell r="GF206" t="e">
            <v>#DIV/0!</v>
          </cell>
          <cell r="GH206">
            <v>0</v>
          </cell>
        </row>
        <row r="207">
          <cell r="A207" t="str">
            <v>AUREC</v>
          </cell>
          <cell r="C207">
            <v>-217.54699999999957</v>
          </cell>
          <cell r="G207">
            <v>-315.56</v>
          </cell>
          <cell r="I207">
            <v>-533.10699999999952</v>
          </cell>
          <cell r="U207">
            <v>0</v>
          </cell>
          <cell r="AD207">
            <v>0</v>
          </cell>
          <cell r="AJ207">
            <v>0</v>
          </cell>
          <cell r="AP207">
            <v>0</v>
          </cell>
          <cell r="AT207">
            <v>-533.10699999999952</v>
          </cell>
          <cell r="AX207">
            <v>-533.10699999999952</v>
          </cell>
          <cell r="AZ207" t="str">
            <v>AUREC</v>
          </cell>
          <cell r="BC207">
            <v>843.38299999999981</v>
          </cell>
          <cell r="BE207">
            <v>0</v>
          </cell>
          <cell r="BG207">
            <v>-3061.3550000000005</v>
          </cell>
          <cell r="BI207">
            <v>-2217.9720000000007</v>
          </cell>
          <cell r="BU207">
            <v>0</v>
          </cell>
          <cell r="BX207">
            <v>0</v>
          </cell>
          <cell r="CD207">
            <v>0</v>
          </cell>
          <cell r="CJ207">
            <v>0</v>
          </cell>
          <cell r="CP207">
            <v>0</v>
          </cell>
          <cell r="CT207">
            <v>-2217.9720000000007</v>
          </cell>
          <cell r="CU207">
            <v>0</v>
          </cell>
          <cell r="CV207">
            <v>0</v>
          </cell>
          <cell r="CX207">
            <v>-2217.9720000000007</v>
          </cell>
          <cell r="FC207">
            <v>-2217.9720000000016</v>
          </cell>
          <cell r="FF207">
            <v>-2217.9720000000016</v>
          </cell>
          <cell r="FN207">
            <v>0</v>
          </cell>
          <cell r="FO207">
            <v>0</v>
          </cell>
          <cell r="FR207">
            <v>0</v>
          </cell>
          <cell r="FS207">
            <v>0</v>
          </cell>
          <cell r="FT207">
            <v>-2217.9720000000016</v>
          </cell>
          <cell r="FU207">
            <v>0</v>
          </cell>
          <cell r="FV207">
            <v>-2217.9720000000016</v>
          </cell>
          <cell r="FW207" t="str">
            <v>AUREC</v>
          </cell>
          <cell r="FX207">
            <v>0</v>
          </cell>
          <cell r="FY207">
            <v>0</v>
          </cell>
          <cell r="GA207">
            <v>0</v>
          </cell>
          <cell r="GB207">
            <v>0</v>
          </cell>
          <cell r="GC207">
            <v>-2217.9720000000016</v>
          </cell>
          <cell r="GD207">
            <v>-2247.7138975345774</v>
          </cell>
          <cell r="GE207">
            <v>-2217.9720000000016</v>
          </cell>
          <cell r="GF207">
            <v>4.1604630965265956</v>
          </cell>
          <cell r="GG207">
            <v>-14798.536253429133</v>
          </cell>
          <cell r="GH207">
            <v>0</v>
          </cell>
        </row>
        <row r="208">
          <cell r="A208" t="str">
            <v>ELNET-CAP.NOTE</v>
          </cell>
          <cell r="C208">
            <v>-40384.614999999998</v>
          </cell>
          <cell r="I208">
            <v>-40384.614999999998</v>
          </cell>
          <cell r="U208">
            <v>0</v>
          </cell>
          <cell r="AD208">
            <v>0</v>
          </cell>
          <cell r="AJ208">
            <v>0</v>
          </cell>
          <cell r="AP208">
            <v>0</v>
          </cell>
          <cell r="AT208">
            <v>-40384.614999999998</v>
          </cell>
          <cell r="AV208">
            <v>0</v>
          </cell>
          <cell r="AX208">
            <v>-40384.614999999998</v>
          </cell>
          <cell r="AZ208" t="str">
            <v>ELNET-CAP.NOTE</v>
          </cell>
          <cell r="BC208">
            <v>-168000</v>
          </cell>
          <cell r="BE208">
            <v>0</v>
          </cell>
          <cell r="BI208">
            <v>-168000</v>
          </cell>
          <cell r="BU208">
            <v>0</v>
          </cell>
          <cell r="BX208">
            <v>0</v>
          </cell>
          <cell r="CD208">
            <v>0</v>
          </cell>
          <cell r="CJ208">
            <v>0</v>
          </cell>
          <cell r="CP208">
            <v>0</v>
          </cell>
          <cell r="CT208">
            <v>-168000</v>
          </cell>
          <cell r="CU208">
            <v>0</v>
          </cell>
          <cell r="CV208">
            <v>0</v>
          </cell>
          <cell r="CX208">
            <v>-168000</v>
          </cell>
          <cell r="FC208">
            <v>-168000</v>
          </cell>
          <cell r="FF208">
            <v>-168000</v>
          </cell>
          <cell r="FN208">
            <v>0</v>
          </cell>
          <cell r="FO208">
            <v>0</v>
          </cell>
          <cell r="FR208">
            <v>0</v>
          </cell>
          <cell r="FS208">
            <v>0</v>
          </cell>
          <cell r="FT208">
            <v>-168000</v>
          </cell>
          <cell r="FU208">
            <v>0</v>
          </cell>
          <cell r="FV208">
            <v>-168000</v>
          </cell>
          <cell r="FW208" t="str">
            <v>ELNET-CAP.NOTE</v>
          </cell>
          <cell r="FX208">
            <v>0</v>
          </cell>
          <cell r="FY208">
            <v>0</v>
          </cell>
          <cell r="GA208">
            <v>0</v>
          </cell>
          <cell r="GB208">
            <v>0</v>
          </cell>
          <cell r="GC208">
            <v>-168000</v>
          </cell>
          <cell r="GD208">
            <v>-170252.79615153337</v>
          </cell>
          <cell r="GE208">
            <v>-168000</v>
          </cell>
          <cell r="GF208">
            <v>4.1600000396190486</v>
          </cell>
          <cell r="GG208">
            <v>0</v>
          </cell>
          <cell r="GH208">
            <v>0</v>
          </cell>
        </row>
        <row r="209">
          <cell r="A209" t="str">
            <v>ELNET-LOANS</v>
          </cell>
          <cell r="C209">
            <v>-13293.025</v>
          </cell>
          <cell r="G209">
            <v>-1400.6289999999999</v>
          </cell>
          <cell r="I209">
            <v>-14693.653999999999</v>
          </cell>
          <cell r="U209">
            <v>0</v>
          </cell>
          <cell r="AD209">
            <v>0</v>
          </cell>
          <cell r="AJ209">
            <v>0</v>
          </cell>
          <cell r="AP209">
            <v>0</v>
          </cell>
          <cell r="AT209">
            <v>-14693.653999999999</v>
          </cell>
          <cell r="AV209">
            <v>0</v>
          </cell>
          <cell r="AX209">
            <v>-14693.653999999999</v>
          </cell>
          <cell r="AZ209" t="str">
            <v>ELNET-LOANS</v>
          </cell>
          <cell r="BC209">
            <v>-43783.964999999997</v>
          </cell>
          <cell r="BG209">
            <v>-17341.833999999999</v>
          </cell>
          <cell r="BI209">
            <v>-61125.798999999999</v>
          </cell>
          <cell r="BU209">
            <v>0</v>
          </cell>
          <cell r="BX209">
            <v>0</v>
          </cell>
          <cell r="CD209">
            <v>0</v>
          </cell>
          <cell r="CJ209">
            <v>0</v>
          </cell>
          <cell r="CP209">
            <v>0</v>
          </cell>
          <cell r="CT209">
            <v>-61125.798999999999</v>
          </cell>
          <cell r="CU209">
            <v>0</v>
          </cell>
          <cell r="CV209">
            <v>0</v>
          </cell>
          <cell r="CX209">
            <v>-61125.798999999999</v>
          </cell>
          <cell r="FC209">
            <v>-58400.798999999999</v>
          </cell>
          <cell r="FE209">
            <v>-2725</v>
          </cell>
          <cell r="FF209">
            <v>-61125.798999999999</v>
          </cell>
          <cell r="FN209">
            <v>0</v>
          </cell>
          <cell r="FO209">
            <v>0</v>
          </cell>
          <cell r="FR209">
            <v>0</v>
          </cell>
          <cell r="FS209">
            <v>0</v>
          </cell>
          <cell r="FT209">
            <v>-61125.798999999999</v>
          </cell>
          <cell r="FU209">
            <v>0</v>
          </cell>
          <cell r="FV209">
            <v>-61125.798999999999</v>
          </cell>
          <cell r="FW209" t="str">
            <v>ELNET-LOANS</v>
          </cell>
          <cell r="FX209">
            <v>0</v>
          </cell>
          <cell r="FY209">
            <v>0</v>
          </cell>
          <cell r="GA209">
            <v>0</v>
          </cell>
          <cell r="GB209">
            <v>0</v>
          </cell>
          <cell r="GC209">
            <v>-61125.798999999999</v>
          </cell>
          <cell r="GD209">
            <v>-61945.465456825012</v>
          </cell>
          <cell r="GE209">
            <v>-61125.798999999999</v>
          </cell>
          <cell r="GF209">
            <v>4.160013499705383</v>
          </cell>
          <cell r="GG209">
            <v>-118697.75140822993</v>
          </cell>
          <cell r="GH209">
            <v>0</v>
          </cell>
        </row>
        <row r="210">
          <cell r="A210" t="str">
            <v>ALIS</v>
          </cell>
          <cell r="I210">
            <v>0</v>
          </cell>
          <cell r="U210">
            <v>0</v>
          </cell>
          <cell r="AD210">
            <v>0</v>
          </cell>
          <cell r="AF210">
            <v>-260.149</v>
          </cell>
          <cell r="AJ210">
            <v>-260.149</v>
          </cell>
          <cell r="AP210">
            <v>-260.149</v>
          </cell>
          <cell r="AR210">
            <v>-15017.421</v>
          </cell>
          <cell r="AT210">
            <v>-15277.57</v>
          </cell>
          <cell r="AV210">
            <v>15277.57</v>
          </cell>
          <cell r="AX210">
            <v>0</v>
          </cell>
          <cell r="AZ210" t="str">
            <v>ALIS</v>
          </cell>
          <cell r="BE210">
            <v>0</v>
          </cell>
          <cell r="BI210">
            <v>0</v>
          </cell>
          <cell r="BU210">
            <v>0</v>
          </cell>
          <cell r="BX210">
            <v>0</v>
          </cell>
          <cell r="CD210">
            <v>0</v>
          </cell>
          <cell r="CF210">
            <v>-1082.2190000000001</v>
          </cell>
          <cell r="CJ210">
            <v>-1082.2190000000001</v>
          </cell>
          <cell r="CP210">
            <v>-1082.2190000000001</v>
          </cell>
          <cell r="CR210">
            <v>-62472.469000000005</v>
          </cell>
          <cell r="CT210">
            <v>-63554.688000000002</v>
          </cell>
          <cell r="CU210">
            <v>0</v>
          </cell>
          <cell r="CV210">
            <v>63554.688000000002</v>
          </cell>
          <cell r="CX210">
            <v>0</v>
          </cell>
          <cell r="FN210">
            <v>0</v>
          </cell>
          <cell r="FO210">
            <v>-1082.2190000000001</v>
          </cell>
          <cell r="FR210">
            <v>-1082.2190000000001</v>
          </cell>
          <cell r="FS210">
            <v>-62472.469000000005</v>
          </cell>
          <cell r="FT210">
            <v>-63554.688000000002</v>
          </cell>
          <cell r="FU210">
            <v>63554.688000000002</v>
          </cell>
          <cell r="FV210">
            <v>0</v>
          </cell>
          <cell r="FW210" t="str">
            <v>ALIS</v>
          </cell>
          <cell r="FX210">
            <v>0</v>
          </cell>
          <cell r="FY210">
            <v>-1082.2190000000001</v>
          </cell>
          <cell r="GA210">
            <v>-1082.2190000000001</v>
          </cell>
          <cell r="GB210">
            <v>-1096.7310166566444</v>
          </cell>
          <cell r="GC210">
            <v>0</v>
          </cell>
          <cell r="GD210">
            <v>0</v>
          </cell>
          <cell r="GE210">
            <v>1082.2190000000001</v>
          </cell>
          <cell r="GF210" t="e">
            <v>#DIV/0!</v>
          </cell>
          <cell r="GG210">
            <v>0</v>
          </cell>
          <cell r="GH210">
            <v>0</v>
          </cell>
        </row>
        <row r="211">
          <cell r="A211" t="str">
            <v>IEDIOT</v>
          </cell>
          <cell r="G211">
            <v>0</v>
          </cell>
          <cell r="I211">
            <v>0</v>
          </cell>
          <cell r="U211">
            <v>0</v>
          </cell>
          <cell r="AD211">
            <v>0</v>
          </cell>
          <cell r="AF211">
            <v>-118.869</v>
          </cell>
          <cell r="AJ211">
            <v>-118.869</v>
          </cell>
          <cell r="AP211">
            <v>-118.869</v>
          </cell>
          <cell r="AR211">
            <v>-6457.37</v>
          </cell>
          <cell r="AT211">
            <v>-6576.2389999999996</v>
          </cell>
          <cell r="AX211">
            <v>-6576.2389999999996</v>
          </cell>
          <cell r="AZ211" t="str">
            <v>IEDIOT</v>
          </cell>
          <cell r="BG211">
            <v>0</v>
          </cell>
          <cell r="BI211">
            <v>0</v>
          </cell>
          <cell r="BU211">
            <v>0</v>
          </cell>
          <cell r="BX211">
            <v>0</v>
          </cell>
          <cell r="CD211">
            <v>0</v>
          </cell>
          <cell r="CF211">
            <v>-494.495</v>
          </cell>
          <cell r="CJ211">
            <v>-494.495</v>
          </cell>
          <cell r="CP211">
            <v>-494.495</v>
          </cell>
          <cell r="CR211">
            <v>-26862.66</v>
          </cell>
          <cell r="CT211">
            <v>-27357.154999999999</v>
          </cell>
          <cell r="CU211">
            <v>0</v>
          </cell>
          <cell r="CV211">
            <v>0</v>
          </cell>
          <cell r="CX211">
            <v>-27357.154999999999</v>
          </cell>
          <cell r="FE211">
            <v>0</v>
          </cell>
          <cell r="FN211">
            <v>0</v>
          </cell>
          <cell r="FO211">
            <v>-494.495</v>
          </cell>
          <cell r="FR211">
            <v>-494.495</v>
          </cell>
          <cell r="FS211">
            <v>-26862.66</v>
          </cell>
          <cell r="FT211">
            <v>-27357.154999999999</v>
          </cell>
          <cell r="FU211">
            <v>0</v>
          </cell>
          <cell r="FV211">
            <v>-27357.154999999999</v>
          </cell>
          <cell r="FW211" t="str">
            <v>IEDIOT</v>
          </cell>
          <cell r="FX211">
            <v>0</v>
          </cell>
          <cell r="FY211">
            <v>-494.495</v>
          </cell>
          <cell r="GA211">
            <v>-494.495</v>
          </cell>
          <cell r="GB211">
            <v>-501.12593114852672</v>
          </cell>
          <cell r="GC211">
            <v>-27357.154999999999</v>
          </cell>
          <cell r="GD211">
            <v>-27724.000794648226</v>
          </cell>
          <cell r="GE211">
            <v>-26862.66</v>
          </cell>
          <cell r="GF211">
            <v>4.1600001155675761</v>
          </cell>
          <cell r="GG211">
            <v>-24617.503057822021</v>
          </cell>
          <cell r="GH211">
            <v>0</v>
          </cell>
        </row>
        <row r="212">
          <cell r="A212" t="str">
            <v>MONITIN</v>
          </cell>
          <cell r="G212">
            <v>0</v>
          </cell>
          <cell r="I212">
            <v>0</v>
          </cell>
          <cell r="U212">
            <v>0</v>
          </cell>
          <cell r="AD212">
            <v>0</v>
          </cell>
          <cell r="AJ212">
            <v>0</v>
          </cell>
          <cell r="AN212">
            <v>0</v>
          </cell>
          <cell r="AP212">
            <v>0</v>
          </cell>
          <cell r="AT212">
            <v>0</v>
          </cell>
          <cell r="AV212">
            <v>0</v>
          </cell>
          <cell r="AX212">
            <v>0</v>
          </cell>
          <cell r="AZ212" t="str">
            <v>MONITIN</v>
          </cell>
          <cell r="BE212">
            <v>0</v>
          </cell>
          <cell r="BG212">
            <v>0</v>
          </cell>
          <cell r="BI212">
            <v>0</v>
          </cell>
          <cell r="BU212">
            <v>0</v>
          </cell>
          <cell r="BX212">
            <v>0</v>
          </cell>
          <cell r="CD212">
            <v>0</v>
          </cell>
          <cell r="CJ212">
            <v>0</v>
          </cell>
          <cell r="CN212">
            <v>0</v>
          </cell>
          <cell r="CP212">
            <v>0</v>
          </cell>
          <cell r="CT212">
            <v>0</v>
          </cell>
          <cell r="CU212">
            <v>0</v>
          </cell>
          <cell r="CV212">
            <v>0</v>
          </cell>
          <cell r="CX212">
            <v>0</v>
          </cell>
          <cell r="FE212">
            <v>0</v>
          </cell>
          <cell r="FN212">
            <v>0</v>
          </cell>
          <cell r="FO212">
            <v>0</v>
          </cell>
          <cell r="FQ212">
            <v>0</v>
          </cell>
          <cell r="FR212">
            <v>0</v>
          </cell>
          <cell r="FS212">
            <v>0</v>
          </cell>
          <cell r="FT212">
            <v>0</v>
          </cell>
          <cell r="FU212">
            <v>0</v>
          </cell>
          <cell r="FV212">
            <v>0</v>
          </cell>
          <cell r="FW212" t="str">
            <v>MONITIN</v>
          </cell>
          <cell r="FX212">
            <v>0</v>
          </cell>
          <cell r="FY212">
            <v>0</v>
          </cell>
          <cell r="GA212">
            <v>0</v>
          </cell>
          <cell r="GB212">
            <v>0</v>
          </cell>
          <cell r="GC212">
            <v>0</v>
          </cell>
          <cell r="GD212">
            <v>0</v>
          </cell>
          <cell r="GE212">
            <v>0</v>
          </cell>
          <cell r="GF212" t="e">
            <v>#DIV/0!</v>
          </cell>
          <cell r="GG212">
            <v>-2309.747325930764</v>
          </cell>
          <cell r="GH212">
            <v>0</v>
          </cell>
        </row>
        <row r="213">
          <cell r="A213" t="str">
            <v>G.C.&amp; CO.</v>
          </cell>
          <cell r="M213">
            <v>0</v>
          </cell>
          <cell r="Z213">
            <v>-1046.6179999999999</v>
          </cell>
          <cell r="AB213">
            <v>1046.6179999999999</v>
          </cell>
          <cell r="AD213">
            <v>0</v>
          </cell>
          <cell r="AJ213">
            <v>0</v>
          </cell>
          <cell r="AP213">
            <v>0</v>
          </cell>
          <cell r="AT213">
            <v>0</v>
          </cell>
          <cell r="AX213">
            <v>0</v>
          </cell>
          <cell r="AZ213" t="str">
            <v>G.C.&amp; CO.</v>
          </cell>
          <cell r="BX213">
            <v>0</v>
          </cell>
          <cell r="BZ213">
            <v>-4353.9319999999998</v>
          </cell>
          <cell r="CB213">
            <v>4353.9319999999998</v>
          </cell>
          <cell r="CD213">
            <v>0</v>
          </cell>
          <cell r="CJ213">
            <v>0</v>
          </cell>
          <cell r="CP213">
            <v>0</v>
          </cell>
          <cell r="CT213">
            <v>0</v>
          </cell>
          <cell r="CU213">
            <v>0</v>
          </cell>
          <cell r="CX213">
            <v>0</v>
          </cell>
          <cell r="FG213">
            <v>0</v>
          </cell>
          <cell r="FL213">
            <v>-4353.9319999999998</v>
          </cell>
          <cell r="FM213">
            <v>4353.9319999999998</v>
          </cell>
          <cell r="FN213">
            <v>0</v>
          </cell>
          <cell r="FO213">
            <v>0</v>
          </cell>
          <cell r="FR213">
            <v>0</v>
          </cell>
          <cell r="FS213">
            <v>0</v>
          </cell>
          <cell r="FT213">
            <v>0</v>
          </cell>
          <cell r="FU213">
            <v>0</v>
          </cell>
          <cell r="FV213">
            <v>0</v>
          </cell>
          <cell r="FW213" t="str">
            <v>G.C.&amp; CO.</v>
          </cell>
          <cell r="FX213">
            <v>0</v>
          </cell>
          <cell r="FY213">
            <v>0</v>
          </cell>
          <cell r="GA213">
            <v>0</v>
          </cell>
          <cell r="GB213">
            <v>0</v>
          </cell>
          <cell r="GC213">
            <v>0</v>
          </cell>
          <cell r="GD213">
            <v>0</v>
          </cell>
          <cell r="GE213">
            <v>0</v>
          </cell>
          <cell r="GF213" t="e">
            <v>#DIV/0!</v>
          </cell>
          <cell r="GG213">
            <v>0</v>
          </cell>
          <cell r="GH213">
            <v>0</v>
          </cell>
        </row>
        <row r="214">
          <cell r="A214" t="str">
            <v>SIGNAL</v>
          </cell>
          <cell r="W214">
            <v>-125.5</v>
          </cell>
          <cell r="X214">
            <v>-125.5</v>
          </cell>
          <cell r="Z214">
            <v>-448.55099999999999</v>
          </cell>
          <cell r="AD214">
            <v>-699.55099999999993</v>
          </cell>
          <cell r="AJ214">
            <v>0</v>
          </cell>
          <cell r="AP214">
            <v>0</v>
          </cell>
          <cell r="AT214">
            <v>-699.55099999999993</v>
          </cell>
          <cell r="AX214">
            <v>-699.55099999999993</v>
          </cell>
          <cell r="AZ214" t="str">
            <v>SIGNAL</v>
          </cell>
          <cell r="BW214">
            <v>-523</v>
          </cell>
          <cell r="BX214">
            <v>-523</v>
          </cell>
          <cell r="BZ214">
            <v>-1865.971</v>
          </cell>
          <cell r="CD214">
            <v>-2911.971</v>
          </cell>
          <cell r="CJ214">
            <v>0</v>
          </cell>
          <cell r="CP214">
            <v>0</v>
          </cell>
          <cell r="CT214">
            <v>-2911.971</v>
          </cell>
          <cell r="CU214">
            <v>0</v>
          </cell>
          <cell r="CX214">
            <v>-2911.971</v>
          </cell>
          <cell r="FJ214">
            <v>-523</v>
          </cell>
          <cell r="FK214">
            <v>-523</v>
          </cell>
          <cell r="FL214">
            <v>-1865.971</v>
          </cell>
          <cell r="FN214">
            <v>-2911.971</v>
          </cell>
          <cell r="FO214">
            <v>0</v>
          </cell>
          <cell r="FR214">
            <v>0</v>
          </cell>
          <cell r="FS214">
            <v>0</v>
          </cell>
          <cell r="FT214">
            <v>-2911.971</v>
          </cell>
          <cell r="FV214">
            <v>-2911.971</v>
          </cell>
          <cell r="FW214" t="str">
            <v>SIGNAL</v>
          </cell>
          <cell r="FX214">
            <v>-2911.971</v>
          </cell>
          <cell r="FY214">
            <v>0</v>
          </cell>
          <cell r="GA214">
            <v>-2911.971</v>
          </cell>
          <cell r="GB214">
            <v>-2951.0190777510525</v>
          </cell>
          <cell r="GC214">
            <v>-2911.971</v>
          </cell>
          <cell r="GD214">
            <v>-2951.0190777510525</v>
          </cell>
          <cell r="GE214">
            <v>0</v>
          </cell>
          <cell r="GF214">
            <v>4.1626286003450792</v>
          </cell>
          <cell r="GG214">
            <v>-1865.9359381131444</v>
          </cell>
          <cell r="GH214">
            <v>0</v>
          </cell>
        </row>
        <row r="215">
          <cell r="C215">
            <v>-53895.186999999998</v>
          </cell>
          <cell r="E215">
            <v>0</v>
          </cell>
          <cell r="G215">
            <v>-1716.1889999999999</v>
          </cell>
          <cell r="I215">
            <v>-55611.375999999989</v>
          </cell>
          <cell r="O215">
            <v>0</v>
          </cell>
          <cell r="Q215">
            <v>0</v>
          </cell>
          <cell r="S215">
            <v>0</v>
          </cell>
          <cell r="U215">
            <v>0</v>
          </cell>
          <cell r="W215">
            <v>-125.5</v>
          </cell>
          <cell r="X215">
            <v>-125.5</v>
          </cell>
          <cell r="Z215">
            <v>-1495.1689999999999</v>
          </cell>
          <cell r="AB215">
            <v>1046.6179999999999</v>
          </cell>
          <cell r="AD215">
            <v>-699.55099999999993</v>
          </cell>
          <cell r="AF215">
            <v>-379.01800000000003</v>
          </cell>
          <cell r="AH215">
            <v>0</v>
          </cell>
          <cell r="AJ215">
            <v>-379.01800000000003</v>
          </cell>
          <cell r="AL215">
            <v>0</v>
          </cell>
          <cell r="AN215">
            <v>0</v>
          </cell>
          <cell r="AP215">
            <v>-379.01800000000003</v>
          </cell>
          <cell r="AR215">
            <v>-21474.791000000001</v>
          </cell>
          <cell r="AT215">
            <v>-78164.736000000004</v>
          </cell>
          <cell r="AV215">
            <v>15277.57</v>
          </cell>
          <cell r="AX215">
            <v>-62887.16599999999</v>
          </cell>
          <cell r="BC215">
            <v>-210940.58199999999</v>
          </cell>
          <cell r="BE215">
            <v>0</v>
          </cell>
          <cell r="BG215">
            <v>-20403.188999999998</v>
          </cell>
          <cell r="BI215">
            <v>-231343.77100000001</v>
          </cell>
          <cell r="BM215">
            <v>0</v>
          </cell>
          <cell r="BO215">
            <v>0</v>
          </cell>
          <cell r="BQ215">
            <v>0</v>
          </cell>
          <cell r="BS215">
            <v>0</v>
          </cell>
          <cell r="BU215">
            <v>0</v>
          </cell>
          <cell r="BW215">
            <v>-523</v>
          </cell>
          <cell r="BX215">
            <v>-523</v>
          </cell>
          <cell r="BZ215">
            <v>-6219.9030000000002</v>
          </cell>
          <cell r="CB215">
            <v>4353.9319999999998</v>
          </cell>
          <cell r="CD215">
            <v>-2911.9710000000005</v>
          </cell>
          <cell r="CF215">
            <v>-1576.7139999999999</v>
          </cell>
          <cell r="CH215">
            <v>0</v>
          </cell>
          <cell r="CJ215">
            <v>-1576.7139999999999</v>
          </cell>
          <cell r="CL215">
            <v>0</v>
          </cell>
          <cell r="CN215">
            <v>0</v>
          </cell>
          <cell r="CO215">
            <v>0</v>
          </cell>
          <cell r="CP215">
            <v>-1576.7139999999999</v>
          </cell>
          <cell r="CQ215">
            <v>0</v>
          </cell>
          <cell r="CR215">
            <v>-89335.129000000001</v>
          </cell>
          <cell r="CS215">
            <v>0</v>
          </cell>
          <cell r="CT215">
            <v>-325167.58500000008</v>
          </cell>
          <cell r="CU215">
            <v>0</v>
          </cell>
          <cell r="CV215">
            <v>63554.688000000002</v>
          </cell>
          <cell r="CW215">
            <v>0</v>
          </cell>
          <cell r="CX215">
            <v>-261612.897</v>
          </cell>
          <cell r="FC215">
            <v>-228618.77100000001</v>
          </cell>
          <cell r="FD215">
            <v>0</v>
          </cell>
          <cell r="FE215">
            <v>-2725</v>
          </cell>
          <cell r="FF215">
            <v>-231343.77100000001</v>
          </cell>
          <cell r="FG215">
            <v>0</v>
          </cell>
          <cell r="FH215">
            <v>0</v>
          </cell>
          <cell r="FI215">
            <v>0</v>
          </cell>
          <cell r="FJ215">
            <v>-523</v>
          </cell>
          <cell r="FK215">
            <v>-523</v>
          </cell>
          <cell r="FL215">
            <v>-6219.9030000000002</v>
          </cell>
          <cell r="FM215">
            <v>4353.9319999999998</v>
          </cell>
          <cell r="FN215">
            <v>-2911.971</v>
          </cell>
          <cell r="FO215">
            <v>-1576.7139999999999</v>
          </cell>
          <cell r="FP215">
            <v>0</v>
          </cell>
          <cell r="FQ215">
            <v>0</v>
          </cell>
          <cell r="FR215">
            <v>-1576.7139999999999</v>
          </cell>
          <cell r="FS215">
            <v>-89335.129000000001</v>
          </cell>
          <cell r="FT215">
            <v>-325167.58500000008</v>
          </cell>
          <cell r="FU215">
            <v>63554.688000000002</v>
          </cell>
          <cell r="FV215">
            <v>-261612.897</v>
          </cell>
          <cell r="FX215">
            <v>-2911.971</v>
          </cell>
          <cell r="FY215">
            <v>-1576.7139999999999</v>
          </cell>
          <cell r="FZ215">
            <v>0</v>
          </cell>
          <cell r="GA215">
            <v>-4488.6849999999995</v>
          </cell>
          <cell r="GB215">
            <v>-4548.8760255562238</v>
          </cell>
          <cell r="GC215">
            <v>-261612.897</v>
          </cell>
          <cell r="GD215">
            <v>-265120.99537829222</v>
          </cell>
          <cell r="GE215">
            <v>-257124.212</v>
          </cell>
          <cell r="GF215">
            <v>4.1600363578158381</v>
          </cell>
          <cell r="GG215">
            <v>-162289.47398352501</v>
          </cell>
          <cell r="GH215">
            <v>0</v>
          </cell>
        </row>
        <row r="216">
          <cell r="A216" t="str">
            <v>ADVANCES</v>
          </cell>
          <cell r="B216" t="str">
            <v>deposits</v>
          </cell>
          <cell r="C216">
            <v>0</v>
          </cell>
          <cell r="E216">
            <v>0</v>
          </cell>
          <cell r="G216">
            <v>0</v>
          </cell>
          <cell r="I216">
            <v>0</v>
          </cell>
          <cell r="M216">
            <v>0</v>
          </cell>
          <cell r="Q216">
            <v>-2945.299</v>
          </cell>
          <cell r="U216">
            <v>-2945.299</v>
          </cell>
          <cell r="W216">
            <v>-312</v>
          </cell>
          <cell r="X216">
            <v>-312</v>
          </cell>
          <cell r="Z216">
            <v>-36.557000000000002</v>
          </cell>
          <cell r="AD216">
            <v>-3605.8559999999998</v>
          </cell>
          <cell r="AH216">
            <v>0</v>
          </cell>
          <cell r="AJ216">
            <v>0</v>
          </cell>
          <cell r="AL216">
            <v>-2485</v>
          </cell>
          <cell r="AP216">
            <v>-2485</v>
          </cell>
          <cell r="AR216">
            <v>0</v>
          </cell>
          <cell r="AT216">
            <v>-6090.8559999999998</v>
          </cell>
          <cell r="AV216">
            <v>0</v>
          </cell>
          <cell r="AX216">
            <v>-6090.8559999999998</v>
          </cell>
          <cell r="AZ216" t="str">
            <v>ADVANCES</v>
          </cell>
          <cell r="BA216" t="str">
            <v>deposits</v>
          </cell>
          <cell r="BC216">
            <v>0</v>
          </cell>
          <cell r="BE216">
            <v>0</v>
          </cell>
          <cell r="BG216">
            <v>0</v>
          </cell>
          <cell r="BI216">
            <v>0</v>
          </cell>
          <cell r="BQ216">
            <v>-12252.442999999999</v>
          </cell>
          <cell r="BU216">
            <v>-12252.442999999999</v>
          </cell>
          <cell r="BW216">
            <v>-1259.5</v>
          </cell>
          <cell r="BX216">
            <v>-1259.5</v>
          </cell>
          <cell r="BZ216">
            <v>-152.07599999999999</v>
          </cell>
          <cell r="CD216">
            <v>-14923.518999999998</v>
          </cell>
          <cell r="CH216">
            <v>0</v>
          </cell>
          <cell r="CJ216">
            <v>0</v>
          </cell>
          <cell r="CL216">
            <v>-10339</v>
          </cell>
          <cell r="CP216">
            <v>-10339</v>
          </cell>
          <cell r="CR216">
            <v>0</v>
          </cell>
          <cell r="CT216">
            <v>-25262.519</v>
          </cell>
          <cell r="CU216">
            <v>0</v>
          </cell>
          <cell r="CV216">
            <v>0</v>
          </cell>
          <cell r="CX216">
            <v>-25262.519</v>
          </cell>
          <cell r="FE216">
            <v>0</v>
          </cell>
          <cell r="FG216">
            <v>0</v>
          </cell>
          <cell r="FI216">
            <v>-12252.442999999999</v>
          </cell>
          <cell r="FJ216">
            <v>-1314</v>
          </cell>
          <cell r="FK216">
            <v>-1314</v>
          </cell>
          <cell r="FL216">
            <v>-152.077</v>
          </cell>
          <cell r="FN216">
            <v>-15032.52</v>
          </cell>
          <cell r="FO216">
            <v>0</v>
          </cell>
          <cell r="FP216">
            <v>-10339</v>
          </cell>
          <cell r="FR216">
            <v>-10339</v>
          </cell>
          <cell r="FS216">
            <v>0</v>
          </cell>
          <cell r="FT216">
            <v>-25371.52</v>
          </cell>
          <cell r="FU216">
            <v>0</v>
          </cell>
          <cell r="FV216">
            <v>-25371.52</v>
          </cell>
          <cell r="FW216" t="str">
            <v>ADVANCES</v>
          </cell>
          <cell r="FX216">
            <v>-15032.52</v>
          </cell>
          <cell r="FY216">
            <v>-10339</v>
          </cell>
          <cell r="GA216">
            <v>-25371.52</v>
          </cell>
          <cell r="GB216">
            <v>-25711.739420324709</v>
          </cell>
          <cell r="GC216">
            <v>-25371.52</v>
          </cell>
          <cell r="GD216">
            <v>-25711.739420324709</v>
          </cell>
          <cell r="GE216">
            <v>0</v>
          </cell>
          <cell r="GF216">
            <v>4.1655097411595348</v>
          </cell>
          <cell r="GG216">
            <v>-24686.713865334536</v>
          </cell>
          <cell r="GH216">
            <v>0</v>
          </cell>
        </row>
        <row r="217">
          <cell r="C217">
            <v>0</v>
          </cell>
          <cell r="E217">
            <v>0</v>
          </cell>
          <cell r="G217">
            <v>0</v>
          </cell>
          <cell r="I217">
            <v>0</v>
          </cell>
          <cell r="U217">
            <v>0</v>
          </cell>
          <cell r="AD217">
            <v>0</v>
          </cell>
          <cell r="AH217">
            <v>0</v>
          </cell>
          <cell r="AJ217">
            <v>0</v>
          </cell>
          <cell r="AP217">
            <v>0</v>
          </cell>
          <cell r="AR217">
            <v>0</v>
          </cell>
          <cell r="AT217">
            <v>0</v>
          </cell>
          <cell r="AV217">
            <v>0</v>
          </cell>
          <cell r="AX217">
            <v>0</v>
          </cell>
          <cell r="BC217">
            <v>0</v>
          </cell>
          <cell r="BE217">
            <v>0</v>
          </cell>
          <cell r="BG217">
            <v>0</v>
          </cell>
          <cell r="BI217">
            <v>0</v>
          </cell>
          <cell r="BU217">
            <v>0</v>
          </cell>
          <cell r="BX217">
            <v>0</v>
          </cell>
          <cell r="CD217">
            <v>0</v>
          </cell>
          <cell r="CH217">
            <v>0</v>
          </cell>
          <cell r="CJ217">
            <v>0</v>
          </cell>
          <cell r="CL217">
            <v>0</v>
          </cell>
          <cell r="CP217">
            <v>0</v>
          </cell>
          <cell r="CR217">
            <v>0</v>
          </cell>
          <cell r="CT217">
            <v>0</v>
          </cell>
          <cell r="CU217">
            <v>0</v>
          </cell>
          <cell r="CV217">
            <v>0</v>
          </cell>
          <cell r="CX217">
            <v>0</v>
          </cell>
          <cell r="FE217">
            <v>0</v>
          </cell>
          <cell r="FN217">
            <v>0</v>
          </cell>
          <cell r="FO217">
            <v>0</v>
          </cell>
          <cell r="FR217">
            <v>0</v>
          </cell>
          <cell r="FS217">
            <v>0</v>
          </cell>
          <cell r="FT217">
            <v>0</v>
          </cell>
          <cell r="FU217">
            <v>0</v>
          </cell>
          <cell r="FV217">
            <v>0</v>
          </cell>
          <cell r="FX217">
            <v>0</v>
          </cell>
          <cell r="FY217">
            <v>0</v>
          </cell>
          <cell r="GA217">
            <v>0</v>
          </cell>
          <cell r="GB217">
            <v>0</v>
          </cell>
          <cell r="GC217">
            <v>0</v>
          </cell>
          <cell r="GD217">
            <v>0</v>
          </cell>
          <cell r="GE217">
            <v>0</v>
          </cell>
          <cell r="GF217" t="e">
            <v>#DIV/0!</v>
          </cell>
          <cell r="GG217">
            <v>0</v>
          </cell>
          <cell r="GH217">
            <v>0</v>
          </cell>
        </row>
        <row r="218">
          <cell r="C218">
            <v>0</v>
          </cell>
          <cell r="E218">
            <v>0</v>
          </cell>
          <cell r="G218">
            <v>0</v>
          </cell>
          <cell r="I218">
            <v>0</v>
          </cell>
          <cell r="O218">
            <v>0</v>
          </cell>
          <cell r="Q218">
            <v>-2945.299</v>
          </cell>
          <cell r="S218">
            <v>0</v>
          </cell>
          <cell r="U218">
            <v>-2945.299</v>
          </cell>
          <cell r="W218">
            <v>-312</v>
          </cell>
          <cell r="X218">
            <v>-312</v>
          </cell>
          <cell r="Z218">
            <v>-36.557000000000002</v>
          </cell>
          <cell r="AB218">
            <v>0</v>
          </cell>
          <cell r="AD218">
            <v>-3605.8559999999998</v>
          </cell>
          <cell r="AF218">
            <v>0</v>
          </cell>
          <cell r="AH218">
            <v>0</v>
          </cell>
          <cell r="AJ218">
            <v>0</v>
          </cell>
          <cell r="AL218">
            <v>-2485</v>
          </cell>
          <cell r="AN218">
            <v>0</v>
          </cell>
          <cell r="AP218">
            <v>-2485</v>
          </cell>
          <cell r="AR218">
            <v>0</v>
          </cell>
          <cell r="AT218">
            <v>-6090.8559999999998</v>
          </cell>
          <cell r="AV218">
            <v>0</v>
          </cell>
          <cell r="AX218">
            <v>-6090.8559999999998</v>
          </cell>
          <cell r="BC218">
            <v>0</v>
          </cell>
          <cell r="BE218">
            <v>0</v>
          </cell>
          <cell r="BG218">
            <v>0</v>
          </cell>
          <cell r="BI218">
            <v>0</v>
          </cell>
          <cell r="BO218">
            <v>0</v>
          </cell>
          <cell r="BQ218">
            <v>-12252.442999999999</v>
          </cell>
          <cell r="BS218">
            <v>0</v>
          </cell>
          <cell r="BU218">
            <v>-12252.442999999999</v>
          </cell>
          <cell r="BW218">
            <v>-1259.5</v>
          </cell>
          <cell r="BX218">
            <v>-1259.5</v>
          </cell>
          <cell r="BZ218">
            <v>-152.07599999999999</v>
          </cell>
          <cell r="CB218">
            <v>0</v>
          </cell>
          <cell r="CD218">
            <v>-14923.518999999998</v>
          </cell>
          <cell r="CF218">
            <v>0</v>
          </cell>
          <cell r="CH218">
            <v>0</v>
          </cell>
          <cell r="CJ218">
            <v>0</v>
          </cell>
          <cell r="CL218">
            <v>-10339</v>
          </cell>
          <cell r="CN218">
            <v>0</v>
          </cell>
          <cell r="CP218">
            <v>-10339</v>
          </cell>
          <cell r="CR218">
            <v>0</v>
          </cell>
          <cell r="CT218">
            <v>-25262.519</v>
          </cell>
          <cell r="CU218">
            <v>0</v>
          </cell>
          <cell r="CV218">
            <v>0</v>
          </cell>
          <cell r="CX218">
            <v>-25262.519</v>
          </cell>
          <cell r="FC218">
            <v>0</v>
          </cell>
          <cell r="FE218">
            <v>0</v>
          </cell>
          <cell r="FH218">
            <v>0</v>
          </cell>
          <cell r="FI218">
            <v>-12252.442999999999</v>
          </cell>
          <cell r="FJ218">
            <v>-1314</v>
          </cell>
          <cell r="FK218">
            <v>-1314</v>
          </cell>
          <cell r="FL218">
            <v>-152.077</v>
          </cell>
          <cell r="FM218">
            <v>0</v>
          </cell>
          <cell r="FN218">
            <v>-15032.52</v>
          </cell>
          <cell r="FO218">
            <v>0</v>
          </cell>
          <cell r="FP218">
            <v>-10339</v>
          </cell>
          <cell r="FQ218">
            <v>0</v>
          </cell>
          <cell r="FR218">
            <v>-10339</v>
          </cell>
          <cell r="FS218">
            <v>0</v>
          </cell>
          <cell r="FT218">
            <v>-25371.52</v>
          </cell>
          <cell r="FU218">
            <v>0</v>
          </cell>
          <cell r="FV218">
            <v>-25371.52</v>
          </cell>
          <cell r="FX218">
            <v>-15032.52</v>
          </cell>
          <cell r="FY218">
            <v>-10339</v>
          </cell>
          <cell r="FZ218">
            <v>0</v>
          </cell>
          <cell r="GA218">
            <v>-25371.52</v>
          </cell>
          <cell r="GB218">
            <v>-25711.739420324709</v>
          </cell>
          <cell r="GC218">
            <v>-25371.52</v>
          </cell>
          <cell r="GD218">
            <v>-25711.739420324709</v>
          </cell>
          <cell r="GE218">
            <v>0</v>
          </cell>
          <cell r="GF218">
            <v>4.1655097411595348</v>
          </cell>
          <cell r="GG218">
            <v>-24686.713865334536</v>
          </cell>
          <cell r="GH218">
            <v>0</v>
          </cell>
        </row>
        <row r="219">
          <cell r="A219" t="str">
            <v>CURR.LIABILITIES</v>
          </cell>
          <cell r="AZ219" t="str">
            <v>CURR.LIABILITIES</v>
          </cell>
          <cell r="BX219">
            <v>0</v>
          </cell>
          <cell r="CD219">
            <v>0</v>
          </cell>
          <cell r="CU219">
            <v>0</v>
          </cell>
          <cell r="FS219">
            <v>0</v>
          </cell>
          <cell r="FW219" t="str">
            <v>CURR.LIABILITIES</v>
          </cell>
          <cell r="FX219">
            <v>0</v>
          </cell>
          <cell r="FY219">
            <v>0</v>
          </cell>
          <cell r="GA219">
            <v>0</v>
          </cell>
          <cell r="GB219">
            <v>0</v>
          </cell>
          <cell r="GC219">
            <v>0</v>
          </cell>
          <cell r="GD219">
            <v>0</v>
          </cell>
          <cell r="GE219">
            <v>0</v>
          </cell>
          <cell r="GF219" t="e">
            <v>#DIV/0!</v>
          </cell>
          <cell r="GH219">
            <v>0</v>
          </cell>
        </row>
        <row r="220">
          <cell r="A220" t="str">
            <v>Banks</v>
          </cell>
          <cell r="AZ220" t="str">
            <v>Banks</v>
          </cell>
          <cell r="BX220">
            <v>0</v>
          </cell>
          <cell r="CD220">
            <v>0</v>
          </cell>
          <cell r="CU220">
            <v>0</v>
          </cell>
          <cell r="FS220">
            <v>0</v>
          </cell>
          <cell r="FW220" t="str">
            <v>Banks</v>
          </cell>
          <cell r="FX220">
            <v>0</v>
          </cell>
          <cell r="FY220">
            <v>0</v>
          </cell>
          <cell r="GA220">
            <v>0</v>
          </cell>
          <cell r="GB220">
            <v>0</v>
          </cell>
          <cell r="GC220">
            <v>0</v>
          </cell>
          <cell r="GD220">
            <v>0</v>
          </cell>
          <cell r="GE220">
            <v>0</v>
          </cell>
          <cell r="GF220" t="e">
            <v>#DIV/0!</v>
          </cell>
          <cell r="GH220">
            <v>0</v>
          </cell>
        </row>
        <row r="221">
          <cell r="A221" t="str">
            <v>Current Maturities</v>
          </cell>
          <cell r="C221">
            <v>-704.9</v>
          </cell>
          <cell r="G221">
            <v>0</v>
          </cell>
          <cell r="I221">
            <v>-704.9</v>
          </cell>
          <cell r="O221">
            <v>-22</v>
          </cell>
          <cell r="Q221">
            <v>-1743.2809999999999</v>
          </cell>
          <cell r="U221">
            <v>-1743.2809999999999</v>
          </cell>
          <cell r="W221">
            <v>-1808.5</v>
          </cell>
          <cell r="X221">
            <v>-1808.5</v>
          </cell>
          <cell r="AD221">
            <v>-5360.2809999999999</v>
          </cell>
          <cell r="AJ221">
            <v>0</v>
          </cell>
          <cell r="AL221">
            <v>-6067.473</v>
          </cell>
          <cell r="AP221">
            <v>-6067.473</v>
          </cell>
          <cell r="AT221">
            <v>-12154.653999999999</v>
          </cell>
          <cell r="AX221">
            <v>-12154.653999999999</v>
          </cell>
          <cell r="AZ221" t="str">
            <v>Current Maturities</v>
          </cell>
          <cell r="BC221">
            <v>-2575.0320000000002</v>
          </cell>
          <cell r="BI221">
            <v>-2575.0320000000002</v>
          </cell>
          <cell r="BO221">
            <v>-90.5</v>
          </cell>
          <cell r="BQ221">
            <v>-7252.0470000000005</v>
          </cell>
          <cell r="BU221">
            <v>-7252.0470000000005</v>
          </cell>
          <cell r="BW221">
            <v>-7523</v>
          </cell>
          <cell r="BX221">
            <v>-7523</v>
          </cell>
          <cell r="CD221">
            <v>-22298.046999999999</v>
          </cell>
          <cell r="CJ221">
            <v>0</v>
          </cell>
          <cell r="CL221">
            <v>-25241</v>
          </cell>
          <cell r="CP221">
            <v>-25241</v>
          </cell>
          <cell r="CT221">
            <v>-50204.578999999998</v>
          </cell>
          <cell r="CU221">
            <v>0</v>
          </cell>
          <cell r="CX221">
            <v>-50204.578999999998</v>
          </cell>
          <cell r="FC221">
            <v>-2932.384</v>
          </cell>
          <cell r="FE221">
            <v>0</v>
          </cell>
          <cell r="FF221">
            <v>-2932.384</v>
          </cell>
          <cell r="FG221">
            <v>0</v>
          </cell>
          <cell r="FH221">
            <v>-90.5</v>
          </cell>
          <cell r="FI221">
            <v>-7252.0470000000005</v>
          </cell>
          <cell r="FJ221">
            <v>-7523</v>
          </cell>
          <cell r="FK221">
            <v>-7523</v>
          </cell>
          <cell r="FN221">
            <v>-22298.046999999999</v>
          </cell>
          <cell r="FO221">
            <v>0</v>
          </cell>
          <cell r="FP221">
            <v>-25241</v>
          </cell>
          <cell r="FR221">
            <v>-25241</v>
          </cell>
          <cell r="FS221">
            <v>0</v>
          </cell>
          <cell r="FT221">
            <v>-50561.930999999997</v>
          </cell>
          <cell r="FV221">
            <v>-50561.930999999997</v>
          </cell>
          <cell r="FW221" t="str">
            <v>Current Maturities</v>
          </cell>
          <cell r="FX221">
            <v>-22298.046999999999</v>
          </cell>
          <cell r="FY221">
            <v>-25241</v>
          </cell>
          <cell r="GA221">
            <v>-47539.046999999999</v>
          </cell>
          <cell r="GB221">
            <v>-48176.52189362597</v>
          </cell>
          <cell r="GC221">
            <v>-50561.930999999997</v>
          </cell>
          <cell r="GD221">
            <v>-51239.941259350569</v>
          </cell>
          <cell r="GE221">
            <v>-3022.8839999999982</v>
          </cell>
          <cell r="GF221">
            <v>4.1598823792104653</v>
          </cell>
          <cell r="GG221">
            <v>-27337.758290006532</v>
          </cell>
          <cell r="GH221">
            <v>0</v>
          </cell>
        </row>
        <row r="222">
          <cell r="A222" t="str">
            <v>Bank overdrafts</v>
          </cell>
          <cell r="G222">
            <v>0</v>
          </cell>
          <cell r="I222">
            <v>0</v>
          </cell>
          <cell r="O222">
            <v>-1220.5</v>
          </cell>
          <cell r="Q222">
            <v>-61492.355000000003</v>
          </cell>
          <cell r="U222">
            <v>-61492.355000000003</v>
          </cell>
          <cell r="W222">
            <v>-12612.5</v>
          </cell>
          <cell r="X222">
            <v>-12612.5</v>
          </cell>
          <cell r="AD222">
            <v>-86717.35500000001</v>
          </cell>
          <cell r="AH222">
            <v>0</v>
          </cell>
          <cell r="AJ222">
            <v>0</v>
          </cell>
          <cell r="AL222">
            <v>-22.951000000000001</v>
          </cell>
          <cell r="AP222">
            <v>-22.951000000000001</v>
          </cell>
          <cell r="AT222">
            <v>-87960.806000000011</v>
          </cell>
          <cell r="AX222">
            <v>-87960.806000000011</v>
          </cell>
          <cell r="AZ222" t="str">
            <v>Bank overdrafts</v>
          </cell>
          <cell r="BG222">
            <v>0</v>
          </cell>
          <cell r="BI222">
            <v>0</v>
          </cell>
          <cell r="BO222">
            <v>-5079</v>
          </cell>
          <cell r="BQ222">
            <v>-255810.19899999999</v>
          </cell>
          <cell r="BU222">
            <v>-255810.19899999999</v>
          </cell>
          <cell r="BW222">
            <v>-52468</v>
          </cell>
          <cell r="BX222">
            <v>-52468</v>
          </cell>
          <cell r="CD222">
            <v>-360746.19900000002</v>
          </cell>
          <cell r="CH222">
            <v>0</v>
          </cell>
          <cell r="CJ222">
            <v>0</v>
          </cell>
          <cell r="CL222">
            <v>-95</v>
          </cell>
          <cell r="CP222">
            <v>-95</v>
          </cell>
          <cell r="CR222">
            <v>0</v>
          </cell>
          <cell r="CT222">
            <v>-365920.19900000002</v>
          </cell>
          <cell r="CU222">
            <v>0</v>
          </cell>
          <cell r="CV222">
            <v>0</v>
          </cell>
          <cell r="CX222">
            <v>-365920.19900000002</v>
          </cell>
          <cell r="FE222">
            <v>0</v>
          </cell>
          <cell r="FH222">
            <v>-5079</v>
          </cell>
          <cell r="FI222">
            <v>-255810.19899999999</v>
          </cell>
          <cell r="FJ222">
            <v>-52468</v>
          </cell>
          <cell r="FK222">
            <v>-52468</v>
          </cell>
          <cell r="FN222">
            <v>-360746.19900000002</v>
          </cell>
          <cell r="FO222">
            <v>0</v>
          </cell>
          <cell r="FP222">
            <v>-95</v>
          </cell>
          <cell r="FR222">
            <v>-95</v>
          </cell>
          <cell r="FS222">
            <v>0</v>
          </cell>
          <cell r="FT222">
            <v>-365920.19900000002</v>
          </cell>
          <cell r="FU222">
            <v>0</v>
          </cell>
          <cell r="FV222">
            <v>-365920.19900000002</v>
          </cell>
          <cell r="FW222" t="str">
            <v>Bank overdrafts</v>
          </cell>
          <cell r="FX222">
            <v>-360746.19900000002</v>
          </cell>
          <cell r="FY222">
            <v>-95</v>
          </cell>
          <cell r="GA222">
            <v>-360841.19900000002</v>
          </cell>
          <cell r="GB222">
            <v>-365679.89938346361</v>
          </cell>
          <cell r="GC222">
            <v>-365920.19900000002</v>
          </cell>
          <cell r="GD222">
            <v>-370827.00623854483</v>
          </cell>
          <cell r="GE222">
            <v>-5079</v>
          </cell>
          <cell r="GF222">
            <v>4.1600369032543876</v>
          </cell>
          <cell r="GG222">
            <v>-2182.5935421293279</v>
          </cell>
          <cell r="GH222">
            <v>0</v>
          </cell>
        </row>
        <row r="223">
          <cell r="A223" t="str">
            <v>Total Banks</v>
          </cell>
          <cell r="C223">
            <v>-704.9</v>
          </cell>
          <cell r="E223">
            <v>0</v>
          </cell>
          <cell r="G223">
            <v>0</v>
          </cell>
          <cell r="I223">
            <v>-704.9</v>
          </cell>
          <cell r="O223">
            <v>-1243</v>
          </cell>
          <cell r="Q223">
            <v>-63235.636000000006</v>
          </cell>
          <cell r="S223">
            <v>0</v>
          </cell>
          <cell r="U223">
            <v>-63235.636000000006</v>
          </cell>
          <cell r="W223">
            <v>-14421</v>
          </cell>
          <cell r="X223">
            <v>-14421</v>
          </cell>
          <cell r="Z223">
            <v>0</v>
          </cell>
          <cell r="AB223">
            <v>0</v>
          </cell>
          <cell r="AD223">
            <v>-92077.636000000013</v>
          </cell>
          <cell r="AF223">
            <v>0</v>
          </cell>
          <cell r="AH223">
            <v>0</v>
          </cell>
          <cell r="AJ223">
            <v>0</v>
          </cell>
          <cell r="AL223">
            <v>-6090.424</v>
          </cell>
          <cell r="AN223">
            <v>0</v>
          </cell>
          <cell r="AP223">
            <v>-6090.424</v>
          </cell>
          <cell r="AR223">
            <v>0</v>
          </cell>
          <cell r="AT223">
            <v>-100115.46</v>
          </cell>
          <cell r="AV223">
            <v>0</v>
          </cell>
          <cell r="AX223">
            <v>-100115.46</v>
          </cell>
          <cell r="AZ223" t="str">
            <v>Total Banks</v>
          </cell>
          <cell r="BC223">
            <v>-2575.0320000000002</v>
          </cell>
          <cell r="BE223">
            <v>0</v>
          </cell>
          <cell r="BG223">
            <v>0</v>
          </cell>
          <cell r="BI223">
            <v>-2575.0320000000002</v>
          </cell>
          <cell r="BO223">
            <v>-5169.5</v>
          </cell>
          <cell r="BQ223">
            <v>-263062.24599999998</v>
          </cell>
          <cell r="BS223">
            <v>0</v>
          </cell>
          <cell r="BU223">
            <v>-263062.24599999998</v>
          </cell>
          <cell r="BW223">
            <v>-59991</v>
          </cell>
          <cell r="BX223">
            <v>-59991</v>
          </cell>
          <cell r="BZ223">
            <v>0</v>
          </cell>
          <cell r="CB223">
            <v>0</v>
          </cell>
          <cell r="CD223">
            <v>-383044.24599999998</v>
          </cell>
          <cell r="CF223">
            <v>0</v>
          </cell>
          <cell r="CH223">
            <v>0</v>
          </cell>
          <cell r="CJ223">
            <v>0</v>
          </cell>
          <cell r="CL223">
            <v>-25336</v>
          </cell>
          <cell r="CN223">
            <v>0</v>
          </cell>
          <cell r="CP223">
            <v>-25336</v>
          </cell>
          <cell r="CR223">
            <v>0</v>
          </cell>
          <cell r="CT223">
            <v>-416124.77800000005</v>
          </cell>
          <cell r="CU223">
            <v>0</v>
          </cell>
          <cell r="CV223">
            <v>0</v>
          </cell>
          <cell r="CX223">
            <v>-416124.77800000005</v>
          </cell>
          <cell r="FC223">
            <v>-2932.384</v>
          </cell>
          <cell r="FD223">
            <v>0</v>
          </cell>
          <cell r="FE223">
            <v>0</v>
          </cell>
          <cell r="FF223">
            <v>-2932.384</v>
          </cell>
          <cell r="FG223">
            <v>0</v>
          </cell>
          <cell r="FH223">
            <v>-5169.5</v>
          </cell>
          <cell r="FI223">
            <v>-263062.24599999998</v>
          </cell>
          <cell r="FJ223">
            <v>-59991</v>
          </cell>
          <cell r="FK223">
            <v>-59991</v>
          </cell>
          <cell r="FL223">
            <v>0</v>
          </cell>
          <cell r="FM223">
            <v>0</v>
          </cell>
          <cell r="FN223">
            <v>-383044.24600000004</v>
          </cell>
          <cell r="FO223">
            <v>0</v>
          </cell>
          <cell r="FP223">
            <v>-25336</v>
          </cell>
          <cell r="FQ223">
            <v>0</v>
          </cell>
          <cell r="FR223">
            <v>-25336</v>
          </cell>
          <cell r="FS223">
            <v>0</v>
          </cell>
          <cell r="FT223">
            <v>-416482.13</v>
          </cell>
          <cell r="FU223">
            <v>0</v>
          </cell>
          <cell r="FV223">
            <v>-416482.13</v>
          </cell>
          <cell r="FW223" t="str">
            <v>Total Banks</v>
          </cell>
          <cell r="FX223">
            <v>-383044.24600000004</v>
          </cell>
          <cell r="FY223">
            <v>-25336</v>
          </cell>
          <cell r="FZ223">
            <v>0</v>
          </cell>
          <cell r="GA223">
            <v>-408380.24600000004</v>
          </cell>
          <cell r="GB223">
            <v>-413856.42127708957</v>
          </cell>
          <cell r="GC223">
            <v>-416482.13</v>
          </cell>
          <cell r="GD223">
            <v>-422066.94749789539</v>
          </cell>
          <cell r="GE223">
            <v>-8101.8839999999982</v>
          </cell>
          <cell r="GF223">
            <v>4.1600181430520315</v>
          </cell>
          <cell r="GG223">
            <v>-29520.351832135861</v>
          </cell>
          <cell r="GH223">
            <v>0</v>
          </cell>
        </row>
        <row r="224">
          <cell r="A224" t="str">
            <v>Creditors</v>
          </cell>
          <cell r="AT224">
            <v>0</v>
          </cell>
          <cell r="AZ224" t="str">
            <v>Creditors</v>
          </cell>
          <cell r="BX224">
            <v>0</v>
          </cell>
          <cell r="CD224">
            <v>0</v>
          </cell>
          <cell r="CT224">
            <v>0</v>
          </cell>
          <cell r="CU224">
            <v>0</v>
          </cell>
          <cell r="FW224" t="str">
            <v>Creditors</v>
          </cell>
          <cell r="FX224">
            <v>0</v>
          </cell>
          <cell r="FY224">
            <v>0</v>
          </cell>
          <cell r="GA224">
            <v>0</v>
          </cell>
          <cell r="GB224">
            <v>0</v>
          </cell>
          <cell r="GC224">
            <v>0</v>
          </cell>
          <cell r="GD224">
            <v>0</v>
          </cell>
          <cell r="GE224">
            <v>0</v>
          </cell>
          <cell r="GF224" t="e">
            <v>#DIV/0!</v>
          </cell>
          <cell r="GH224">
            <v>0</v>
          </cell>
        </row>
        <row r="225">
          <cell r="A225" t="str">
            <v>suppliers-n.i.s.</v>
          </cell>
          <cell r="I225">
            <v>0</v>
          </cell>
          <cell r="M225" t="str">
            <v xml:space="preserve"> </v>
          </cell>
          <cell r="O225">
            <v>-1856.5</v>
          </cell>
          <cell r="Q225">
            <v>-6638.6909999999998</v>
          </cell>
          <cell r="U225">
            <v>-6638.6909999999998</v>
          </cell>
          <cell r="W225">
            <v>-639.5</v>
          </cell>
          <cell r="X225">
            <v>-639.5</v>
          </cell>
          <cell r="Z225">
            <v>-18.946000000000002</v>
          </cell>
          <cell r="AD225">
            <v>-7936.6369999999997</v>
          </cell>
          <cell r="AJ225">
            <v>0</v>
          </cell>
          <cell r="AL225">
            <v>-1182.865</v>
          </cell>
          <cell r="AP225">
            <v>-1182.865</v>
          </cell>
          <cell r="AR225">
            <v>-37.225999999999999</v>
          </cell>
          <cell r="AT225">
            <v>-11013.227999999999</v>
          </cell>
          <cell r="AV225">
            <v>0</v>
          </cell>
          <cell r="AX225">
            <v>-11013.227999999999</v>
          </cell>
          <cell r="AZ225" t="str">
            <v>suppliers-n.i.s.</v>
          </cell>
          <cell r="BI225">
            <v>0</v>
          </cell>
          <cell r="BO225">
            <v>-7713</v>
          </cell>
          <cell r="BQ225">
            <v>-27616.954000000002</v>
          </cell>
          <cell r="BU225">
            <v>-27616.954000000002</v>
          </cell>
          <cell r="BW225">
            <v>-2660.5</v>
          </cell>
          <cell r="BX225">
            <v>-2660.5</v>
          </cell>
          <cell r="BZ225">
            <v>-78.816999999999993</v>
          </cell>
          <cell r="CD225">
            <v>-33016.771000000001</v>
          </cell>
          <cell r="CJ225">
            <v>0</v>
          </cell>
          <cell r="CL225">
            <v>-4797</v>
          </cell>
          <cell r="CP225">
            <v>-4797</v>
          </cell>
          <cell r="CR225">
            <v>-154.90899999999999</v>
          </cell>
          <cell r="CT225">
            <v>-45681.68</v>
          </cell>
          <cell r="CU225">
            <v>0</v>
          </cell>
          <cell r="CX225">
            <v>-45681.68</v>
          </cell>
          <cell r="FH225">
            <v>-7713</v>
          </cell>
          <cell r="FI225">
            <v>-27616.954000000002</v>
          </cell>
          <cell r="FJ225">
            <v>-2660.5</v>
          </cell>
          <cell r="FK225">
            <v>-2660.5</v>
          </cell>
          <cell r="FL225">
            <v>-78.816999999999993</v>
          </cell>
          <cell r="FN225">
            <v>-33016.771000000001</v>
          </cell>
          <cell r="FO225">
            <v>0</v>
          </cell>
          <cell r="FP225">
            <v>-4908</v>
          </cell>
          <cell r="FR225">
            <v>-4908</v>
          </cell>
          <cell r="FS225">
            <v>-154.86000000000001</v>
          </cell>
          <cell r="FT225">
            <v>-45792.631000000001</v>
          </cell>
          <cell r="FV225">
            <v>-45792.631000000001</v>
          </cell>
          <cell r="FW225" t="str">
            <v>suppliers-n.i.s.</v>
          </cell>
          <cell r="FX225">
            <v>-33016.771000000001</v>
          </cell>
          <cell r="FY225">
            <v>-4908</v>
          </cell>
          <cell r="GA225">
            <v>-37924.771000000001</v>
          </cell>
          <cell r="GB225">
            <v>-38433.323250932051</v>
          </cell>
          <cell r="GC225">
            <v>-45792.631000000001</v>
          </cell>
          <cell r="GD225">
            <v>-46406.687326698731</v>
          </cell>
          <cell r="GE225">
            <v>-7867.86</v>
          </cell>
          <cell r="GF225">
            <v>4.1579663110579395</v>
          </cell>
          <cell r="GG225">
            <v>-32227.76773960104</v>
          </cell>
          <cell r="GH225">
            <v>0</v>
          </cell>
        </row>
        <row r="226">
          <cell r="A226" t="str">
            <v>suppliers-f.c.</v>
          </cell>
          <cell r="M226" t="str">
            <v xml:space="preserve"> </v>
          </cell>
          <cell r="Q226">
            <v>-474.85500000000002</v>
          </cell>
          <cell r="U226">
            <v>-474.85500000000002</v>
          </cell>
          <cell r="AD226">
            <v>-474.85500000000002</v>
          </cell>
          <cell r="AJ226">
            <v>0</v>
          </cell>
          <cell r="AP226">
            <v>0</v>
          </cell>
          <cell r="AT226">
            <v>-474.85500000000002</v>
          </cell>
          <cell r="AX226">
            <v>-474.85500000000002</v>
          </cell>
          <cell r="AZ226" t="str">
            <v>suppliers-f.c.</v>
          </cell>
          <cell r="BI226">
            <v>0</v>
          </cell>
          <cell r="BQ226">
            <v>-1975.568</v>
          </cell>
          <cell r="BU226">
            <v>-1975.568</v>
          </cell>
          <cell r="BX226">
            <v>0</v>
          </cell>
          <cell r="CD226">
            <v>-1975.568</v>
          </cell>
          <cell r="CJ226">
            <v>0</v>
          </cell>
          <cell r="CP226">
            <v>0</v>
          </cell>
          <cell r="CT226">
            <v>-1975.568</v>
          </cell>
          <cell r="CU226">
            <v>0</v>
          </cell>
          <cell r="CX226">
            <v>-1975.568</v>
          </cell>
          <cell r="FI226">
            <v>-1975.568</v>
          </cell>
          <cell r="FN226">
            <v>-1975.568</v>
          </cell>
          <cell r="FO226">
            <v>0</v>
          </cell>
          <cell r="FR226">
            <v>0</v>
          </cell>
          <cell r="FS226">
            <v>0</v>
          </cell>
          <cell r="FT226">
            <v>-1975.568</v>
          </cell>
          <cell r="FV226">
            <v>-1975.568</v>
          </cell>
          <cell r="FW226" t="str">
            <v>suppliers-f.c.</v>
          </cell>
          <cell r="FX226">
            <v>-1975.568</v>
          </cell>
          <cell r="FY226">
            <v>0</v>
          </cell>
          <cell r="GA226">
            <v>-1975.568</v>
          </cell>
          <cell r="GB226">
            <v>-2002.0593808779313</v>
          </cell>
          <cell r="GC226">
            <v>-1975.568</v>
          </cell>
          <cell r="GD226">
            <v>-2002.0593808779313</v>
          </cell>
          <cell r="GE226">
            <v>0</v>
          </cell>
          <cell r="GF226">
            <v>4.1603605311094967</v>
          </cell>
          <cell r="GG226">
            <v>-285.23712596883757</v>
          </cell>
          <cell r="GH226">
            <v>0</v>
          </cell>
        </row>
        <row r="227">
          <cell r="A227" t="str">
            <v>checks payable</v>
          </cell>
          <cell r="E227">
            <v>0</v>
          </cell>
          <cell r="I227">
            <v>0</v>
          </cell>
          <cell r="M227" t="str">
            <v xml:space="preserve"> </v>
          </cell>
          <cell r="O227">
            <v>-99.5</v>
          </cell>
          <cell r="Q227">
            <v>-270.67399999999998</v>
          </cell>
          <cell r="U227">
            <v>-270.67399999999998</v>
          </cell>
          <cell r="W227">
            <v>-415</v>
          </cell>
          <cell r="X227">
            <v>-415</v>
          </cell>
          <cell r="AD227">
            <v>-1100.674</v>
          </cell>
          <cell r="AJ227">
            <v>0</v>
          </cell>
          <cell r="AP227">
            <v>0</v>
          </cell>
          <cell r="AR227">
            <v>-161.352</v>
          </cell>
          <cell r="AT227">
            <v>-1361.5260000000001</v>
          </cell>
          <cell r="AV227">
            <v>0</v>
          </cell>
          <cell r="AX227">
            <v>-1361.5260000000001</v>
          </cell>
          <cell r="AZ227" t="str">
            <v>checks payable</v>
          </cell>
          <cell r="BI227">
            <v>0</v>
          </cell>
          <cell r="BO227">
            <v>-412.5</v>
          </cell>
          <cell r="BQ227">
            <v>-1126.0050000000001</v>
          </cell>
          <cell r="BU227">
            <v>-1126.0050000000001</v>
          </cell>
          <cell r="BW227">
            <v>-1726.5</v>
          </cell>
          <cell r="BX227">
            <v>-1726.5</v>
          </cell>
          <cell r="CD227">
            <v>-4579.0050000000001</v>
          </cell>
          <cell r="CJ227">
            <v>0</v>
          </cell>
          <cell r="CL227">
            <v>-111</v>
          </cell>
          <cell r="CP227">
            <v>-111</v>
          </cell>
          <cell r="CR227">
            <v>-671.226</v>
          </cell>
          <cell r="CT227">
            <v>-5773.7309999999998</v>
          </cell>
          <cell r="CU227">
            <v>0</v>
          </cell>
          <cell r="CX227">
            <v>-5773.7309999999998</v>
          </cell>
          <cell r="FH227">
            <v>-412.5</v>
          </cell>
          <cell r="FI227">
            <v>-1126.0050000000001</v>
          </cell>
          <cell r="FJ227">
            <v>-1726.5</v>
          </cell>
          <cell r="FK227">
            <v>-1726.5</v>
          </cell>
          <cell r="FN227">
            <v>-4579.0050000000001</v>
          </cell>
          <cell r="FO227">
            <v>0</v>
          </cell>
          <cell r="FS227">
            <v>-671.226</v>
          </cell>
          <cell r="FT227">
            <v>-5662.7309999999998</v>
          </cell>
          <cell r="FV227">
            <v>-5662.7309999999998</v>
          </cell>
          <cell r="FW227" t="str">
            <v>checks payable</v>
          </cell>
          <cell r="FX227">
            <v>-4579.0050000000001</v>
          </cell>
          <cell r="FY227">
            <v>0</v>
          </cell>
          <cell r="GA227">
            <v>-4579.0050000000001</v>
          </cell>
          <cell r="GB227">
            <v>-4640.4071716776907</v>
          </cell>
          <cell r="GC227">
            <v>-5662.7309999999998</v>
          </cell>
          <cell r="GD227">
            <v>-5738.6653964521938</v>
          </cell>
          <cell r="GE227">
            <v>-1083.7259999999997</v>
          </cell>
          <cell r="GF227">
            <v>4.1591060324958899</v>
          </cell>
          <cell r="GG227">
            <v>-877.88480481621548</v>
          </cell>
          <cell r="GH227">
            <v>0</v>
          </cell>
        </row>
        <row r="228">
          <cell r="A228" t="str">
            <v>DAPIM/OTHER RELATED</v>
          </cell>
          <cell r="I228">
            <v>0</v>
          </cell>
          <cell r="M228" t="str">
            <v xml:space="preserve"> </v>
          </cell>
          <cell r="O228">
            <v>-62.402999999999999</v>
          </cell>
          <cell r="Q228">
            <v>-1277.8699999999999</v>
          </cell>
          <cell r="U228">
            <v>-1277.8699999999999</v>
          </cell>
          <cell r="W228">
            <v>-1659.5</v>
          </cell>
          <cell r="X228">
            <v>-1847.5</v>
          </cell>
          <cell r="Z228">
            <v>-75.697999999999993</v>
          </cell>
          <cell r="AD228">
            <v>-4860.5680000000002</v>
          </cell>
          <cell r="AJ228">
            <v>0</v>
          </cell>
          <cell r="AL228">
            <v>-2816.7959999999998</v>
          </cell>
          <cell r="AN228">
            <v>26.103999999999999</v>
          </cell>
          <cell r="AP228">
            <v>-2790.692</v>
          </cell>
          <cell r="AT228">
            <v>-7713.6630000000005</v>
          </cell>
          <cell r="AV228">
            <v>6767.4670000000006</v>
          </cell>
          <cell r="AX228">
            <v>-946.19599999999991</v>
          </cell>
          <cell r="AZ228" t="str">
            <v>DAPIM/OTHER RELATED</v>
          </cell>
          <cell r="BC228">
            <v>1109.6199999999999</v>
          </cell>
          <cell r="BI228">
            <v>1109.6199999999999</v>
          </cell>
          <cell r="BQ228">
            <v>-8970.9490000000005</v>
          </cell>
          <cell r="BU228">
            <v>-8970.9490000000005</v>
          </cell>
          <cell r="BW228">
            <v>-6902.5</v>
          </cell>
          <cell r="BX228">
            <v>-7686.5</v>
          </cell>
          <cell r="BZ228">
            <v>-314.90499999999997</v>
          </cell>
          <cell r="CD228">
            <v>-23874.853999999999</v>
          </cell>
          <cell r="CJ228">
            <v>0</v>
          </cell>
          <cell r="CL228">
            <v>-11718</v>
          </cell>
          <cell r="CN228">
            <v>108.59399999999999</v>
          </cell>
          <cell r="CP228">
            <v>-11609.406000000001</v>
          </cell>
          <cell r="CT228">
            <v>-34374.639999999999</v>
          </cell>
          <cell r="CU228">
            <v>0</v>
          </cell>
          <cell r="CV228">
            <v>27160.095000000001</v>
          </cell>
          <cell r="CX228">
            <v>-7214.5449999999983</v>
          </cell>
          <cell r="FC228">
            <v>1109.6199999999999</v>
          </cell>
          <cell r="FE228">
            <v>-1109.6199999999999</v>
          </cell>
          <cell r="FF228">
            <v>0</v>
          </cell>
          <cell r="FH228">
            <v>-271</v>
          </cell>
          <cell r="FI228">
            <v>-5340.5609999999997</v>
          </cell>
          <cell r="FJ228">
            <v>-6901.5</v>
          </cell>
          <cell r="FK228">
            <v>-7686.5</v>
          </cell>
          <cell r="FL228">
            <v>-314.90499999999997</v>
          </cell>
          <cell r="FN228">
            <v>-20243.466</v>
          </cell>
          <cell r="FO228">
            <v>0</v>
          </cell>
          <cell r="FP228">
            <v>-11718</v>
          </cell>
          <cell r="FR228">
            <v>-11718</v>
          </cell>
          <cell r="FS228">
            <v>0</v>
          </cell>
          <cell r="FT228">
            <v>-32232.466</v>
          </cell>
          <cell r="FU228">
            <v>28256.663400000001</v>
          </cell>
          <cell r="FV228">
            <v>-3975.8025999999991</v>
          </cell>
          <cell r="FW228" t="str">
            <v>DAPIM/OTHER RELATED</v>
          </cell>
          <cell r="FX228">
            <v>-20243.466</v>
          </cell>
          <cell r="FY228">
            <v>-11718</v>
          </cell>
          <cell r="GA228">
            <v>-31961.466</v>
          </cell>
          <cell r="GB228">
            <v>-32390.05330715574</v>
          </cell>
          <cell r="GC228">
            <v>-3975.8025999999991</v>
          </cell>
          <cell r="GD228">
            <v>-4029.1161285508106</v>
          </cell>
          <cell r="GE228">
            <v>27985.663400000001</v>
          </cell>
          <cell r="GF228">
            <v>4.2018805828813477</v>
          </cell>
          <cell r="GG228">
            <v>693.84403758002293</v>
          </cell>
          <cell r="GH228">
            <v>0</v>
          </cell>
        </row>
        <row r="229">
          <cell r="A229" t="str">
            <v>BALANCE IN RESPECT OF SUBSIDIARY</v>
          </cell>
          <cell r="I229">
            <v>0</v>
          </cell>
          <cell r="Q229">
            <v>-872.68899999999996</v>
          </cell>
          <cell r="U229">
            <v>-872.68899999999996</v>
          </cell>
          <cell r="AD229">
            <v>-872.68899999999996</v>
          </cell>
          <cell r="AJ229">
            <v>0</v>
          </cell>
          <cell r="AP229">
            <v>0</v>
          </cell>
          <cell r="AT229">
            <v>-872.68899999999996</v>
          </cell>
          <cell r="AX229">
            <v>-872.68899999999996</v>
          </cell>
          <cell r="AZ229" t="str">
            <v>BALANCE IN RESPECT OF SUBSIDIARY</v>
          </cell>
          <cell r="FI229">
            <v>-3630.3879999999999</v>
          </cell>
          <cell r="FN229">
            <v>-3630.3879999999999</v>
          </cell>
          <cell r="FT229">
            <v>-3630.3879999999999</v>
          </cell>
          <cell r="FV229">
            <v>-3630.3879999999999</v>
          </cell>
          <cell r="FX229">
            <v>-3630.3879999999999</v>
          </cell>
          <cell r="FY229">
            <v>0</v>
          </cell>
          <cell r="GA229">
            <v>-3630.3879999999999</v>
          </cell>
          <cell r="GB229">
            <v>-3679.0696911605528</v>
          </cell>
          <cell r="GC229">
            <v>-3630.3879999999999</v>
          </cell>
          <cell r="GD229">
            <v>-3679.0696911605528</v>
          </cell>
          <cell r="GE229">
            <v>0</v>
          </cell>
          <cell r="GF229">
            <v>4.1600020167551097</v>
          </cell>
        </row>
        <row r="230">
          <cell r="A230" t="str">
            <v>ORUM</v>
          </cell>
          <cell r="I230">
            <v>0</v>
          </cell>
          <cell r="M230" t="str">
            <v xml:space="preserve"> </v>
          </cell>
          <cell r="U230">
            <v>0</v>
          </cell>
          <cell r="AD230">
            <v>0</v>
          </cell>
          <cell r="AJ230">
            <v>0</v>
          </cell>
          <cell r="AP230">
            <v>0</v>
          </cell>
          <cell r="AT230">
            <v>0</v>
          </cell>
          <cell r="AX230">
            <v>0</v>
          </cell>
          <cell r="AZ230" t="str">
            <v>ORUM</v>
          </cell>
          <cell r="BI230">
            <v>0</v>
          </cell>
          <cell r="BU230">
            <v>0</v>
          </cell>
          <cell r="BX230">
            <v>0</v>
          </cell>
          <cell r="CD230">
            <v>0</v>
          </cell>
          <cell r="CJ230">
            <v>0</v>
          </cell>
          <cell r="CP230">
            <v>0</v>
          </cell>
          <cell r="CT230">
            <v>0</v>
          </cell>
          <cell r="CU230">
            <v>0</v>
          </cell>
          <cell r="CX230">
            <v>0</v>
          </cell>
          <cell r="FN230">
            <v>0</v>
          </cell>
          <cell r="FO230">
            <v>0</v>
          </cell>
          <cell r="FR230">
            <v>0</v>
          </cell>
          <cell r="FS230">
            <v>0</v>
          </cell>
          <cell r="FT230">
            <v>0</v>
          </cell>
          <cell r="FV230">
            <v>0</v>
          </cell>
          <cell r="FW230" t="str">
            <v>ORUM</v>
          </cell>
          <cell r="FX230">
            <v>0</v>
          </cell>
          <cell r="FY230">
            <v>0</v>
          </cell>
          <cell r="GA230">
            <v>0</v>
          </cell>
          <cell r="GB230">
            <v>0</v>
          </cell>
          <cell r="GC230">
            <v>0</v>
          </cell>
          <cell r="GD230">
            <v>0</v>
          </cell>
          <cell r="GE230">
            <v>0</v>
          </cell>
          <cell r="GF230" t="e">
            <v>#DIV/0!</v>
          </cell>
          <cell r="GG230">
            <v>0.32322073039878285</v>
          </cell>
          <cell r="GH230">
            <v>0</v>
          </cell>
        </row>
        <row r="231">
          <cell r="A231" t="str">
            <v>Unearned income</v>
          </cell>
          <cell r="I231">
            <v>0</v>
          </cell>
          <cell r="M231">
            <v>-9.530528846153846</v>
          </cell>
          <cell r="O231">
            <v>-206.5</v>
          </cell>
          <cell r="U231">
            <v>0</v>
          </cell>
          <cell r="AD231">
            <v>0</v>
          </cell>
          <cell r="AJ231">
            <v>0</v>
          </cell>
          <cell r="AP231">
            <v>0</v>
          </cell>
          <cell r="AT231">
            <v>-216.03052884615386</v>
          </cell>
          <cell r="AX231">
            <v>-216.03052884615386</v>
          </cell>
          <cell r="AZ231" t="str">
            <v>Unearned income</v>
          </cell>
          <cell r="BI231">
            <v>0</v>
          </cell>
          <cell r="BM231">
            <v>-29.942</v>
          </cell>
          <cell r="BO231">
            <v>-783</v>
          </cell>
          <cell r="BU231">
            <v>0</v>
          </cell>
          <cell r="BX231">
            <v>0</v>
          </cell>
          <cell r="CD231">
            <v>0</v>
          </cell>
          <cell r="CJ231">
            <v>0</v>
          </cell>
          <cell r="CP231">
            <v>0</v>
          </cell>
          <cell r="CT231">
            <v>-812.94200000000001</v>
          </cell>
          <cell r="CU231">
            <v>0</v>
          </cell>
          <cell r="CX231">
            <v>-812.94200000000001</v>
          </cell>
          <cell r="FG231">
            <v>-39.646999999999998</v>
          </cell>
          <cell r="FH231">
            <v>-828.5</v>
          </cell>
          <cell r="FN231">
            <v>0</v>
          </cell>
          <cell r="FO231">
            <v>0</v>
          </cell>
          <cell r="FR231">
            <v>0</v>
          </cell>
          <cell r="FS231">
            <v>0</v>
          </cell>
          <cell r="FT231">
            <v>-868.14700000000005</v>
          </cell>
          <cell r="FV231">
            <v>-868.14700000000005</v>
          </cell>
          <cell r="FW231" t="str">
            <v>Unearned income</v>
          </cell>
          <cell r="FX231">
            <v>0</v>
          </cell>
          <cell r="FY231">
            <v>0</v>
          </cell>
          <cell r="GA231">
            <v>0</v>
          </cell>
          <cell r="GB231">
            <v>0</v>
          </cell>
          <cell r="GC231">
            <v>-868.14700000000005</v>
          </cell>
          <cell r="GD231">
            <v>-879.78841797955499</v>
          </cell>
          <cell r="GE231">
            <v>-868.14700000000005</v>
          </cell>
          <cell r="GF231">
            <v>4.0186310918039316</v>
          </cell>
          <cell r="GG231">
            <v>-1462.049640757675</v>
          </cell>
          <cell r="GH231">
            <v>0</v>
          </cell>
        </row>
        <row r="232">
          <cell r="A232" t="str">
            <v xml:space="preserve">Royalties-other </v>
          </cell>
          <cell r="I232">
            <v>0</v>
          </cell>
          <cell r="M232" t="str">
            <v xml:space="preserve"> </v>
          </cell>
          <cell r="U232">
            <v>0</v>
          </cell>
          <cell r="AD232">
            <v>0</v>
          </cell>
          <cell r="AJ232">
            <v>0</v>
          </cell>
          <cell r="AP232">
            <v>0</v>
          </cell>
          <cell r="AT232">
            <v>0</v>
          </cell>
          <cell r="AV232">
            <v>-2480</v>
          </cell>
          <cell r="AX232">
            <v>-2480</v>
          </cell>
          <cell r="AZ232" t="str">
            <v xml:space="preserve">Royalties-other </v>
          </cell>
          <cell r="BI232">
            <v>0</v>
          </cell>
          <cell r="BU232">
            <v>0</v>
          </cell>
          <cell r="BX232">
            <v>0</v>
          </cell>
          <cell r="CD232">
            <v>0</v>
          </cell>
          <cell r="CJ232">
            <v>0</v>
          </cell>
          <cell r="CP232">
            <v>0</v>
          </cell>
          <cell r="CT232">
            <v>0</v>
          </cell>
          <cell r="CU232">
            <v>0</v>
          </cell>
          <cell r="CX232">
            <v>0</v>
          </cell>
          <cell r="FN232">
            <v>0</v>
          </cell>
          <cell r="FO232">
            <v>0</v>
          </cell>
          <cell r="FS232">
            <v>0</v>
          </cell>
          <cell r="FT232">
            <v>0</v>
          </cell>
          <cell r="FV232">
            <v>0</v>
          </cell>
          <cell r="FW232" t="str">
            <v xml:space="preserve">Royalties-other </v>
          </cell>
          <cell r="FX232">
            <v>0</v>
          </cell>
          <cell r="FY232">
            <v>0</v>
          </cell>
          <cell r="GA232">
            <v>0</v>
          </cell>
          <cell r="GB232">
            <v>0</v>
          </cell>
          <cell r="GC232">
            <v>0</v>
          </cell>
          <cell r="GD232">
            <v>0</v>
          </cell>
          <cell r="GE232">
            <v>0</v>
          </cell>
          <cell r="GF232">
            <v>0</v>
          </cell>
          <cell r="GG232">
            <v>-4684.0972905137205</v>
          </cell>
          <cell r="GH232">
            <v>0</v>
          </cell>
        </row>
        <row r="233">
          <cell r="A233" t="str">
            <v>STLM</v>
          </cell>
          <cell r="C233">
            <v>-79.906999999999996</v>
          </cell>
          <cell r="I233">
            <v>-79.906999999999996</v>
          </cell>
          <cell r="M233" t="str">
            <v xml:space="preserve"> </v>
          </cell>
          <cell r="Q233">
            <v>-8.5229999999999997</v>
          </cell>
          <cell r="U233">
            <v>-8.5229999999999997</v>
          </cell>
          <cell r="AD233">
            <v>-8.5229999999999997</v>
          </cell>
          <cell r="AJ233">
            <v>0</v>
          </cell>
          <cell r="AP233">
            <v>0</v>
          </cell>
          <cell r="AT233">
            <v>-88.43</v>
          </cell>
          <cell r="AX233">
            <v>-88.43</v>
          </cell>
          <cell r="AZ233" t="str">
            <v>STLM</v>
          </cell>
          <cell r="BC233">
            <v>-332.41300000000001</v>
          </cell>
          <cell r="BE233">
            <v>0</v>
          </cell>
          <cell r="BG233">
            <v>0</v>
          </cell>
          <cell r="BI233">
            <v>-332.41300000000001</v>
          </cell>
          <cell r="BQ233">
            <v>-35.454000000000001</v>
          </cell>
          <cell r="BU233">
            <v>-35.454000000000001</v>
          </cell>
          <cell r="BX233">
            <v>0</v>
          </cell>
          <cell r="CD233">
            <v>-35.454000000000001</v>
          </cell>
          <cell r="CJ233">
            <v>0</v>
          </cell>
          <cell r="CP233">
            <v>0</v>
          </cell>
          <cell r="CT233">
            <v>-367.86700000000002</v>
          </cell>
          <cell r="CU233">
            <v>0</v>
          </cell>
          <cell r="CX233">
            <v>-367.86700000000002</v>
          </cell>
          <cell r="FC233">
            <v>-332.41300000000001</v>
          </cell>
          <cell r="FF233">
            <v>-332.41300000000001</v>
          </cell>
          <cell r="FI233">
            <v>-35.454000000000001</v>
          </cell>
          <cell r="FN233">
            <v>-35.454000000000001</v>
          </cell>
          <cell r="FO233">
            <v>0</v>
          </cell>
          <cell r="FR233">
            <v>0</v>
          </cell>
          <cell r="FS233">
            <v>0</v>
          </cell>
          <cell r="FT233">
            <v>-367.86700000000002</v>
          </cell>
          <cell r="FV233">
            <v>-367.86700000000002</v>
          </cell>
          <cell r="FW233" t="str">
            <v>STLM</v>
          </cell>
          <cell r="FX233">
            <v>-35.454000000000001</v>
          </cell>
          <cell r="FY233">
            <v>0</v>
          </cell>
          <cell r="GA233">
            <v>-35.454000000000001</v>
          </cell>
          <cell r="GB233">
            <v>-35.929420444978952</v>
          </cell>
          <cell r="GC233">
            <v>-367.86700000000002</v>
          </cell>
          <cell r="GD233">
            <v>-372.79991286831029</v>
          </cell>
          <cell r="GE233">
            <v>-332.41300000000001</v>
          </cell>
          <cell r="GF233">
            <v>4.1599796449168842</v>
          </cell>
          <cell r="GG233">
            <v>-13.198355443153776</v>
          </cell>
          <cell r="GH233">
            <v>0</v>
          </cell>
        </row>
        <row r="234">
          <cell r="A234" t="str">
            <v>ICP</v>
          </cell>
          <cell r="I234">
            <v>0</v>
          </cell>
          <cell r="M234" t="str">
            <v xml:space="preserve"> </v>
          </cell>
          <cell r="U234">
            <v>0</v>
          </cell>
          <cell r="AD234">
            <v>0</v>
          </cell>
          <cell r="AJ234">
            <v>0</v>
          </cell>
          <cell r="AP234">
            <v>0</v>
          </cell>
          <cell r="AT234">
            <v>0</v>
          </cell>
          <cell r="AX234">
            <v>0</v>
          </cell>
          <cell r="AZ234" t="str">
            <v>i.c.p.</v>
          </cell>
          <cell r="BE234">
            <v>0</v>
          </cell>
          <cell r="BG234">
            <v>0</v>
          </cell>
          <cell r="BI234">
            <v>0</v>
          </cell>
          <cell r="BU234">
            <v>0</v>
          </cell>
          <cell r="BX234">
            <v>0</v>
          </cell>
          <cell r="CD234">
            <v>0</v>
          </cell>
          <cell r="CJ234">
            <v>0</v>
          </cell>
          <cell r="CP234">
            <v>0</v>
          </cell>
          <cell r="CT234">
            <v>0</v>
          </cell>
          <cell r="CU234">
            <v>0</v>
          </cell>
          <cell r="CV234">
            <v>0</v>
          </cell>
          <cell r="CX234">
            <v>0</v>
          </cell>
          <cell r="FN234">
            <v>0</v>
          </cell>
          <cell r="FO234">
            <v>0</v>
          </cell>
          <cell r="FR234">
            <v>0</v>
          </cell>
          <cell r="FS234">
            <v>0</v>
          </cell>
          <cell r="FT234">
            <v>0</v>
          </cell>
          <cell r="FU234">
            <v>0</v>
          </cell>
          <cell r="FV234">
            <v>0</v>
          </cell>
          <cell r="FW234" t="str">
            <v>ICP</v>
          </cell>
          <cell r="FX234">
            <v>0</v>
          </cell>
          <cell r="FY234">
            <v>0</v>
          </cell>
          <cell r="GA234">
            <v>0</v>
          </cell>
          <cell r="GB234">
            <v>0</v>
          </cell>
          <cell r="GC234">
            <v>0</v>
          </cell>
          <cell r="GD234">
            <v>0</v>
          </cell>
          <cell r="GE234">
            <v>0</v>
          </cell>
          <cell r="GF234" t="e">
            <v>#DIV/0!</v>
          </cell>
          <cell r="GG234">
            <v>0</v>
          </cell>
          <cell r="GH234">
            <v>0</v>
          </cell>
        </row>
        <row r="235">
          <cell r="A235" t="str">
            <v>Iediot-current maturity</v>
          </cell>
          <cell r="I235">
            <v>0</v>
          </cell>
          <cell r="M235" t="str">
            <v xml:space="preserve"> </v>
          </cell>
          <cell r="U235">
            <v>0</v>
          </cell>
          <cell r="AD235">
            <v>0</v>
          </cell>
          <cell r="AJ235">
            <v>0</v>
          </cell>
          <cell r="AP235">
            <v>0</v>
          </cell>
          <cell r="AT235">
            <v>0</v>
          </cell>
          <cell r="AX235">
            <v>0</v>
          </cell>
          <cell r="AZ235" t="str">
            <v xml:space="preserve">    iediot</v>
          </cell>
          <cell r="BI235">
            <v>0</v>
          </cell>
          <cell r="BU235">
            <v>0</v>
          </cell>
          <cell r="BX235">
            <v>0</v>
          </cell>
          <cell r="CD235">
            <v>0</v>
          </cell>
          <cell r="CJ235">
            <v>0</v>
          </cell>
          <cell r="CP235">
            <v>0</v>
          </cell>
          <cell r="CT235">
            <v>0</v>
          </cell>
          <cell r="CU235">
            <v>0</v>
          </cell>
          <cell r="CV235">
            <v>0</v>
          </cell>
          <cell r="CX235">
            <v>0</v>
          </cell>
          <cell r="FN235">
            <v>0</v>
          </cell>
          <cell r="FO235">
            <v>0</v>
          </cell>
          <cell r="FR235">
            <v>0</v>
          </cell>
          <cell r="FS235">
            <v>0</v>
          </cell>
          <cell r="FT235">
            <v>0</v>
          </cell>
          <cell r="FU235">
            <v>0</v>
          </cell>
          <cell r="FV235">
            <v>0</v>
          </cell>
          <cell r="FW235" t="str">
            <v>Iediot-current maturity</v>
          </cell>
          <cell r="FX235">
            <v>0</v>
          </cell>
          <cell r="FY235">
            <v>0</v>
          </cell>
          <cell r="GA235">
            <v>0</v>
          </cell>
          <cell r="GB235">
            <v>0</v>
          </cell>
          <cell r="GC235">
            <v>0</v>
          </cell>
          <cell r="GD235">
            <v>0</v>
          </cell>
          <cell r="GE235">
            <v>0</v>
          </cell>
          <cell r="GF235" t="e">
            <v>#DIV/0!</v>
          </cell>
          <cell r="GG235">
            <v>0</v>
          </cell>
          <cell r="GH235">
            <v>0</v>
          </cell>
        </row>
        <row r="236">
          <cell r="A236" t="str">
            <v>AUREC</v>
          </cell>
          <cell r="I236">
            <v>0</v>
          </cell>
          <cell r="M236" t="str">
            <v xml:space="preserve"> </v>
          </cell>
          <cell r="Q236">
            <v>-12.007999999999999</v>
          </cell>
          <cell r="U236">
            <v>-12.007999999999999</v>
          </cell>
          <cell r="AD236">
            <v>-12.007999999999999</v>
          </cell>
          <cell r="AJ236">
            <v>0</v>
          </cell>
          <cell r="AP236">
            <v>0</v>
          </cell>
          <cell r="AT236">
            <v>-12.007999999999999</v>
          </cell>
          <cell r="AX236">
            <v>-12.007999999999999</v>
          </cell>
          <cell r="AZ236" t="str">
            <v>aurec</v>
          </cell>
          <cell r="BE236">
            <v>0</v>
          </cell>
          <cell r="BG236">
            <v>0</v>
          </cell>
          <cell r="BI236">
            <v>0</v>
          </cell>
          <cell r="BQ236">
            <v>-49.956000000000003</v>
          </cell>
          <cell r="BU236">
            <v>-49.956000000000003</v>
          </cell>
          <cell r="BX236">
            <v>0</v>
          </cell>
          <cell r="CD236">
            <v>-49.956000000000003</v>
          </cell>
          <cell r="CJ236">
            <v>0</v>
          </cell>
          <cell r="CP236">
            <v>0</v>
          </cell>
          <cell r="CT236">
            <v>-49.956000000000003</v>
          </cell>
          <cell r="CU236">
            <v>0</v>
          </cell>
          <cell r="CV236">
            <v>0</v>
          </cell>
          <cell r="CX236">
            <v>-49.956000000000003</v>
          </cell>
          <cell r="FI236">
            <v>-49.956000000000003</v>
          </cell>
          <cell r="FN236">
            <v>-49.956000000000003</v>
          </cell>
          <cell r="FO236">
            <v>0</v>
          </cell>
          <cell r="FR236">
            <v>0</v>
          </cell>
          <cell r="FS236">
            <v>0</v>
          </cell>
          <cell r="FT236">
            <v>-49.956000000000003</v>
          </cell>
          <cell r="FU236">
            <v>0</v>
          </cell>
          <cell r="FV236">
            <v>-49.956000000000003</v>
          </cell>
          <cell r="FW236" t="str">
            <v>AUREC</v>
          </cell>
          <cell r="FX236">
            <v>-49.956000000000003</v>
          </cell>
          <cell r="FY236">
            <v>0</v>
          </cell>
          <cell r="GA236">
            <v>-49.956000000000003</v>
          </cell>
          <cell r="GB236">
            <v>-50.625885027059525</v>
          </cell>
          <cell r="GC236">
            <v>-49.956000000000003</v>
          </cell>
          <cell r="GD236">
            <v>-50.625885027059525</v>
          </cell>
          <cell r="GE236">
            <v>0</v>
          </cell>
          <cell r="GF236">
            <v>4.1602265156562295</v>
          </cell>
          <cell r="GG236">
            <v>-25.128374639294808</v>
          </cell>
          <cell r="GH236">
            <v>0</v>
          </cell>
        </row>
        <row r="237">
          <cell r="A237" t="str">
            <v>VACATION PROV.</v>
          </cell>
          <cell r="I237">
            <v>0</v>
          </cell>
          <cell r="M237">
            <v>-21.186538461538461</v>
          </cell>
          <cell r="Q237">
            <v>-675.90523076923068</v>
          </cell>
          <cell r="U237">
            <v>-675.90523076923068</v>
          </cell>
          <cell r="W237">
            <v>-48.5</v>
          </cell>
          <cell r="X237">
            <v>-48.5</v>
          </cell>
          <cell r="AD237">
            <v>-772.90523076923068</v>
          </cell>
          <cell r="AJ237">
            <v>0</v>
          </cell>
          <cell r="AL237">
            <v>-6.4690000000000003</v>
          </cell>
          <cell r="AP237">
            <v>-6.4690000000000003</v>
          </cell>
          <cell r="AR237">
            <v>-8.4809999999999999</v>
          </cell>
          <cell r="AT237">
            <v>-809.04176923076921</v>
          </cell>
          <cell r="AX237">
            <v>-809.04176923076921</v>
          </cell>
          <cell r="AZ237" t="str">
            <v>VACATION PROV.</v>
          </cell>
          <cell r="BG237">
            <v>0</v>
          </cell>
          <cell r="BI237">
            <v>0</v>
          </cell>
          <cell r="BM237">
            <v>-88.135999999999996</v>
          </cell>
          <cell r="BQ237">
            <v>-2811.7669999999998</v>
          </cell>
          <cell r="BU237">
            <v>-2811.7669999999998</v>
          </cell>
          <cell r="BW237">
            <v>-201.5</v>
          </cell>
          <cell r="BX237">
            <v>-201.5</v>
          </cell>
          <cell r="CD237">
            <v>-3214.7669999999998</v>
          </cell>
          <cell r="CJ237">
            <v>0</v>
          </cell>
          <cell r="CL237">
            <v>-18</v>
          </cell>
          <cell r="CP237">
            <v>-18</v>
          </cell>
          <cell r="CR237">
            <v>-26.4</v>
          </cell>
          <cell r="CT237">
            <v>-3347.3029999999999</v>
          </cell>
          <cell r="CU237">
            <v>0</v>
          </cell>
          <cell r="CV237">
            <v>0</v>
          </cell>
          <cell r="CX237">
            <v>-3347.3029999999999</v>
          </cell>
          <cell r="FG237">
            <v>-88.135999999999996</v>
          </cell>
          <cell r="FI237">
            <v>-2811.7669999999998</v>
          </cell>
          <cell r="FJ237">
            <v>-201.5</v>
          </cell>
          <cell r="FK237">
            <v>-201.5</v>
          </cell>
          <cell r="FN237">
            <v>-3214.7669999999998</v>
          </cell>
          <cell r="FO237">
            <v>0</v>
          </cell>
          <cell r="FP237">
            <v>-18</v>
          </cell>
          <cell r="FR237">
            <v>-18</v>
          </cell>
          <cell r="FS237">
            <v>-35.28</v>
          </cell>
          <cell r="FT237">
            <v>-3356.183</v>
          </cell>
          <cell r="FU237">
            <v>0</v>
          </cell>
          <cell r="FV237">
            <v>-3356.183</v>
          </cell>
          <cell r="FW237" t="str">
            <v>VACATION PROV.</v>
          </cell>
          <cell r="FX237">
            <v>-3214.7669999999998</v>
          </cell>
          <cell r="FY237">
            <v>-18</v>
          </cell>
          <cell r="GA237">
            <v>-3232.7669999999998</v>
          </cell>
          <cell r="GB237">
            <v>-3276.116792002405</v>
          </cell>
          <cell r="GC237">
            <v>-3356.183</v>
          </cell>
          <cell r="GD237">
            <v>-3401.1877389657243</v>
          </cell>
          <cell r="GE237">
            <v>-123.41600000000017</v>
          </cell>
          <cell r="GF237">
            <v>4.1483432965284761</v>
          </cell>
          <cell r="GG237">
            <v>-3577.9038352319135</v>
          </cell>
          <cell r="GH237">
            <v>0</v>
          </cell>
        </row>
        <row r="238">
          <cell r="A238" t="str">
            <v>inCOME tax</v>
          </cell>
          <cell r="C238">
            <v>-1.714</v>
          </cell>
          <cell r="I238">
            <v>-1.714</v>
          </cell>
          <cell r="M238" t="str">
            <v xml:space="preserve"> </v>
          </cell>
          <cell r="Z238">
            <v>-92.307692307692307</v>
          </cell>
          <cell r="AD238">
            <v>-92.307692307692307</v>
          </cell>
          <cell r="AP238">
            <v>0</v>
          </cell>
          <cell r="AT238">
            <v>-94.021692307692305</v>
          </cell>
          <cell r="AV238">
            <v>94.021692307692305</v>
          </cell>
          <cell r="AX238">
            <v>0</v>
          </cell>
          <cell r="AZ238" t="str">
            <v>inCOME tax</v>
          </cell>
          <cell r="BC238">
            <v>-7.13</v>
          </cell>
          <cell r="BI238">
            <v>-7.13</v>
          </cell>
          <cell r="BX238">
            <v>0</v>
          </cell>
          <cell r="BZ238">
            <v>-384</v>
          </cell>
          <cell r="CD238">
            <v>-384</v>
          </cell>
          <cell r="CL238">
            <v>-8637</v>
          </cell>
          <cell r="CP238">
            <v>-8637</v>
          </cell>
          <cell r="CT238">
            <v>-9028.1299999999992</v>
          </cell>
          <cell r="CU238">
            <v>0</v>
          </cell>
          <cell r="CX238">
            <v>-9028.1299999999992</v>
          </cell>
          <cell r="FC238">
            <v>-7.13</v>
          </cell>
          <cell r="FF238">
            <v>-7.13</v>
          </cell>
          <cell r="FL238">
            <v>-170.37299999999999</v>
          </cell>
          <cell r="FN238">
            <v>-170.37299999999999</v>
          </cell>
          <cell r="FR238">
            <v>0</v>
          </cell>
          <cell r="FS238">
            <v>0</v>
          </cell>
          <cell r="FT238">
            <v>-177.50299999999999</v>
          </cell>
          <cell r="FV238">
            <v>-177.50299999999999</v>
          </cell>
          <cell r="FW238" t="str">
            <v>inCOME tax</v>
          </cell>
          <cell r="FX238">
            <v>-170.37299999999999</v>
          </cell>
          <cell r="FY238">
            <v>0</v>
          </cell>
          <cell r="GA238">
            <v>-170.37299999999999</v>
          </cell>
          <cell r="GB238">
            <v>-172.65761689717377</v>
          </cell>
          <cell r="GC238">
            <v>-177.50299999999999</v>
          </cell>
          <cell r="GD238">
            <v>-179.8832266386049</v>
          </cell>
          <cell r="GE238">
            <v>-7.13</v>
          </cell>
          <cell r="GF238" t="e">
            <v>#DIV/0!</v>
          </cell>
        </row>
        <row r="239">
          <cell r="A239" t="str">
            <v>V.A.T.</v>
          </cell>
          <cell r="I239">
            <v>0</v>
          </cell>
          <cell r="M239" t="str">
            <v xml:space="preserve"> </v>
          </cell>
          <cell r="O239">
            <v>-88</v>
          </cell>
          <cell r="Q239">
            <v>-588.82600000000002</v>
          </cell>
          <cell r="U239">
            <v>-588.82600000000002</v>
          </cell>
          <cell r="Z239">
            <v>-5.6859999999999999</v>
          </cell>
          <cell r="AD239">
            <v>-594.51200000000006</v>
          </cell>
          <cell r="AF239">
            <v>-16.751000000000001</v>
          </cell>
          <cell r="AJ239">
            <v>-16.751000000000001</v>
          </cell>
          <cell r="AP239">
            <v>-16.751000000000001</v>
          </cell>
          <cell r="AR239">
            <v>49.791000000000004</v>
          </cell>
          <cell r="AT239">
            <v>-649.47199999999998</v>
          </cell>
          <cell r="AX239">
            <v>-649.47199999999998</v>
          </cell>
          <cell r="AZ239" t="str">
            <v>V.A.T.</v>
          </cell>
          <cell r="BI239">
            <v>0</v>
          </cell>
          <cell r="BO239">
            <v>-365</v>
          </cell>
          <cell r="BQ239">
            <v>-2449.5149999999999</v>
          </cell>
          <cell r="BU239">
            <v>-2449.5149999999999</v>
          </cell>
          <cell r="BX239">
            <v>0</v>
          </cell>
          <cell r="BZ239">
            <v>-23.655000000000001</v>
          </cell>
          <cell r="CD239">
            <v>-2473.17</v>
          </cell>
          <cell r="CF239">
            <v>-69.685000000000002</v>
          </cell>
          <cell r="CH239">
            <v>0</v>
          </cell>
          <cell r="CJ239">
            <v>-69.685000000000002</v>
          </cell>
          <cell r="CP239">
            <v>-69.685000000000002</v>
          </cell>
          <cell r="CR239">
            <v>207.14200000000002</v>
          </cell>
          <cell r="CT239">
            <v>-2700.7130000000002</v>
          </cell>
          <cell r="CU239">
            <v>0</v>
          </cell>
          <cell r="CV239">
            <v>0</v>
          </cell>
          <cell r="CX239">
            <v>-2700.7130000000002</v>
          </cell>
          <cell r="FH239">
            <v>-365</v>
          </cell>
          <cell r="FI239">
            <v>-2449.5149999999999</v>
          </cell>
          <cell r="FL239">
            <v>-23.655000000000001</v>
          </cell>
          <cell r="FN239">
            <v>-2473.17</v>
          </cell>
          <cell r="FO239">
            <v>-69.685000000000002</v>
          </cell>
          <cell r="FR239">
            <v>-69.685000000000002</v>
          </cell>
          <cell r="FS239">
            <v>207.14200000000002</v>
          </cell>
          <cell r="FT239">
            <v>-2700.7130000000002</v>
          </cell>
          <cell r="FU239">
            <v>0</v>
          </cell>
          <cell r="FV239">
            <v>-2700.7130000000002</v>
          </cell>
          <cell r="FW239" t="str">
            <v>V.A.T.</v>
          </cell>
          <cell r="FX239">
            <v>-2473.17</v>
          </cell>
          <cell r="FY239">
            <v>-69.685000000000002</v>
          </cell>
          <cell r="GA239">
            <v>-2542.855</v>
          </cell>
          <cell r="GB239">
            <v>-2576.953416416115</v>
          </cell>
          <cell r="GC239">
            <v>-2700.7130000000002</v>
          </cell>
          <cell r="GD239">
            <v>-2736.928213409501</v>
          </cell>
          <cell r="GE239">
            <v>-157.85800000000017</v>
          </cell>
          <cell r="GF239">
            <v>4.1583209129877812</v>
          </cell>
          <cell r="GG239">
            <v>-1318.6903257350327</v>
          </cell>
          <cell r="GH239">
            <v>0</v>
          </cell>
        </row>
        <row r="240">
          <cell r="A240" t="str">
            <v>OTHER CREDITORS</v>
          </cell>
          <cell r="I240">
            <v>0</v>
          </cell>
          <cell r="M240">
            <v>-15.419711538461538</v>
          </cell>
          <cell r="O240">
            <v>-334.29899999999998</v>
          </cell>
          <cell r="Q240">
            <v>-626.53600000000006</v>
          </cell>
          <cell r="U240">
            <v>-626.53600000000006</v>
          </cell>
          <cell r="W240">
            <v>-137.5</v>
          </cell>
          <cell r="X240">
            <v>-137.5</v>
          </cell>
          <cell r="Z240">
            <v>-10.138</v>
          </cell>
          <cell r="AD240">
            <v>-911.67400000000009</v>
          </cell>
          <cell r="AJ240">
            <v>0</v>
          </cell>
          <cell r="AL240">
            <v>-2126.8049999999998</v>
          </cell>
          <cell r="AP240">
            <v>-2126.8049999999998</v>
          </cell>
          <cell r="AR240">
            <v>-16.023</v>
          </cell>
          <cell r="AT240">
            <v>-3404.2207115384617</v>
          </cell>
          <cell r="AX240">
            <v>-3404.2207115384617</v>
          </cell>
          <cell r="AZ240" t="str">
            <v>OTHER CREDITORS</v>
          </cell>
          <cell r="BI240">
            <v>0</v>
          </cell>
          <cell r="BM240">
            <v>-64.146000000000001</v>
          </cell>
          <cell r="BO240">
            <v>-1663</v>
          </cell>
          <cell r="BQ240">
            <v>-2606.3940000000002</v>
          </cell>
          <cell r="BU240">
            <v>-2606.3940000000002</v>
          </cell>
          <cell r="BW240">
            <v>-570.5</v>
          </cell>
          <cell r="BX240">
            <v>-570.5</v>
          </cell>
          <cell r="BZ240">
            <v>-42.173000000000002</v>
          </cell>
          <cell r="CD240">
            <v>-3789.567</v>
          </cell>
          <cell r="CJ240">
            <v>0</v>
          </cell>
          <cell r="CL240">
            <v>-218</v>
          </cell>
          <cell r="CP240">
            <v>-218</v>
          </cell>
          <cell r="CR240">
            <v>-66.534999999999997</v>
          </cell>
          <cell r="CT240">
            <v>-5801.2479999999996</v>
          </cell>
          <cell r="CU240">
            <v>0</v>
          </cell>
          <cell r="CX240">
            <v>-5801.2479999999996</v>
          </cell>
          <cell r="FG240">
            <v>-64.146000000000001</v>
          </cell>
          <cell r="FH240">
            <v>-1392</v>
          </cell>
          <cell r="FI240">
            <v>-2606.3940000000002</v>
          </cell>
          <cell r="FJ240">
            <v>-570.5</v>
          </cell>
          <cell r="FK240">
            <v>-570.5</v>
          </cell>
          <cell r="FL240">
            <v>-42.173999999999999</v>
          </cell>
          <cell r="FN240">
            <v>-3789.5680000000002</v>
          </cell>
          <cell r="FO240">
            <v>0</v>
          </cell>
          <cell r="FP240">
            <v>-8855</v>
          </cell>
          <cell r="FR240">
            <v>-8855</v>
          </cell>
          <cell r="FS240">
            <v>-66.534999999999997</v>
          </cell>
          <cell r="FT240">
            <v>-14167.249</v>
          </cell>
          <cell r="FV240">
            <v>-14167.249</v>
          </cell>
          <cell r="FW240" t="str">
            <v>OTHER CREDITORS</v>
          </cell>
          <cell r="FX240">
            <v>-3789.5680000000002</v>
          </cell>
          <cell r="FY240">
            <v>-8855</v>
          </cell>
          <cell r="GA240">
            <v>-12644.567999999999</v>
          </cell>
          <cell r="GB240">
            <v>-12814.125346001201</v>
          </cell>
          <cell r="GC240">
            <v>-14167.249</v>
          </cell>
          <cell r="GD240">
            <v>-14357.224738244136</v>
          </cell>
          <cell r="GE240">
            <v>-1522.6810000000005</v>
          </cell>
          <cell r="GF240">
            <v>4.1616717012444902</v>
          </cell>
          <cell r="GG240">
            <v>-7340.1590054508006</v>
          </cell>
          <cell r="GH240">
            <v>0</v>
          </cell>
        </row>
        <row r="241">
          <cell r="A241" t="str">
            <v>ACCRUED EXPENSES</v>
          </cell>
          <cell r="C241">
            <v>-60.730199999999996</v>
          </cell>
          <cell r="I241">
            <v>-60.730199999999996</v>
          </cell>
          <cell r="M241">
            <v>-35.075600961538463</v>
          </cell>
          <cell r="O241">
            <v>-10</v>
          </cell>
          <cell r="Q241">
            <v>-1679.1679999999999</v>
          </cell>
          <cell r="U241">
            <v>-1679.1679999999999</v>
          </cell>
          <cell r="W241">
            <v>-734</v>
          </cell>
          <cell r="X241">
            <v>-734</v>
          </cell>
          <cell r="Z241">
            <v>-9.375</v>
          </cell>
          <cell r="AD241">
            <v>-3156.5429999999997</v>
          </cell>
          <cell r="AF241">
            <v>-8</v>
          </cell>
          <cell r="AJ241">
            <v>-8</v>
          </cell>
          <cell r="AL241">
            <v>-1380.5340000000001</v>
          </cell>
          <cell r="AP241">
            <v>-1388.5340000000001</v>
          </cell>
          <cell r="AR241">
            <v>-322.04899999999998</v>
          </cell>
          <cell r="AT241">
            <v>-4972.931800961539</v>
          </cell>
          <cell r="AV241">
            <v>2480</v>
          </cell>
          <cell r="AX241">
            <v>-2492.931800961539</v>
          </cell>
          <cell r="AZ241" t="str">
            <v>ACCRUED EXPENSES</v>
          </cell>
          <cell r="BC241">
            <v>-252.636</v>
          </cell>
          <cell r="BI241">
            <v>-252.636</v>
          </cell>
          <cell r="BM241">
            <v>-145.9145</v>
          </cell>
          <cell r="BO241">
            <v>-41</v>
          </cell>
          <cell r="BQ241">
            <v>-6985.3389999999999</v>
          </cell>
          <cell r="BU241">
            <v>-6985.3389999999999</v>
          </cell>
          <cell r="BW241">
            <v>-3055.5</v>
          </cell>
          <cell r="BX241">
            <v>-3055.5</v>
          </cell>
          <cell r="BZ241">
            <v>-40</v>
          </cell>
          <cell r="CD241">
            <v>-13136.339</v>
          </cell>
          <cell r="CF241">
            <v>-34</v>
          </cell>
          <cell r="CJ241">
            <v>-34</v>
          </cell>
          <cell r="CL241">
            <v>-5743</v>
          </cell>
          <cell r="CP241">
            <v>-5777</v>
          </cell>
          <cell r="CR241">
            <v>-1339.7249999999999</v>
          </cell>
          <cell r="CT241">
            <v>-20692.6145</v>
          </cell>
          <cell r="CU241">
            <v>0</v>
          </cell>
          <cell r="CX241">
            <v>-20692.6145</v>
          </cell>
          <cell r="FC241">
            <v>-251.636</v>
          </cell>
          <cell r="FF241">
            <v>-251.636</v>
          </cell>
          <cell r="FG241">
            <v>-145.9145</v>
          </cell>
          <cell r="FH241">
            <v>-41</v>
          </cell>
          <cell r="FI241">
            <v>-6985.3389999999999</v>
          </cell>
          <cell r="FJ241">
            <v>-3055.5</v>
          </cell>
          <cell r="FK241">
            <v>-3055.5</v>
          </cell>
          <cell r="FL241">
            <v>-39</v>
          </cell>
          <cell r="FN241">
            <v>-13135.339</v>
          </cell>
          <cell r="FO241">
            <v>-34</v>
          </cell>
          <cell r="FP241">
            <v>-5743</v>
          </cell>
          <cell r="FR241">
            <v>-5777</v>
          </cell>
          <cell r="FS241">
            <v>-1343.049</v>
          </cell>
          <cell r="FT241">
            <v>-20693.938499999997</v>
          </cell>
          <cell r="FV241">
            <v>-20693.938499999997</v>
          </cell>
          <cell r="FW241" t="str">
            <v>ACCRUED EXPENSES</v>
          </cell>
          <cell r="FX241">
            <v>-13135.339</v>
          </cell>
          <cell r="FY241">
            <v>-5777</v>
          </cell>
          <cell r="GA241">
            <v>-18912.339</v>
          </cell>
          <cell r="GB241">
            <v>-19165.944026879133</v>
          </cell>
          <cell r="GC241">
            <v>-20693.938499999997</v>
          </cell>
          <cell r="GD241">
            <v>-20971.433886981355</v>
          </cell>
          <cell r="GE241">
            <v>-1781.5994999999966</v>
          </cell>
          <cell r="GF241">
            <v>8.3010447746778393</v>
          </cell>
          <cell r="GG241">
            <v>-5925.8333515891745</v>
          </cell>
          <cell r="GH241">
            <v>0</v>
          </cell>
        </row>
        <row r="242">
          <cell r="A242" t="str">
            <v>Total creditors</v>
          </cell>
          <cell r="C242">
            <v>-142.35120000000001</v>
          </cell>
          <cell r="E242">
            <v>0</v>
          </cell>
          <cell r="G242">
            <v>0</v>
          </cell>
          <cell r="I242">
            <v>-142.35120000000001</v>
          </cell>
          <cell r="M242">
            <v>-81</v>
          </cell>
          <cell r="O242">
            <v>-2657</v>
          </cell>
          <cell r="Q242">
            <v>-13125.745230769231</v>
          </cell>
          <cell r="S242">
            <v>0</v>
          </cell>
          <cell r="U242">
            <v>-13125.745230769231</v>
          </cell>
          <cell r="W242">
            <v>-3634</v>
          </cell>
          <cell r="X242">
            <v>-3822</v>
          </cell>
          <cell r="Z242">
            <v>-212.15069230769231</v>
          </cell>
          <cell r="AB242">
            <v>0</v>
          </cell>
          <cell r="AD242">
            <v>-20793.895923076918</v>
          </cell>
          <cell r="AF242">
            <v>-24.751000000000001</v>
          </cell>
          <cell r="AH242">
            <v>0</v>
          </cell>
          <cell r="AJ242">
            <v>-24.751000000000001</v>
          </cell>
          <cell r="AL242">
            <v>-7513.469000000001</v>
          </cell>
          <cell r="AN242">
            <v>26.103999999999999</v>
          </cell>
          <cell r="AP242">
            <v>-7512.116</v>
          </cell>
          <cell r="AR242">
            <v>-495</v>
          </cell>
          <cell r="AT242">
            <v>-31682.117502884612</v>
          </cell>
          <cell r="AV242">
            <v>6861.4886923076929</v>
          </cell>
          <cell r="AX242">
            <v>-24820.628810576924</v>
          </cell>
          <cell r="AZ242" t="str">
            <v>Total creditors</v>
          </cell>
          <cell r="BC242">
            <v>517.44099999999992</v>
          </cell>
          <cell r="BE242">
            <v>0</v>
          </cell>
          <cell r="BG242">
            <v>0</v>
          </cell>
          <cell r="BI242">
            <v>517.44099999999992</v>
          </cell>
          <cell r="BM242">
            <v>-328.13850000000002</v>
          </cell>
          <cell r="BO242">
            <v>-10977.5</v>
          </cell>
          <cell r="BQ242">
            <v>-54627.900999999998</v>
          </cell>
          <cell r="BS242">
            <v>0</v>
          </cell>
          <cell r="BU242">
            <v>-54627.900999999998</v>
          </cell>
          <cell r="BW242">
            <v>-15117</v>
          </cell>
          <cell r="BX242">
            <v>-15901</v>
          </cell>
          <cell r="BZ242">
            <v>-883.55</v>
          </cell>
          <cell r="CB242">
            <v>0</v>
          </cell>
          <cell r="CD242">
            <v>-86529.451000000001</v>
          </cell>
          <cell r="CF242">
            <v>-103.685</v>
          </cell>
          <cell r="CH242">
            <v>0</v>
          </cell>
          <cell r="CJ242">
            <v>-103.685</v>
          </cell>
          <cell r="CL242">
            <v>-31242</v>
          </cell>
          <cell r="CN242">
            <v>108.59399999999999</v>
          </cell>
          <cell r="CP242">
            <v>-31237.091000000004</v>
          </cell>
          <cell r="CR242">
            <v>-2051.6530000000002</v>
          </cell>
          <cell r="CT242">
            <v>-130606.39250000002</v>
          </cell>
          <cell r="CU242">
            <v>0</v>
          </cell>
          <cell r="CV242">
            <v>27160.095000000001</v>
          </cell>
          <cell r="CX242">
            <v>-103446.29749999999</v>
          </cell>
          <cell r="FC242">
            <v>518.44099999999992</v>
          </cell>
          <cell r="FD242">
            <v>0</v>
          </cell>
          <cell r="FE242">
            <v>-1109.6199999999999</v>
          </cell>
          <cell r="FF242">
            <v>-591.17899999999997</v>
          </cell>
          <cell r="FG242">
            <v>-337.84349999999995</v>
          </cell>
          <cell r="FH242">
            <v>-11023</v>
          </cell>
          <cell r="FI242">
            <v>-54627.900999999998</v>
          </cell>
          <cell r="FJ242">
            <v>-15116</v>
          </cell>
          <cell r="FK242">
            <v>-15901</v>
          </cell>
          <cell r="FL242">
            <v>-668.92399999999998</v>
          </cell>
          <cell r="FM242">
            <v>0</v>
          </cell>
          <cell r="FN242">
            <v>-86313.825000000012</v>
          </cell>
          <cell r="FO242">
            <v>-103.685</v>
          </cell>
          <cell r="FP242">
            <v>-31242</v>
          </cell>
          <cell r="FQ242">
            <v>0</v>
          </cell>
          <cell r="FR242">
            <v>-31345.685000000001</v>
          </cell>
          <cell r="FS242">
            <v>-2063.808</v>
          </cell>
          <cell r="FT242">
            <v>-131675.34050000002</v>
          </cell>
          <cell r="FU242">
            <v>28256.663400000001</v>
          </cell>
          <cell r="FV242">
            <v>-103418.6771</v>
          </cell>
          <cell r="FW242" t="str">
            <v>Total creditors</v>
          </cell>
          <cell r="FX242">
            <v>-86313.825000000012</v>
          </cell>
          <cell r="FY242">
            <v>-31345.685000000001</v>
          </cell>
          <cell r="FZ242">
            <v>0</v>
          </cell>
          <cell r="GA242">
            <v>-117659.51</v>
          </cell>
          <cell r="GB242">
            <v>-119237.26530547203</v>
          </cell>
          <cell r="GC242">
            <v>-103418.6771</v>
          </cell>
          <cell r="GD242">
            <v>-104805.46994385448</v>
          </cell>
          <cell r="GE242">
            <v>14240.832900000001</v>
          </cell>
          <cell r="GF242">
            <v>4.166642106018271</v>
          </cell>
          <cell r="GG242">
            <v>-57043.782591436429</v>
          </cell>
          <cell r="GH242">
            <v>0</v>
          </cell>
        </row>
        <row r="243">
          <cell r="A243" t="str">
            <v>Total curr. liabil.</v>
          </cell>
          <cell r="C243">
            <v>-847.25119999999993</v>
          </cell>
          <cell r="E243">
            <v>0</v>
          </cell>
          <cell r="G243">
            <v>0</v>
          </cell>
          <cell r="I243">
            <v>-847.25119999999993</v>
          </cell>
          <cell r="M243">
            <v>-81</v>
          </cell>
          <cell r="O243">
            <v>-3900</v>
          </cell>
          <cell r="Q243">
            <v>-76361.381230769242</v>
          </cell>
          <cell r="S243">
            <v>0</v>
          </cell>
          <cell r="U243">
            <v>-76361.381230769242</v>
          </cell>
          <cell r="W243">
            <v>-18055</v>
          </cell>
          <cell r="X243">
            <v>-18243</v>
          </cell>
          <cell r="Z243">
            <v>-212.15069230769231</v>
          </cell>
          <cell r="AB243">
            <v>0</v>
          </cell>
          <cell r="AD243">
            <v>-112871.53192307692</v>
          </cell>
          <cell r="AF243">
            <v>-24.751000000000001</v>
          </cell>
          <cell r="AH243">
            <v>0</v>
          </cell>
          <cell r="AJ243">
            <v>-24.751000000000001</v>
          </cell>
          <cell r="AL243">
            <v>-13603.893</v>
          </cell>
          <cell r="AN243">
            <v>26.103999999999999</v>
          </cell>
          <cell r="AP243">
            <v>-13602.54</v>
          </cell>
          <cell r="AR243">
            <v>-495</v>
          </cell>
          <cell r="AT243">
            <v>-131797.57750288461</v>
          </cell>
          <cell r="AV243">
            <v>6861.4886923076929</v>
          </cell>
          <cell r="AX243">
            <v>-124936.08881057693</v>
          </cell>
          <cell r="AZ243" t="str">
            <v>Total curr. liabil.</v>
          </cell>
          <cell r="BC243">
            <v>-2057.5910000000003</v>
          </cell>
          <cell r="BE243">
            <v>0</v>
          </cell>
          <cell r="BG243">
            <v>0</v>
          </cell>
          <cell r="BI243">
            <v>-2057.5910000000003</v>
          </cell>
          <cell r="BM243">
            <v>-328.13850000000002</v>
          </cell>
          <cell r="BO243">
            <v>-16147</v>
          </cell>
          <cell r="BQ243">
            <v>-317690.147</v>
          </cell>
          <cell r="BS243">
            <v>0</v>
          </cell>
          <cell r="BU243">
            <v>-317690.147</v>
          </cell>
          <cell r="BW243">
            <v>-75108</v>
          </cell>
          <cell r="BX243">
            <v>-75892</v>
          </cell>
          <cell r="BZ243">
            <v>-883.55</v>
          </cell>
          <cell r="CB243">
            <v>0</v>
          </cell>
          <cell r="CD243">
            <v>-469573.69699999999</v>
          </cell>
          <cell r="CF243">
            <v>-103.685</v>
          </cell>
          <cell r="CH243">
            <v>0</v>
          </cell>
          <cell r="CJ243">
            <v>-103.685</v>
          </cell>
          <cell r="CL243">
            <v>-56578</v>
          </cell>
          <cell r="CN243">
            <v>108.59399999999999</v>
          </cell>
          <cell r="CP243">
            <v>-56573.091</v>
          </cell>
          <cell r="CR243">
            <v>-2051.6530000000002</v>
          </cell>
          <cell r="CT243">
            <v>-546731.17050000001</v>
          </cell>
          <cell r="CU243">
            <v>0</v>
          </cell>
          <cell r="CV243">
            <v>27160.095000000001</v>
          </cell>
          <cell r="CX243">
            <v>-519571.07550000004</v>
          </cell>
          <cell r="FC243">
            <v>-2413.9430000000002</v>
          </cell>
          <cell r="FD243">
            <v>0</v>
          </cell>
          <cell r="FE243">
            <v>-1109.6199999999999</v>
          </cell>
          <cell r="FF243">
            <v>-3523.5630000000001</v>
          </cell>
          <cell r="FG243">
            <v>-337.84349999999995</v>
          </cell>
          <cell r="FH243">
            <v>-16192.5</v>
          </cell>
          <cell r="FI243">
            <v>-317690.147</v>
          </cell>
          <cell r="FJ243">
            <v>-75107</v>
          </cell>
          <cell r="FK243">
            <v>-75892</v>
          </cell>
          <cell r="FL243">
            <v>-668.92399999999998</v>
          </cell>
          <cell r="FM243">
            <v>0</v>
          </cell>
          <cell r="FN243">
            <v>-469358.07100000005</v>
          </cell>
          <cell r="FO243">
            <v>-103.685</v>
          </cell>
          <cell r="FP243">
            <v>-56578</v>
          </cell>
          <cell r="FQ243">
            <v>0</v>
          </cell>
          <cell r="FR243">
            <v>-56681.684999999998</v>
          </cell>
          <cell r="FS243">
            <v>-2063.808</v>
          </cell>
          <cell r="FT243">
            <v>-548157.47050000005</v>
          </cell>
          <cell r="FU243">
            <v>28256.663400000001</v>
          </cell>
          <cell r="FV243">
            <v>-519900.80709999998</v>
          </cell>
          <cell r="FW243" t="str">
            <v>Total curr. liabil.</v>
          </cell>
          <cell r="FX243">
            <v>-469358.07100000005</v>
          </cell>
          <cell r="FY243">
            <v>-56681.684999999998</v>
          </cell>
          <cell r="FZ243">
            <v>0</v>
          </cell>
          <cell r="GA243">
            <v>-526039.75600000005</v>
          </cell>
          <cell r="GB243">
            <v>-533093.68658256158</v>
          </cell>
          <cell r="GC243">
            <v>-519900.80709999998</v>
          </cell>
          <cell r="GD243">
            <v>-526872.41744174983</v>
          </cell>
          <cell r="GE243">
            <v>6138.9489000000031</v>
          </cell>
          <cell r="GF243">
            <v>4.1613341032970279</v>
          </cell>
          <cell r="GG243">
            <v>-86564.134423572294</v>
          </cell>
          <cell r="GH243">
            <v>0</v>
          </cell>
        </row>
        <row r="244">
          <cell r="BX244">
            <v>0</v>
          </cell>
          <cell r="CD244">
            <v>0</v>
          </cell>
          <cell r="CU244">
            <v>0</v>
          </cell>
          <cell r="FI244">
            <v>0</v>
          </cell>
          <cell r="FL244">
            <v>0</v>
          </cell>
          <cell r="FN244">
            <v>0</v>
          </cell>
          <cell r="FS244">
            <v>0</v>
          </cell>
          <cell r="FT244">
            <v>0</v>
          </cell>
          <cell r="FX244">
            <v>0</v>
          </cell>
          <cell r="FY244">
            <v>0</v>
          </cell>
          <cell r="GA244">
            <v>0</v>
          </cell>
          <cell r="GB244">
            <v>0</v>
          </cell>
          <cell r="GC244">
            <v>0</v>
          </cell>
          <cell r="GD244">
            <v>0</v>
          </cell>
          <cell r="GE244">
            <v>0</v>
          </cell>
          <cell r="GF244" t="e">
            <v>#DIV/0!</v>
          </cell>
          <cell r="GH244">
            <v>0</v>
          </cell>
        </row>
        <row r="245">
          <cell r="A245" t="str">
            <v>TOTAL PASSIV</v>
          </cell>
          <cell r="C245">
            <v>-86312.356199999995</v>
          </cell>
          <cell r="E245">
            <v>-18208.287</v>
          </cell>
          <cell r="G245">
            <v>174.43051381755731</v>
          </cell>
          <cell r="I245">
            <v>-104346.21268618244</v>
          </cell>
          <cell r="M245">
            <v>-185.49753365384601</v>
          </cell>
          <cell r="O245">
            <v>-7354</v>
          </cell>
          <cell r="Q245">
            <v>-160729.12781538462</v>
          </cell>
          <cell r="S245">
            <v>202.167</v>
          </cell>
          <cell r="U245">
            <v>-160526.96081538463</v>
          </cell>
          <cell r="W245">
            <v>-17221.5</v>
          </cell>
          <cell r="X245">
            <v>-22748</v>
          </cell>
          <cell r="Z245">
            <v>-2208.4229999999998</v>
          </cell>
          <cell r="AB245">
            <v>1331.346</v>
          </cell>
          <cell r="AD245">
            <v>-201338.21181538465</v>
          </cell>
          <cell r="AF245">
            <v>-8766.7520000000022</v>
          </cell>
          <cell r="AH245">
            <v>-2329.5149999999999</v>
          </cell>
          <cell r="AJ245">
            <v>-11096.267000000002</v>
          </cell>
          <cell r="AL245">
            <v>-54085.543999999994</v>
          </cell>
          <cell r="AN245">
            <v>10926.715</v>
          </cell>
          <cell r="AP245">
            <v>-54255.095999999998</v>
          </cell>
          <cell r="AR245">
            <v>-23069.841348416292</v>
          </cell>
          <cell r="AT245">
            <v>-390549.11376344506</v>
          </cell>
          <cell r="AV245">
            <v>82287.526153846149</v>
          </cell>
          <cell r="AX245">
            <v>-308261.58760959876</v>
          </cell>
          <cell r="AZ245" t="str">
            <v>TOTAL PASSIV</v>
          </cell>
          <cell r="BA245">
            <v>0.22499999999854481</v>
          </cell>
          <cell r="BC245">
            <v>-246675.06013</v>
          </cell>
          <cell r="BE245">
            <v>-67407.641000000003</v>
          </cell>
          <cell r="BG245">
            <v>-4683.6854635847176</v>
          </cell>
          <cell r="BI245">
            <v>-318766.38659358473</v>
          </cell>
          <cell r="BM245">
            <v>-769.16449999999963</v>
          </cell>
          <cell r="BO245">
            <v>-30098.775000000001</v>
          </cell>
          <cell r="BQ245">
            <v>-579574.90399999998</v>
          </cell>
          <cell r="BS245">
            <v>0</v>
          </cell>
          <cell r="BU245">
            <v>-579574.90399999998</v>
          </cell>
          <cell r="BW245">
            <v>-84288.5</v>
          </cell>
          <cell r="BX245">
            <v>-70026</v>
          </cell>
          <cell r="BZ245">
            <v>-7725.1710000000021</v>
          </cell>
          <cell r="CB245">
            <v>4892.9960000000001</v>
          </cell>
          <cell r="CD245">
            <v>-736721.57899999991</v>
          </cell>
          <cell r="CF245">
            <v>-5484.4809999999998</v>
          </cell>
          <cell r="CH245">
            <v>-1948.2059999999983</v>
          </cell>
          <cell r="CJ245">
            <v>-7432.686999999999</v>
          </cell>
          <cell r="CL245">
            <v>-167842.1</v>
          </cell>
          <cell r="CN245">
            <v>6972.8</v>
          </cell>
          <cell r="CP245">
            <v>-168301.98699999999</v>
          </cell>
          <cell r="CR245">
            <v>-82090.601999999999</v>
          </cell>
          <cell r="CT245">
            <v>-1336748.6760935849</v>
          </cell>
          <cell r="CU245">
            <v>0.18200000049546361</v>
          </cell>
          <cell r="CV245">
            <v>241246.30690000003</v>
          </cell>
          <cell r="CX245">
            <v>-1095502.3691935847</v>
          </cell>
          <cell r="FC245">
            <v>-361862.60800000001</v>
          </cell>
          <cell r="FD245">
            <v>-67407.860472</v>
          </cell>
          <cell r="FE245">
            <v>17479.519406415286</v>
          </cell>
          <cell r="FF245">
            <v>-411790.94906558469</v>
          </cell>
          <cell r="FG245">
            <v>-771.43600000000049</v>
          </cell>
          <cell r="FH245">
            <v>-30294.5</v>
          </cell>
          <cell r="FI245">
            <v>-652430.36599999992</v>
          </cell>
          <cell r="FJ245">
            <v>-71643.5</v>
          </cell>
          <cell r="FK245">
            <v>-96114</v>
          </cell>
          <cell r="FL245">
            <v>-8499.7179999999989</v>
          </cell>
          <cell r="FM245">
            <v>5338.4879999999994</v>
          </cell>
          <cell r="FN245">
            <v>-823349.09600000014</v>
          </cell>
          <cell r="FO245">
            <v>-46846.699219000002</v>
          </cell>
          <cell r="FP245">
            <v>-227212.26199999999</v>
          </cell>
          <cell r="FQ245">
            <v>45995.595218999995</v>
          </cell>
          <cell r="FR245">
            <v>-228063.36600000001</v>
          </cell>
          <cell r="FS245">
            <v>-89217.838000000003</v>
          </cell>
          <cell r="FT245">
            <v>-1583487.1850655845</v>
          </cell>
          <cell r="FU245">
            <v>326620.5264160767</v>
          </cell>
          <cell r="FV245">
            <v>-1256866.6586495077</v>
          </cell>
          <cell r="FW245" t="str">
            <v>TOTAL PASSIVE</v>
          </cell>
          <cell r="FX245">
            <v>-823349.09600000014</v>
          </cell>
          <cell r="FY245">
            <v>-228063.36600000001</v>
          </cell>
          <cell r="FZ245">
            <v>-0.43684500000381377</v>
          </cell>
          <cell r="GA245">
            <v>-1051412.8988450002</v>
          </cell>
          <cell r="GB245">
            <v>-1065511.8210604198</v>
          </cell>
          <cell r="GC245">
            <v>-1256866.6586495077</v>
          </cell>
          <cell r="GD245">
            <v>-1273720.6132423426</v>
          </cell>
          <cell r="GE245">
            <v>-251331.67290450804</v>
          </cell>
          <cell r="GF245">
            <v>4.0772730342298766</v>
          </cell>
          <cell r="GG245">
            <v>-616372.35683731572</v>
          </cell>
          <cell r="GH245">
            <v>0</v>
          </cell>
        </row>
        <row r="246">
          <cell r="Z246" t="str">
            <v xml:space="preserve"> </v>
          </cell>
          <cell r="AT246">
            <v>0.25437980779679492</v>
          </cell>
          <cell r="BQ246" t="str">
            <v xml:space="preserve">   </v>
          </cell>
          <cell r="CD246">
            <v>0</v>
          </cell>
          <cell r="CT246">
            <v>0.18200000040087616</v>
          </cell>
          <cell r="CU246">
            <v>-0.18200000040087616</v>
          </cell>
        </row>
        <row r="247">
          <cell r="I247">
            <v>0</v>
          </cell>
          <cell r="U247">
            <v>0</v>
          </cell>
          <cell r="AD247">
            <v>-35.326000000000931</v>
          </cell>
          <cell r="AJ247">
            <v>0</v>
          </cell>
          <cell r="AP247">
            <v>0</v>
          </cell>
          <cell r="CD247">
            <v>0</v>
          </cell>
          <cell r="HJ247" t="str">
            <v>/rv{esc}{r 2}~~{r 2}+{l 4}+{L 2}~{D}{l 2}</v>
          </cell>
        </row>
        <row r="248">
          <cell r="CD248">
            <v>0</v>
          </cell>
        </row>
        <row r="249">
          <cell r="CD249">
            <v>0</v>
          </cell>
        </row>
        <row r="250">
          <cell r="A250">
            <v>0</v>
          </cell>
          <cell r="E250" t="str">
            <v>CONSOLIDATED STATEMENTS</v>
          </cell>
          <cell r="M250" t="str">
            <v>Pnai Plus</v>
          </cell>
          <cell r="Q250" t="str">
            <v xml:space="preserve"> AS AT </v>
          </cell>
          <cell r="AF250" t="str">
            <v xml:space="preserve"> AS AT </v>
          </cell>
          <cell r="AP250">
            <v>0</v>
          </cell>
          <cell r="AZ250">
            <v>0</v>
          </cell>
          <cell r="BG250" t="str">
            <v>CONSOLIDATED STATEMENTS</v>
          </cell>
          <cell r="BS250" t="str">
            <v xml:space="preserve"> AS AT </v>
          </cell>
          <cell r="BW250" t="str">
            <v>IDAN</v>
          </cell>
          <cell r="CD250">
            <v>0</v>
          </cell>
          <cell r="CF250" t="str">
            <v xml:space="preserve"> AS AT </v>
          </cell>
          <cell r="CP250">
            <v>0</v>
          </cell>
          <cell r="CU250">
            <v>0</v>
          </cell>
          <cell r="FH250" t="str">
            <v>Netcom</v>
          </cell>
          <cell r="FJ250" t="str">
            <v>IDAN</v>
          </cell>
          <cell r="FL250" t="str">
            <v>EDOM</v>
          </cell>
          <cell r="FN250">
            <v>0</v>
          </cell>
          <cell r="FS250">
            <v>0</v>
          </cell>
          <cell r="FT250" t="str">
            <v>TOTAL</v>
          </cell>
          <cell r="FU250" t="str">
            <v>J.ENTRIES</v>
          </cell>
          <cell r="FV250" t="str">
            <v>TOTAL</v>
          </cell>
          <cell r="FW250" t="str">
            <v>T.L.M</v>
          </cell>
          <cell r="FX250">
            <v>0</v>
          </cell>
          <cell r="FY250">
            <v>0</v>
          </cell>
          <cell r="GA250">
            <v>0</v>
          </cell>
          <cell r="GB250">
            <v>0</v>
          </cell>
          <cell r="GD250">
            <v>0</v>
          </cell>
          <cell r="GE250">
            <v>0</v>
          </cell>
          <cell r="GF250" t="e">
            <v>#DIV/0!</v>
          </cell>
          <cell r="GG250" t="str">
            <v>TOTAL</v>
          </cell>
          <cell r="GH250">
            <v>0</v>
          </cell>
        </row>
        <row r="251">
          <cell r="G251" t="str">
            <v>A.C.T.V.</v>
          </cell>
          <cell r="S251" t="str">
            <v>G.C.&amp; CO.</v>
          </cell>
          <cell r="Z251" t="str">
            <v>G.C.&amp; CO. CONSOLIDATED</v>
          </cell>
          <cell r="AF251" t="str">
            <v>SOUTH SHARON COMM.</v>
          </cell>
          <cell r="AL251" t="str">
            <v>T.L.M</v>
          </cell>
          <cell r="AN251" t="str">
            <v>S.S.C.-CONSOLIDATED</v>
          </cell>
          <cell r="AR251" t="str">
            <v>MERCAZ</v>
          </cell>
          <cell r="AV251" t="str">
            <v xml:space="preserve">A.L.I.S-CONSOLIDATED </v>
          </cell>
          <cell r="BG251" t="str">
            <v>A.C.T.V.</v>
          </cell>
          <cell r="BZ251" t="str">
            <v>G.C.&amp; CO. CONSOLIDATED</v>
          </cell>
          <cell r="CD251">
            <v>0</v>
          </cell>
          <cell r="CF251" t="str">
            <v>SOUTH SHARON COMM.</v>
          </cell>
          <cell r="CL251" t="str">
            <v>T.L.M</v>
          </cell>
          <cell r="CN251" t="str">
            <v>S.S.C.-CONSOLIDATED</v>
          </cell>
          <cell r="CR251" t="str">
            <v>MERCAZ</v>
          </cell>
          <cell r="CU251">
            <v>0</v>
          </cell>
          <cell r="CV251" t="str">
            <v xml:space="preserve">CONSOLIDATED </v>
          </cell>
          <cell r="FE251" t="str">
            <v>A.C.T.V.</v>
          </cell>
          <cell r="FN251">
            <v>0</v>
          </cell>
          <cell r="FP251" t="str">
            <v>T.L.M</v>
          </cell>
          <cell r="FQ251" t="str">
            <v>S.S.C.-CONSOLIDATED</v>
          </cell>
          <cell r="FS251">
            <v>0</v>
          </cell>
          <cell r="FT251" t="str">
            <v>"31/12/98</v>
          </cell>
          <cell r="FV251" t="str">
            <v>"31/12/98</v>
          </cell>
          <cell r="FX251">
            <v>0</v>
          </cell>
          <cell r="FY251">
            <v>0</v>
          </cell>
          <cell r="GA251">
            <v>0</v>
          </cell>
          <cell r="GB251">
            <v>0</v>
          </cell>
          <cell r="GD251">
            <v>0</v>
          </cell>
          <cell r="GE251">
            <v>0</v>
          </cell>
          <cell r="GF251" t="e">
            <v>#DIV/0!</v>
          </cell>
          <cell r="GG251" t="str">
            <v>31/12/97</v>
          </cell>
          <cell r="GH251">
            <v>0</v>
          </cell>
        </row>
        <row r="252">
          <cell r="A252">
            <v>36661.599853703701</v>
          </cell>
          <cell r="B252">
            <v>36661.599853703701</v>
          </cell>
          <cell r="C252" t="str">
            <v>A.C.T.V.</v>
          </cell>
          <cell r="E252" t="str">
            <v>A.L.I.S</v>
          </cell>
          <cell r="G252" t="str">
            <v>J.ENTRIES</v>
          </cell>
          <cell r="I252" t="str">
            <v>TOTAL</v>
          </cell>
          <cell r="O252" t="str">
            <v>Netcom</v>
          </cell>
          <cell r="Q252" t="str">
            <v>G.C.&amp; CO.</v>
          </cell>
          <cell r="S252" t="str">
            <v>J.ENTRIES</v>
          </cell>
          <cell r="U252" t="str">
            <v>TOTAL</v>
          </cell>
          <cell r="W252" t="str">
            <v>עידן</v>
          </cell>
          <cell r="X252" t="str">
            <v>רוו"ה</v>
          </cell>
          <cell r="Z252" t="str">
            <v>A. EDOM</v>
          </cell>
          <cell r="AB252" t="str">
            <v>J.ENTRIES</v>
          </cell>
          <cell r="AD252" t="str">
            <v>TOTAL</v>
          </cell>
          <cell r="AF252" t="str">
            <v>S.S.C.</v>
          </cell>
          <cell r="AH252" t="str">
            <v>J.ENTRIES</v>
          </cell>
          <cell r="AJ252" t="str">
            <v>TOTAL</v>
          </cell>
          <cell r="AL252" t="str">
            <v>T.L.M</v>
          </cell>
          <cell r="AN252" t="str">
            <v>J.ENTRIES</v>
          </cell>
          <cell r="AP252" t="str">
            <v>TOTAL</v>
          </cell>
          <cell r="AR252" t="str">
            <v>MERCAZ</v>
          </cell>
          <cell r="AT252" t="str">
            <v>TOTAL</v>
          </cell>
          <cell r="AV252" t="str">
            <v>J.ENTRIES</v>
          </cell>
          <cell r="AX252" t="str">
            <v>TOTAL</v>
          </cell>
          <cell r="AZ252">
            <v>36661.599853703701</v>
          </cell>
          <cell r="BC252" t="str">
            <v>A.C.T.V.</v>
          </cell>
          <cell r="BE252" t="str">
            <v>A.L.I.S</v>
          </cell>
          <cell r="BG252" t="str">
            <v>J.ENTRIES</v>
          </cell>
          <cell r="BI252" t="str">
            <v>TOTAL</v>
          </cell>
          <cell r="BM252" t="str">
            <v>Pnai Plus</v>
          </cell>
          <cell r="BQ252" t="str">
            <v>G.C.&amp; CO.</v>
          </cell>
          <cell r="BS252" t="str">
            <v>J.ENTRIES</v>
          </cell>
          <cell r="BU252" t="str">
            <v>TOTAL</v>
          </cell>
          <cell r="BW252" t="str">
            <v>IDAN</v>
          </cell>
          <cell r="BX252" t="str">
            <v>IDAN (PR&amp;L)</v>
          </cell>
          <cell r="BZ252" t="str">
            <v>A. EDOM</v>
          </cell>
          <cell r="CB252" t="str">
            <v>J.ENTRIES</v>
          </cell>
          <cell r="CD252">
            <v>0</v>
          </cell>
          <cell r="CF252" t="str">
            <v>S.S.C.</v>
          </cell>
          <cell r="CH252" t="str">
            <v>J.ENTRIES</v>
          </cell>
          <cell r="CJ252" t="str">
            <v>TOTAL</v>
          </cell>
          <cell r="CL252" t="str">
            <v>T.L.M</v>
          </cell>
          <cell r="CN252" t="str">
            <v>J.ENTRIES</v>
          </cell>
          <cell r="CP252" t="str">
            <v>TOTAL</v>
          </cell>
          <cell r="CR252" t="str">
            <v>MERCAZ</v>
          </cell>
          <cell r="CT252" t="str">
            <v>TOTAL</v>
          </cell>
          <cell r="CU252">
            <v>0</v>
          </cell>
          <cell r="CV252" t="str">
            <v>J.ENTRIES</v>
          </cell>
          <cell r="CX252" t="str">
            <v>TOTAL</v>
          </cell>
          <cell r="FE252" t="str">
            <v>J.ENTRIES</v>
          </cell>
          <cell r="FL252" t="str">
            <v>G.C.&amp; CO. CONSOLIDATED</v>
          </cell>
          <cell r="FM252" t="str">
            <v>J.ENTRIES</v>
          </cell>
          <cell r="FN252">
            <v>0</v>
          </cell>
          <cell r="FO252" t="str">
            <v>TOTAL</v>
          </cell>
          <cell r="FP252" t="str">
            <v>T.L.M</v>
          </cell>
          <cell r="FQ252" t="str">
            <v>J.ENTRIES</v>
          </cell>
          <cell r="FR252" t="str">
            <v>TOTAL</v>
          </cell>
          <cell r="FS252">
            <v>0</v>
          </cell>
          <cell r="FU252" t="str">
            <v xml:space="preserve">A.L.I.S-CONSOLIDATED </v>
          </cell>
          <cell r="FW252">
            <v>36661.599853703701</v>
          </cell>
          <cell r="FX252">
            <v>0</v>
          </cell>
          <cell r="FY252" t="str">
            <v>TOTAL</v>
          </cell>
          <cell r="GA252">
            <v>0</v>
          </cell>
          <cell r="GB252">
            <v>0</v>
          </cell>
          <cell r="GD252">
            <v>0</v>
          </cell>
          <cell r="GE252">
            <v>0</v>
          </cell>
          <cell r="GF252" t="e">
            <v>#DIV/0!</v>
          </cell>
          <cell r="GH252">
            <v>0</v>
          </cell>
        </row>
        <row r="253">
          <cell r="C253" t="str">
            <v>000$</v>
          </cell>
          <cell r="E253" t="str">
            <v>000$</v>
          </cell>
          <cell r="G253" t="str">
            <v>000$</v>
          </cell>
          <cell r="I253" t="str">
            <v>000$</v>
          </cell>
          <cell r="Q253" t="str">
            <v>000$</v>
          </cell>
          <cell r="S253" t="str">
            <v>000$</v>
          </cell>
          <cell r="U253" t="str">
            <v>000$</v>
          </cell>
          <cell r="W253" t="str">
            <v>000$</v>
          </cell>
          <cell r="X253" t="str">
            <v>000$</v>
          </cell>
          <cell r="Z253" t="str">
            <v>000$</v>
          </cell>
          <cell r="AB253" t="str">
            <v>000$</v>
          </cell>
          <cell r="AD253" t="str">
            <v>000$</v>
          </cell>
          <cell r="AF253" t="str">
            <v>000$</v>
          </cell>
          <cell r="AH253" t="str">
            <v>000$</v>
          </cell>
          <cell r="AJ253" t="str">
            <v>000$</v>
          </cell>
          <cell r="AP253" t="str">
            <v>000$</v>
          </cell>
          <cell r="AR253" t="str">
            <v>000$</v>
          </cell>
          <cell r="AT253" t="str">
            <v>000$</v>
          </cell>
          <cell r="AV253" t="str">
            <v>000$</v>
          </cell>
          <cell r="AX253" t="str">
            <v>000$</v>
          </cell>
          <cell r="BC253" t="str">
            <v>000NIS</v>
          </cell>
          <cell r="BE253" t="str">
            <v>000NIS</v>
          </cell>
          <cell r="BG253" t="str">
            <v>000NIS</v>
          </cell>
          <cell r="BI253" t="str">
            <v>000NIS</v>
          </cell>
          <cell r="BM253" t="str">
            <v>000NIS</v>
          </cell>
          <cell r="BQ253" t="str">
            <v>000NIS</v>
          </cell>
          <cell r="BS253" t="str">
            <v>000NIS</v>
          </cell>
          <cell r="BU253" t="str">
            <v>000NIS</v>
          </cell>
          <cell r="BW253" t="str">
            <v>000NIS</v>
          </cell>
          <cell r="BX253" t="str">
            <v>000NIS</v>
          </cell>
          <cell r="BZ253" t="str">
            <v>000NIS</v>
          </cell>
          <cell r="CB253" t="str">
            <v>000NIS</v>
          </cell>
          <cell r="CD253">
            <v>0</v>
          </cell>
          <cell r="CF253" t="str">
            <v>000NIS</v>
          </cell>
          <cell r="CH253" t="str">
            <v>000NIS</v>
          </cell>
          <cell r="CJ253" t="str">
            <v>000NIS</v>
          </cell>
          <cell r="CL253" t="str">
            <v>000NIS</v>
          </cell>
          <cell r="CN253" t="str">
            <v>000NIS</v>
          </cell>
          <cell r="CP253" t="str">
            <v>000NIS</v>
          </cell>
          <cell r="CR253" t="str">
            <v>000NIS</v>
          </cell>
          <cell r="CT253" t="str">
            <v>000$</v>
          </cell>
          <cell r="CU253">
            <v>0</v>
          </cell>
          <cell r="CV253" t="str">
            <v>000NIS</v>
          </cell>
          <cell r="CX253" t="str">
            <v>000NIS</v>
          </cell>
          <cell r="FE253" t="str">
            <v>000$</v>
          </cell>
          <cell r="FM253" t="str">
            <v>000NIS</v>
          </cell>
          <cell r="FN253">
            <v>0</v>
          </cell>
          <cell r="FO253" t="str">
            <v>000NIS</v>
          </cell>
          <cell r="FR253" t="str">
            <v>000NIS</v>
          </cell>
          <cell r="FS253">
            <v>0</v>
          </cell>
          <cell r="FX253">
            <v>0</v>
          </cell>
          <cell r="FY253" t="str">
            <v>000NIS</v>
          </cell>
          <cell r="GA253">
            <v>0</v>
          </cell>
          <cell r="GB253">
            <v>0</v>
          </cell>
          <cell r="GD253">
            <v>0</v>
          </cell>
          <cell r="GE253">
            <v>0</v>
          </cell>
          <cell r="GF253" t="e">
            <v>#DIV/0!</v>
          </cell>
          <cell r="GH253">
            <v>0</v>
          </cell>
        </row>
        <row r="254">
          <cell r="A254" t="str">
            <v>INCOME\ subscribers fees</v>
          </cell>
          <cell r="I254">
            <v>0</v>
          </cell>
          <cell r="Q254">
            <v>-75668.119000000006</v>
          </cell>
          <cell r="U254">
            <v>-75668.119000000006</v>
          </cell>
          <cell r="X254">
            <v>-15254</v>
          </cell>
          <cell r="Z254">
            <v>-1518.3140000000001</v>
          </cell>
          <cell r="AD254">
            <v>-92440.433000000005</v>
          </cell>
          <cell r="AJ254">
            <v>0</v>
          </cell>
          <cell r="AL254">
            <v>-42317.017</v>
          </cell>
          <cell r="AP254">
            <v>-42317.017</v>
          </cell>
          <cell r="AT254">
            <v>-134757.45000000001</v>
          </cell>
          <cell r="AX254">
            <v>-134757.45000000001</v>
          </cell>
          <cell r="AZ254" t="str">
            <v>INCOME</v>
          </cell>
          <cell r="BI254">
            <v>0</v>
          </cell>
          <cell r="BQ254">
            <v>-286051.68199999997</v>
          </cell>
          <cell r="BU254">
            <v>-286051.68199999997</v>
          </cell>
          <cell r="BZ254">
            <v>-5734.06</v>
          </cell>
          <cell r="CD254">
            <v>-291785.74199999997</v>
          </cell>
          <cell r="CJ254">
            <v>0</v>
          </cell>
          <cell r="CL254">
            <v>-158720</v>
          </cell>
          <cell r="CP254">
            <v>-158720</v>
          </cell>
          <cell r="CQ254">
            <v>0</v>
          </cell>
          <cell r="CT254">
            <v>-450505.74199999997</v>
          </cell>
          <cell r="CU254">
            <v>0</v>
          </cell>
          <cell r="CX254">
            <v>-450505.74199999997</v>
          </cell>
          <cell r="FI254">
            <v>-300753.03200000001</v>
          </cell>
          <cell r="FK254">
            <v>-62980</v>
          </cell>
          <cell r="FL254">
            <v>-6023.0940000000001</v>
          </cell>
          <cell r="FN254">
            <v>-369756.12599999999</v>
          </cell>
          <cell r="FO254">
            <v>0</v>
          </cell>
          <cell r="FP254">
            <v>-167741</v>
          </cell>
          <cell r="FR254">
            <v>-167741</v>
          </cell>
          <cell r="FS254">
            <v>0</v>
          </cell>
          <cell r="FT254">
            <v>-537497.12599999993</v>
          </cell>
          <cell r="FV254">
            <v>-537497.12599999993</v>
          </cell>
          <cell r="FW254" t="str">
            <v>INCOME\ subscribers fees</v>
          </cell>
          <cell r="FX254">
            <v>-369756.12599999999</v>
          </cell>
          <cell r="FY254">
            <v>-167741</v>
          </cell>
          <cell r="GA254">
            <v>-537497.12599999993</v>
          </cell>
          <cell r="GB254">
            <v>-544704.69419591094</v>
          </cell>
          <cell r="GC254">
            <v>0</v>
          </cell>
          <cell r="GD254">
            <v>0</v>
          </cell>
          <cell r="GE254">
            <v>0</v>
          </cell>
          <cell r="GF254">
            <v>3.9886264247357004</v>
          </cell>
          <cell r="GG254">
            <v>-443872.54765055527</v>
          </cell>
          <cell r="GH254">
            <v>0</v>
          </cell>
        </row>
        <row r="255">
          <cell r="A255" t="str">
            <v>income from related parties</v>
          </cell>
          <cell r="M255" t="str">
            <v xml:space="preserve"> </v>
          </cell>
          <cell r="U255">
            <v>0</v>
          </cell>
          <cell r="AJ255">
            <v>0</v>
          </cell>
          <cell r="AP255">
            <v>0</v>
          </cell>
          <cell r="AT255">
            <v>0</v>
          </cell>
          <cell r="AX255">
            <v>0</v>
          </cell>
          <cell r="CJ255">
            <v>0</v>
          </cell>
          <cell r="CL255">
            <v>-5106</v>
          </cell>
          <cell r="CP255">
            <v>-5106</v>
          </cell>
          <cell r="CQ255">
            <v>0</v>
          </cell>
          <cell r="CT255">
            <v>-5106</v>
          </cell>
          <cell r="CU255">
            <v>0</v>
          </cell>
          <cell r="CX255">
            <v>-5106</v>
          </cell>
          <cell r="FN255">
            <v>0</v>
          </cell>
          <cell r="FR255">
            <v>0</v>
          </cell>
          <cell r="FT255">
            <v>0</v>
          </cell>
          <cell r="FW255" t="str">
            <v>income from related parties</v>
          </cell>
          <cell r="FX255">
            <v>0</v>
          </cell>
          <cell r="FY255">
            <v>0</v>
          </cell>
          <cell r="GA255">
            <v>0</v>
          </cell>
          <cell r="GB255">
            <v>0</v>
          </cell>
          <cell r="GC255">
            <v>0</v>
          </cell>
          <cell r="GD255">
            <v>0</v>
          </cell>
          <cell r="GE255">
            <v>0</v>
          </cell>
          <cell r="GF255" t="e">
            <v>#DIV/0!</v>
          </cell>
        </row>
        <row r="256">
          <cell r="A256" t="str">
            <v>other than subscribers\installation</v>
          </cell>
          <cell r="I256">
            <v>0</v>
          </cell>
          <cell r="M256" t="str">
            <v xml:space="preserve"> </v>
          </cell>
          <cell r="Q256">
            <v>-567.25199999999995</v>
          </cell>
          <cell r="U256">
            <v>-567.25199999999995</v>
          </cell>
          <cell r="X256">
            <v>-248.5</v>
          </cell>
          <cell r="Z256">
            <v>-9.0299999999999994</v>
          </cell>
          <cell r="AD256">
            <v>-824.78199999999993</v>
          </cell>
          <cell r="AJ256">
            <v>0</v>
          </cell>
          <cell r="AL256">
            <v>-1723.6110000000001</v>
          </cell>
          <cell r="AP256">
            <v>-1723.6110000000001</v>
          </cell>
          <cell r="AT256">
            <v>-2548.393</v>
          </cell>
          <cell r="AV256">
            <v>-1963.3520000000003</v>
          </cell>
          <cell r="AX256">
            <v>-4511.7450000000008</v>
          </cell>
          <cell r="AZ256" t="str">
            <v>other from subscribers</v>
          </cell>
          <cell r="BI256">
            <v>0</v>
          </cell>
          <cell r="BQ256">
            <v>-2276.9290000000001</v>
          </cell>
          <cell r="BU256">
            <v>-2276.9290000000001</v>
          </cell>
          <cell r="BZ256">
            <v>-38.411000000000001</v>
          </cell>
          <cell r="CD256">
            <v>-2315.34</v>
          </cell>
          <cell r="CJ256">
            <v>0</v>
          </cell>
          <cell r="CP256">
            <v>0</v>
          </cell>
          <cell r="CQ256">
            <v>0</v>
          </cell>
          <cell r="CT256">
            <v>-2315.34</v>
          </cell>
          <cell r="CU256">
            <v>0</v>
          </cell>
          <cell r="CV256">
            <v>-66062.256999999998</v>
          </cell>
          <cell r="CX256">
            <v>-68377.596999999994</v>
          </cell>
          <cell r="FI256">
            <v>-2319.9209999999998</v>
          </cell>
          <cell r="FK256">
            <v>-1028</v>
          </cell>
          <cell r="FL256">
            <v>-38.012</v>
          </cell>
          <cell r="FN256">
            <v>-3385.933</v>
          </cell>
          <cell r="FO256">
            <v>0</v>
          </cell>
          <cell r="FP256">
            <v>-6131</v>
          </cell>
          <cell r="FR256">
            <v>-6131</v>
          </cell>
          <cell r="FS256">
            <v>0</v>
          </cell>
          <cell r="FT256">
            <v>-9516.9330000000009</v>
          </cell>
          <cell r="FV256">
            <v>-9516.9330000000009</v>
          </cell>
          <cell r="FW256" t="str">
            <v>other than subscribers\installation</v>
          </cell>
          <cell r="FX256">
            <v>-3385.933</v>
          </cell>
          <cell r="FY256">
            <v>-6131</v>
          </cell>
          <cell r="GA256">
            <v>-9516.9330000000009</v>
          </cell>
          <cell r="GB256">
            <v>-9644.5503216476245</v>
          </cell>
          <cell r="GC256">
            <v>0</v>
          </cell>
          <cell r="GD256">
            <v>0</v>
          </cell>
          <cell r="GE256">
            <v>0</v>
          </cell>
          <cell r="GF256">
            <v>2.1093685480894862</v>
          </cell>
          <cell r="GG256">
            <v>-12724.068125408232</v>
          </cell>
          <cell r="GH256">
            <v>0</v>
          </cell>
        </row>
        <row r="257">
          <cell r="A257" t="str">
            <v>publishing\deposits</v>
          </cell>
          <cell r="I257">
            <v>0</v>
          </cell>
          <cell r="M257" t="str">
            <v xml:space="preserve"> </v>
          </cell>
          <cell r="Q257">
            <v>-1112.4390000000001</v>
          </cell>
          <cell r="U257">
            <v>-1112.4390000000001</v>
          </cell>
          <cell r="Z257">
            <v>-11.737</v>
          </cell>
          <cell r="AD257">
            <v>-1124.1760000000002</v>
          </cell>
          <cell r="AH257">
            <v>0</v>
          </cell>
          <cell r="AJ257">
            <v>0</v>
          </cell>
          <cell r="AP257">
            <v>0</v>
          </cell>
          <cell r="AT257">
            <v>-1124.1760000000002</v>
          </cell>
          <cell r="AV257">
            <v>1124.1760000000002</v>
          </cell>
          <cell r="AX257">
            <v>0</v>
          </cell>
          <cell r="AZ257" t="str">
            <v>publishing</v>
          </cell>
          <cell r="BI257">
            <v>0</v>
          </cell>
          <cell r="BQ257">
            <v>-2475.7150000000001</v>
          </cell>
          <cell r="BU257">
            <v>-2475.7150000000001</v>
          </cell>
          <cell r="BZ257">
            <v>-26.46</v>
          </cell>
          <cell r="CD257">
            <v>-2502.1750000000002</v>
          </cell>
          <cell r="CH257">
            <v>0</v>
          </cell>
          <cell r="CJ257">
            <v>0</v>
          </cell>
          <cell r="CP257">
            <v>0</v>
          </cell>
          <cell r="CQ257">
            <v>0</v>
          </cell>
          <cell r="CT257">
            <v>-2502.1750000000002</v>
          </cell>
          <cell r="CU257">
            <v>0</v>
          </cell>
          <cell r="CV257">
            <v>2502.1750000000002</v>
          </cell>
          <cell r="CX257">
            <v>0</v>
          </cell>
          <cell r="FI257">
            <v>-3517.7739999999999</v>
          </cell>
          <cell r="FL257">
            <v>-37.137</v>
          </cell>
          <cell r="FN257">
            <v>-3554.9110000000001</v>
          </cell>
          <cell r="FO257">
            <v>0</v>
          </cell>
          <cell r="FR257">
            <v>0</v>
          </cell>
          <cell r="FS257">
            <v>0</v>
          </cell>
          <cell r="FT257">
            <v>-3554.9110000000001</v>
          </cell>
          <cell r="FV257">
            <v>-3554.9110000000001</v>
          </cell>
          <cell r="FW257" t="str">
            <v>publishing\deposits</v>
          </cell>
          <cell r="FX257">
            <v>-3554.9110000000001</v>
          </cell>
          <cell r="FY257">
            <v>0</v>
          </cell>
          <cell r="GA257">
            <v>-3554.9110000000001</v>
          </cell>
          <cell r="GB257">
            <v>-3602.5805822609741</v>
          </cell>
          <cell r="GC257">
            <v>0</v>
          </cell>
          <cell r="GD257">
            <v>0</v>
          </cell>
          <cell r="GE257">
            <v>0</v>
          </cell>
          <cell r="GF257" t="e">
            <v>#DIV/0!</v>
          </cell>
          <cell r="GG257">
            <v>-10.344055519268453</v>
          </cell>
          <cell r="GH257">
            <v>0</v>
          </cell>
        </row>
        <row r="258">
          <cell r="A258" t="str">
            <v>management fees-from GC&amp;co</v>
          </cell>
          <cell r="C258">
            <v>-2389.4520000000002</v>
          </cell>
          <cell r="G258">
            <v>-1009.615</v>
          </cell>
          <cell r="I258">
            <v>-3399.067</v>
          </cell>
          <cell r="U258">
            <v>0</v>
          </cell>
          <cell r="AD258">
            <v>0</v>
          </cell>
          <cell r="AF258">
            <v>-26.103999999999999</v>
          </cell>
          <cell r="AJ258">
            <v>-26.103999999999999</v>
          </cell>
          <cell r="AN258">
            <v>26.103999999999999</v>
          </cell>
          <cell r="AP258">
            <v>0</v>
          </cell>
          <cell r="AT258">
            <v>-3399.067</v>
          </cell>
          <cell r="AV258">
            <v>3399.067</v>
          </cell>
          <cell r="AX258">
            <v>0</v>
          </cell>
          <cell r="AZ258" t="str">
            <v>management fees-from GC&amp;co</v>
          </cell>
          <cell r="BC258">
            <v>-9941.6869999999999</v>
          </cell>
          <cell r="BG258">
            <v>-4200</v>
          </cell>
          <cell r="BI258">
            <v>-14141.687</v>
          </cell>
          <cell r="BM258">
            <v>-11553.8285</v>
          </cell>
          <cell r="BU258">
            <v>0</v>
          </cell>
          <cell r="CD258">
            <v>0</v>
          </cell>
          <cell r="CQ258">
            <v>0</v>
          </cell>
          <cell r="CT258">
            <v>-25695.515500000001</v>
          </cell>
          <cell r="CU258">
            <v>0</v>
          </cell>
          <cell r="CV258">
            <v>25695.515500000001</v>
          </cell>
          <cell r="CX258">
            <v>0</v>
          </cell>
          <cell r="FC258">
            <v>-14141.687</v>
          </cell>
          <cell r="FF258">
            <v>-14141.687</v>
          </cell>
          <cell r="FN258">
            <v>0</v>
          </cell>
          <cell r="FO258">
            <v>-108.59399999999999</v>
          </cell>
          <cell r="FR258">
            <v>-108.59399999999999</v>
          </cell>
          <cell r="FS258">
            <v>0</v>
          </cell>
          <cell r="FT258">
            <v>-14250.280999999999</v>
          </cell>
          <cell r="FU258">
            <v>14250.280999999999</v>
          </cell>
          <cell r="FV258">
            <v>0</v>
          </cell>
          <cell r="FW258" t="str">
            <v>management fees-from GC&amp;co</v>
          </cell>
          <cell r="FX258">
            <v>0</v>
          </cell>
          <cell r="FY258">
            <v>-108.59399999999999</v>
          </cell>
          <cell r="FZ258">
            <v>14250.280999999999</v>
          </cell>
          <cell r="GA258">
            <v>14141.687</v>
          </cell>
          <cell r="GB258">
            <v>14331.319964582081</v>
          </cell>
          <cell r="GC258">
            <v>-14141.687</v>
          </cell>
          <cell r="GD258">
            <v>-14331.319964582081</v>
          </cell>
          <cell r="GE258">
            <v>-14141.687</v>
          </cell>
          <cell r="GF258" t="e">
            <v>#DIV/0!</v>
          </cell>
          <cell r="GG258">
            <v>0</v>
          </cell>
          <cell r="GH258">
            <v>0</v>
          </cell>
        </row>
        <row r="259">
          <cell r="A259" t="str">
            <v>management fees-from others</v>
          </cell>
          <cell r="C259">
            <v>-909.452</v>
          </cell>
          <cell r="E259">
            <v>-104.727</v>
          </cell>
          <cell r="G259">
            <v>0</v>
          </cell>
          <cell r="I259">
            <v>-1014.179</v>
          </cell>
          <cell r="M259" t="str">
            <v xml:space="preserve"> </v>
          </cell>
          <cell r="U259">
            <v>0</v>
          </cell>
          <cell r="AD259">
            <v>0</v>
          </cell>
          <cell r="AJ259">
            <v>0</v>
          </cell>
          <cell r="AP259">
            <v>0</v>
          </cell>
          <cell r="AT259">
            <v>-1014.179</v>
          </cell>
          <cell r="AV259">
            <v>1014.179</v>
          </cell>
          <cell r="AX259">
            <v>0</v>
          </cell>
          <cell r="AZ259" t="str">
            <v>management fees-from others</v>
          </cell>
          <cell r="BC259">
            <v>-3783.3209999999999</v>
          </cell>
          <cell r="BE259">
            <v>-367</v>
          </cell>
          <cell r="BI259">
            <v>-4150.3209999999999</v>
          </cell>
          <cell r="BU259">
            <v>0</v>
          </cell>
          <cell r="CD259">
            <v>0</v>
          </cell>
          <cell r="CF259">
            <v>-108.59399999999999</v>
          </cell>
          <cell r="CJ259">
            <v>-108.59399999999999</v>
          </cell>
          <cell r="CN259">
            <v>108.59399999999999</v>
          </cell>
          <cell r="CP259">
            <v>0</v>
          </cell>
          <cell r="CQ259">
            <v>0</v>
          </cell>
          <cell r="CT259">
            <v>-4150.3209999999999</v>
          </cell>
          <cell r="CU259">
            <v>0</v>
          </cell>
          <cell r="CV259">
            <v>4150.3209999999999</v>
          </cell>
          <cell r="CX259">
            <v>0</v>
          </cell>
          <cell r="FC259">
            <v>-3783.3209999999999</v>
          </cell>
          <cell r="FD259">
            <v>-397.33695539999997</v>
          </cell>
          <cell r="FE259">
            <v>0</v>
          </cell>
          <cell r="FF259">
            <v>-4180.6579554</v>
          </cell>
          <cell r="FN259">
            <v>0</v>
          </cell>
          <cell r="FQ259">
            <v>108.59399999999999</v>
          </cell>
          <cell r="FR259">
            <v>108.59399999999999</v>
          </cell>
          <cell r="FS259">
            <v>0</v>
          </cell>
          <cell r="FT259">
            <v>-4072.0639553999999</v>
          </cell>
          <cell r="FU259">
            <v>4072.0639553999999</v>
          </cell>
          <cell r="FV259">
            <v>0</v>
          </cell>
          <cell r="FW259" t="str">
            <v>management fees-from others</v>
          </cell>
          <cell r="FX259">
            <v>0</v>
          </cell>
          <cell r="FY259">
            <v>108.59399999999999</v>
          </cell>
          <cell r="FZ259">
            <v>4072.0639553999999</v>
          </cell>
          <cell r="GA259">
            <v>4180.6579554</v>
          </cell>
          <cell r="GB259">
            <v>4236.7184920238242</v>
          </cell>
          <cell r="GC259">
            <v>-4180.6579554</v>
          </cell>
          <cell r="GD259">
            <v>-4236.7184920238242</v>
          </cell>
          <cell r="GE259">
            <v>-4180.6579554</v>
          </cell>
          <cell r="GF259" t="e">
            <v>#DIV/0!</v>
          </cell>
          <cell r="GG259">
            <v>0</v>
          </cell>
          <cell r="GH259">
            <v>0</v>
          </cell>
        </row>
        <row r="260">
          <cell r="A260" t="str">
            <v>CATV guides</v>
          </cell>
          <cell r="M260">
            <v>-2920.330408653846</v>
          </cell>
          <cell r="AT260">
            <v>-2920.330408653846</v>
          </cell>
          <cell r="AX260">
            <v>-2920.330408653846</v>
          </cell>
          <cell r="FG260">
            <v>-12148.574500000001</v>
          </cell>
          <cell r="FT260">
            <v>-12148.574500000001</v>
          </cell>
          <cell r="FV260">
            <v>-12148.574500000001</v>
          </cell>
          <cell r="FX260">
            <v>0</v>
          </cell>
          <cell r="FY260">
            <v>0</v>
          </cell>
          <cell r="GA260">
            <v>0</v>
          </cell>
          <cell r="GB260">
            <v>0</v>
          </cell>
          <cell r="GC260">
            <v>-12148.574500000001</v>
          </cell>
          <cell r="GD260">
            <v>-12311.480820715575</v>
          </cell>
          <cell r="GE260">
            <v>-12148.574500000001</v>
          </cell>
          <cell r="GF260">
            <v>4.16</v>
          </cell>
        </row>
        <row r="261">
          <cell r="A261" t="str">
            <v>sales\other</v>
          </cell>
          <cell r="I261">
            <v>0</v>
          </cell>
          <cell r="M261" t="str">
            <v xml:space="preserve"> </v>
          </cell>
          <cell r="O261">
            <v>-12206</v>
          </cell>
          <cell r="Q261">
            <v>-597.59500000000003</v>
          </cell>
          <cell r="S261">
            <v>253.27500000000001</v>
          </cell>
          <cell r="U261">
            <v>-344.32</v>
          </cell>
          <cell r="X261">
            <v>-491</v>
          </cell>
          <cell r="Z261">
            <v>-3.8559999999999999</v>
          </cell>
          <cell r="AD261">
            <v>-839.17600000000004</v>
          </cell>
          <cell r="AT261">
            <v>-13045.175999999999</v>
          </cell>
          <cell r="AV261">
            <v>839.17600000000004</v>
          </cell>
          <cell r="AX261">
            <v>-12206</v>
          </cell>
          <cell r="AZ261" t="str">
            <v>sales</v>
          </cell>
          <cell r="BI261">
            <v>0</v>
          </cell>
          <cell r="BO261">
            <v>-46539</v>
          </cell>
          <cell r="BQ261">
            <v>-2285.4279999999999</v>
          </cell>
          <cell r="BU261">
            <v>-2285.4279999999999</v>
          </cell>
          <cell r="BX261">
            <v>-61260</v>
          </cell>
          <cell r="BZ261">
            <v>-14.654</v>
          </cell>
          <cell r="CD261">
            <v>-63560.082000000002</v>
          </cell>
          <cell r="CJ261">
            <v>0</v>
          </cell>
          <cell r="CP261">
            <v>0</v>
          </cell>
          <cell r="CQ261">
            <v>0</v>
          </cell>
          <cell r="CR261">
            <v>-5085.8100000000004</v>
          </cell>
          <cell r="CT261">
            <v>-115184.89200000001</v>
          </cell>
          <cell r="CU261">
            <v>0</v>
          </cell>
          <cell r="CV261">
            <v>63560.082000000002</v>
          </cell>
          <cell r="CX261">
            <v>-51624.81</v>
          </cell>
          <cell r="FH261">
            <v>-48773</v>
          </cell>
          <cell r="FI261">
            <v>-1347.942</v>
          </cell>
          <cell r="FK261">
            <v>-2027</v>
          </cell>
          <cell r="FL261">
            <v>-15.336</v>
          </cell>
          <cell r="FN261">
            <v>-3390.2779999999998</v>
          </cell>
          <cell r="FO261">
            <v>0</v>
          </cell>
          <cell r="FR261">
            <v>0</v>
          </cell>
          <cell r="FS261">
            <v>0</v>
          </cell>
          <cell r="FT261">
            <v>-52163.277999999998</v>
          </cell>
          <cell r="FV261">
            <v>-52163.277999999998</v>
          </cell>
          <cell r="FW261" t="str">
            <v>sales\other</v>
          </cell>
          <cell r="FX261">
            <v>-3390.2779999999998</v>
          </cell>
          <cell r="FY261">
            <v>0</v>
          </cell>
          <cell r="GA261">
            <v>-3390.2779999999998</v>
          </cell>
          <cell r="GB261">
            <v>-3435.7399358989774</v>
          </cell>
          <cell r="GC261">
            <v>-48773</v>
          </cell>
          <cell r="GD261">
            <v>-49427.021587492483</v>
          </cell>
          <cell r="GE261">
            <v>-48773</v>
          </cell>
          <cell r="GF261">
            <v>4.2735767655251511</v>
          </cell>
          <cell r="GG261">
            <v>-34267.770083335439</v>
          </cell>
          <cell r="GH261">
            <v>0</v>
          </cell>
        </row>
        <row r="262">
          <cell r="A262" t="str">
            <v>rental</v>
          </cell>
          <cell r="M262" t="str">
            <v xml:space="preserve"> </v>
          </cell>
          <cell r="AD262">
            <v>0</v>
          </cell>
          <cell r="AJ262">
            <v>0</v>
          </cell>
          <cell r="AP262">
            <v>0</v>
          </cell>
          <cell r="AR262">
            <v>-1341.8989999999999</v>
          </cell>
          <cell r="AT262">
            <v>-1341.8989999999999</v>
          </cell>
          <cell r="AV262">
            <v>532.08199999999999</v>
          </cell>
          <cell r="AX262">
            <v>-809.81699999999989</v>
          </cell>
          <cell r="AZ262" t="str">
            <v>Rental</v>
          </cell>
          <cell r="CD262">
            <v>0</v>
          </cell>
          <cell r="CP262">
            <v>0</v>
          </cell>
          <cell r="CQ262">
            <v>0</v>
          </cell>
          <cell r="CR262">
            <v>-1898.53</v>
          </cell>
          <cell r="CT262">
            <v>-1898.53</v>
          </cell>
          <cell r="CU262">
            <v>0</v>
          </cell>
          <cell r="CV262">
            <v>2088.9304999999999</v>
          </cell>
          <cell r="CX262">
            <v>190.40049999999997</v>
          </cell>
          <cell r="FN262">
            <v>0</v>
          </cell>
          <cell r="FR262">
            <v>0</v>
          </cell>
          <cell r="FS262">
            <v>-5310.13</v>
          </cell>
          <cell r="FT262">
            <v>-5310.13</v>
          </cell>
          <cell r="FU262">
            <v>2045.85529</v>
          </cell>
          <cell r="FV262">
            <v>-3264.2747100000001</v>
          </cell>
          <cell r="FW262" t="str">
            <v>rental</v>
          </cell>
          <cell r="FX262">
            <v>0</v>
          </cell>
          <cell r="FY262">
            <v>0</v>
          </cell>
          <cell r="FZ262">
            <v>1120</v>
          </cell>
          <cell r="GA262">
            <v>1120</v>
          </cell>
          <cell r="GB262">
            <v>1135.0186410102224</v>
          </cell>
          <cell r="GC262">
            <v>-4384.2747099999997</v>
          </cell>
          <cell r="GD262">
            <v>-4443.0656456782917</v>
          </cell>
          <cell r="GE262">
            <v>-4384.2747099999997</v>
          </cell>
          <cell r="GF262">
            <v>4.0308794579516123</v>
          </cell>
          <cell r="GG262">
            <v>-421.36792031352064</v>
          </cell>
          <cell r="GH262">
            <v>0</v>
          </cell>
        </row>
        <row r="263">
          <cell r="A263" t="str">
            <v>building maintenance</v>
          </cell>
          <cell r="G263">
            <v>0</v>
          </cell>
          <cell r="I263">
            <v>0</v>
          </cell>
          <cell r="M263" t="str">
            <v xml:space="preserve"> </v>
          </cell>
          <cell r="U263">
            <v>0</v>
          </cell>
          <cell r="AD263">
            <v>0</v>
          </cell>
          <cell r="AJ263">
            <v>0</v>
          </cell>
          <cell r="AP263">
            <v>0</v>
          </cell>
          <cell r="AR263">
            <v>-500.70600000000002</v>
          </cell>
          <cell r="AT263">
            <v>-500.70600000000002</v>
          </cell>
          <cell r="AV263">
            <v>165.09949999999998</v>
          </cell>
          <cell r="AX263">
            <v>-335.60650000000004</v>
          </cell>
          <cell r="AZ263" t="str">
            <v>services</v>
          </cell>
          <cell r="BA263" t="str">
            <v>services</v>
          </cell>
          <cell r="BE263">
            <v>0</v>
          </cell>
          <cell r="BG263">
            <v>0</v>
          </cell>
          <cell r="BI263">
            <v>0</v>
          </cell>
          <cell r="BU263">
            <v>0</v>
          </cell>
          <cell r="BX263">
            <v>-253.5</v>
          </cell>
          <cell r="CD263">
            <v>-253.5</v>
          </cell>
          <cell r="CJ263">
            <v>0</v>
          </cell>
          <cell r="CP263">
            <v>0</v>
          </cell>
          <cell r="CQ263">
            <v>0</v>
          </cell>
          <cell r="CT263">
            <v>-253.5</v>
          </cell>
          <cell r="CU263">
            <v>0</v>
          </cell>
          <cell r="CV263">
            <v>638.11749999999995</v>
          </cell>
          <cell r="CX263">
            <v>384.61750000000001</v>
          </cell>
          <cell r="FE263">
            <v>0</v>
          </cell>
          <cell r="FN263">
            <v>0</v>
          </cell>
          <cell r="FO263">
            <v>0</v>
          </cell>
          <cell r="FR263">
            <v>0</v>
          </cell>
          <cell r="FS263">
            <v>-1985.846</v>
          </cell>
          <cell r="FT263">
            <v>-1985.846</v>
          </cell>
          <cell r="FU263">
            <v>634.80757749999998</v>
          </cell>
          <cell r="FV263">
            <v>-1351.0384225</v>
          </cell>
          <cell r="FW263" t="str">
            <v>services</v>
          </cell>
          <cell r="FX263">
            <v>0</v>
          </cell>
          <cell r="FY263">
            <v>0</v>
          </cell>
          <cell r="GA263">
            <v>0</v>
          </cell>
          <cell r="GB263">
            <v>0</v>
          </cell>
          <cell r="GC263">
            <v>-1351.0384225</v>
          </cell>
          <cell r="GD263">
            <v>-1369.1551734451293</v>
          </cell>
          <cell r="GE263">
            <v>-1351.0384225</v>
          </cell>
          <cell r="GF263">
            <v>4.0256622636927473</v>
          </cell>
          <cell r="GG263">
            <v>-19668.814781188768</v>
          </cell>
          <cell r="GH263">
            <v>0</v>
          </cell>
        </row>
        <row r="264">
          <cell r="C264">
            <v>-3298.9040000000005</v>
          </cell>
          <cell r="E264">
            <v>-104.727</v>
          </cell>
          <cell r="G264">
            <v>-1009.615</v>
          </cell>
          <cell r="I264">
            <v>-4413.2460000000001</v>
          </cell>
          <cell r="M264">
            <v>-2920.330408653846</v>
          </cell>
          <cell r="O264">
            <v>-12206</v>
          </cell>
          <cell r="Q264">
            <v>-77945.404999999999</v>
          </cell>
          <cell r="S264">
            <v>253.27500000000001</v>
          </cell>
          <cell r="U264">
            <v>-77692.13</v>
          </cell>
          <cell r="W264">
            <v>0</v>
          </cell>
          <cell r="X264">
            <v>-15993.5</v>
          </cell>
          <cell r="Z264">
            <v>-1542.9370000000001</v>
          </cell>
          <cell r="AB264">
            <v>0</v>
          </cell>
          <cell r="AD264">
            <v>-95228.567000000025</v>
          </cell>
          <cell r="AF264">
            <v>-26.103999999999999</v>
          </cell>
          <cell r="AH264">
            <v>0</v>
          </cell>
          <cell r="AJ264">
            <v>-26.103999999999999</v>
          </cell>
          <cell r="AL264">
            <v>-44040.627999999997</v>
          </cell>
          <cell r="AN264">
            <v>26.103999999999999</v>
          </cell>
          <cell r="AP264">
            <v>-44040.627999999997</v>
          </cell>
          <cell r="AR264">
            <v>-1842.605</v>
          </cell>
          <cell r="AT264">
            <v>-160651.37640865392</v>
          </cell>
          <cell r="AV264">
            <v>5110.4275000000007</v>
          </cell>
          <cell r="AX264">
            <v>-155540.94890865387</v>
          </cell>
          <cell r="BC264">
            <v>-13725.008</v>
          </cell>
          <cell r="BE264">
            <v>-367</v>
          </cell>
          <cell r="BG264">
            <v>-4200</v>
          </cell>
          <cell r="BI264">
            <v>-18292.008000000002</v>
          </cell>
          <cell r="BM264">
            <v>-11553.8285</v>
          </cell>
          <cell r="BO264">
            <v>-46539</v>
          </cell>
          <cell r="BQ264">
            <v>-293089.75400000002</v>
          </cell>
          <cell r="BS264">
            <v>0</v>
          </cell>
          <cell r="BU264">
            <v>-293089.75400000002</v>
          </cell>
          <cell r="BW264">
            <v>0</v>
          </cell>
          <cell r="BX264">
            <v>-61513.5</v>
          </cell>
          <cell r="BZ264">
            <v>-5813.5850000000009</v>
          </cell>
          <cell r="CB264">
            <v>0</v>
          </cell>
          <cell r="CD264">
            <v>-360416.83900000004</v>
          </cell>
          <cell r="CF264">
            <v>-108.59399999999999</v>
          </cell>
          <cell r="CH264">
            <v>0</v>
          </cell>
          <cell r="CJ264">
            <v>-108.59399999999999</v>
          </cell>
          <cell r="CL264">
            <v>-163826</v>
          </cell>
          <cell r="CN264">
            <v>108.59399999999999</v>
          </cell>
          <cell r="CP264">
            <v>-163826</v>
          </cell>
          <cell r="CQ264">
            <v>0</v>
          </cell>
          <cell r="CR264">
            <v>-6984.34</v>
          </cell>
          <cell r="CT264">
            <v>-607612.01549999998</v>
          </cell>
          <cell r="CU264">
            <v>0</v>
          </cell>
          <cell r="CV264">
            <v>32572.884500000011</v>
          </cell>
          <cell r="CX264">
            <v>-575039.13099999994</v>
          </cell>
          <cell r="FC264">
            <v>-17925.008000000002</v>
          </cell>
          <cell r="FD264">
            <v>-397.33695539999997</v>
          </cell>
          <cell r="FE264">
            <v>0</v>
          </cell>
          <cell r="FF264">
            <v>-18322.3449554</v>
          </cell>
          <cell r="FG264">
            <v>-12148.574500000001</v>
          </cell>
          <cell r="FH264">
            <v>-48773</v>
          </cell>
          <cell r="FI264">
            <v>-307938.66899999994</v>
          </cell>
          <cell r="FJ264">
            <v>0</v>
          </cell>
          <cell r="FK264">
            <v>-66035</v>
          </cell>
          <cell r="FL264">
            <v>-6113.5789999999997</v>
          </cell>
          <cell r="FM264">
            <v>0</v>
          </cell>
          <cell r="FN264">
            <v>-380087.24800000002</v>
          </cell>
          <cell r="FO264">
            <v>-108.59399999999999</v>
          </cell>
          <cell r="FP264">
            <v>-173872</v>
          </cell>
          <cell r="FQ264">
            <v>108.59399999999999</v>
          </cell>
          <cell r="FR264">
            <v>-173872</v>
          </cell>
          <cell r="FS264">
            <v>-7295.9760000000006</v>
          </cell>
          <cell r="FT264">
            <v>-640499.1434553999</v>
          </cell>
          <cell r="FU264">
            <v>21003.007822899999</v>
          </cell>
          <cell r="FV264">
            <v>-619496.13563249994</v>
          </cell>
          <cell r="FX264">
            <v>-380087.24800000002</v>
          </cell>
          <cell r="FY264">
            <v>-173872</v>
          </cell>
          <cell r="FZ264">
            <v>19442.3449554</v>
          </cell>
          <cell r="GA264">
            <v>-534516.90304459992</v>
          </cell>
          <cell r="GB264">
            <v>-541684.50793810224</v>
          </cell>
          <cell r="GC264">
            <v>-84979.232587899998</v>
          </cell>
          <cell r="GD264">
            <v>-86118.76168393738</v>
          </cell>
          <cell r="GE264">
            <v>-84979.232587900013</v>
          </cell>
          <cell r="GF264">
            <v>3.9828491466663083</v>
          </cell>
          <cell r="GG264">
            <v>-510964.91261632048</v>
          </cell>
          <cell r="GH264">
            <v>0</v>
          </cell>
        </row>
        <row r="265">
          <cell r="A265" t="str">
            <v>OPERATING EXP.</v>
          </cell>
          <cell r="E265" t="str">
            <v xml:space="preserve"> </v>
          </cell>
          <cell r="AJ265">
            <v>0</v>
          </cell>
          <cell r="AP265">
            <v>0</v>
          </cell>
          <cell r="AT265">
            <v>0</v>
          </cell>
          <cell r="AZ265" t="str">
            <v>OPERATING EXP.</v>
          </cell>
          <cell r="CD265">
            <v>0</v>
          </cell>
          <cell r="CJ265">
            <v>0</v>
          </cell>
          <cell r="CP265">
            <v>0</v>
          </cell>
          <cell r="CQ265">
            <v>0</v>
          </cell>
          <cell r="CT265">
            <v>0</v>
          </cell>
          <cell r="CU265">
            <v>0</v>
          </cell>
          <cell r="FO265">
            <v>0</v>
          </cell>
          <cell r="FW265" t="str">
            <v>OPERATING EXP.</v>
          </cell>
          <cell r="FX265">
            <v>0</v>
          </cell>
          <cell r="FY265">
            <v>0</v>
          </cell>
          <cell r="GA265">
            <v>0</v>
          </cell>
          <cell r="GB265">
            <v>0</v>
          </cell>
          <cell r="GC265">
            <v>0</v>
          </cell>
          <cell r="GD265">
            <v>0</v>
          </cell>
          <cell r="GE265">
            <v>0</v>
          </cell>
          <cell r="GF265" t="e">
            <v>#DIV/0!</v>
          </cell>
          <cell r="GH265">
            <v>0</v>
          </cell>
        </row>
        <row r="266">
          <cell r="A266" t="str">
            <v>salaries</v>
          </cell>
          <cell r="I266">
            <v>0</v>
          </cell>
          <cell r="M266">
            <v>367.18016826923076</v>
          </cell>
          <cell r="Q266">
            <v>6584.8559999999998</v>
          </cell>
          <cell r="U266">
            <v>6584.8559999999998</v>
          </cell>
          <cell r="X266">
            <v>1260.5</v>
          </cell>
          <cell r="AD266">
            <v>7845.3559999999998</v>
          </cell>
          <cell r="AJ266">
            <v>0</v>
          </cell>
          <cell r="AL266">
            <v>380.88499999999999</v>
          </cell>
          <cell r="AP266">
            <v>380.88499999999999</v>
          </cell>
          <cell r="AR266">
            <v>190.41499999999999</v>
          </cell>
          <cell r="AT266">
            <v>8783.8361682692303</v>
          </cell>
          <cell r="AV266">
            <v>-190.41499999999999</v>
          </cell>
          <cell r="AX266">
            <v>8593.4211682692294</v>
          </cell>
          <cell r="AZ266" t="str">
            <v>salaries</v>
          </cell>
          <cell r="BI266">
            <v>0</v>
          </cell>
          <cell r="BM266">
            <v>1464.0305000000001</v>
          </cell>
          <cell r="BQ266">
            <v>25387.791000000001</v>
          </cell>
          <cell r="BU266">
            <v>25387.791000000001</v>
          </cell>
          <cell r="BX266">
            <v>4855</v>
          </cell>
          <cell r="CD266">
            <v>30242.791000000001</v>
          </cell>
          <cell r="CJ266">
            <v>0</v>
          </cell>
          <cell r="CL266">
            <v>1394</v>
          </cell>
          <cell r="CP266">
            <v>1394</v>
          </cell>
          <cell r="CQ266">
            <v>0</v>
          </cell>
          <cell r="CR266">
            <v>738.75400000000002</v>
          </cell>
          <cell r="CT266">
            <v>33839.575499999999</v>
          </cell>
          <cell r="CU266">
            <v>0</v>
          </cell>
          <cell r="CX266">
            <v>33839.575499999999</v>
          </cell>
          <cell r="FG266">
            <v>1527.4694999999999</v>
          </cell>
          <cell r="FI266">
            <v>26458.788</v>
          </cell>
          <cell r="FK266">
            <v>5097</v>
          </cell>
          <cell r="FN266">
            <v>31555.788</v>
          </cell>
          <cell r="FO266">
            <v>0</v>
          </cell>
          <cell r="FP266">
            <v>1493</v>
          </cell>
          <cell r="FR266">
            <v>1493</v>
          </cell>
          <cell r="FS266">
            <v>766.06899999999996</v>
          </cell>
          <cell r="FT266">
            <v>35342.326500000003</v>
          </cell>
          <cell r="FU266">
            <v>-766.06899999999996</v>
          </cell>
          <cell r="FV266">
            <v>34576.2575</v>
          </cell>
          <cell r="FW266" t="str">
            <v>salaries</v>
          </cell>
          <cell r="FX266">
            <v>31555.788</v>
          </cell>
          <cell r="FY266">
            <v>1493</v>
          </cell>
          <cell r="GA266">
            <v>33048.788</v>
          </cell>
          <cell r="GB266">
            <v>33491.955752495487</v>
          </cell>
          <cell r="GC266">
            <v>1527.4694999999992</v>
          </cell>
          <cell r="GD266">
            <v>1547.9521036380027</v>
          </cell>
          <cell r="GE266">
            <v>1527.4694999999992</v>
          </cell>
          <cell r="GF266">
            <v>4.0235730127683107</v>
          </cell>
          <cell r="GG266">
            <v>30612.119044284784</v>
          </cell>
          <cell r="GH266">
            <v>0</v>
          </cell>
        </row>
        <row r="267">
          <cell r="A267" t="str">
            <v>cost of sales and installation</v>
          </cell>
          <cell r="I267">
            <v>0</v>
          </cell>
          <cell r="M267" t="str">
            <v xml:space="preserve"> </v>
          </cell>
          <cell r="O267">
            <v>8538</v>
          </cell>
          <cell r="U267">
            <v>0</v>
          </cell>
          <cell r="AD267">
            <v>0</v>
          </cell>
          <cell r="AJ267">
            <v>0</v>
          </cell>
          <cell r="AP267">
            <v>0</v>
          </cell>
          <cell r="AT267">
            <v>8538</v>
          </cell>
          <cell r="AX267">
            <v>8538</v>
          </cell>
          <cell r="AZ267" t="str">
            <v>cost of sales and installation</v>
          </cell>
          <cell r="BI267">
            <v>0</v>
          </cell>
          <cell r="BO267">
            <v>30964.5</v>
          </cell>
          <cell r="BU267">
            <v>0</v>
          </cell>
          <cell r="CD267">
            <v>0</v>
          </cell>
          <cell r="CJ267">
            <v>0</v>
          </cell>
          <cell r="CP267">
            <v>0</v>
          </cell>
          <cell r="CQ267">
            <v>0</v>
          </cell>
          <cell r="CT267">
            <v>30964.5</v>
          </cell>
          <cell r="CU267">
            <v>0</v>
          </cell>
          <cell r="CX267">
            <v>30964.5</v>
          </cell>
          <cell r="FH267">
            <v>33389.5</v>
          </cell>
          <cell r="FN267">
            <v>0</v>
          </cell>
          <cell r="FO267">
            <v>0</v>
          </cell>
          <cell r="FR267">
            <v>0</v>
          </cell>
          <cell r="FS267">
            <v>0</v>
          </cell>
          <cell r="FT267">
            <v>33389.5</v>
          </cell>
          <cell r="FV267">
            <v>33389.5</v>
          </cell>
          <cell r="FW267" t="str">
            <v>Purchases</v>
          </cell>
          <cell r="FX267">
            <v>0</v>
          </cell>
          <cell r="FY267">
            <v>0</v>
          </cell>
          <cell r="GA267">
            <v>0</v>
          </cell>
          <cell r="GB267">
            <v>0</v>
          </cell>
          <cell r="GC267">
            <v>33389.5</v>
          </cell>
          <cell r="GD267">
            <v>33837.236530366805</v>
          </cell>
          <cell r="GE267">
            <v>33389.5</v>
          </cell>
          <cell r="GF267">
            <v>3.9106933708128366</v>
          </cell>
          <cell r="GG267">
            <v>17112.04835942671</v>
          </cell>
          <cell r="GH267">
            <v>0</v>
          </cell>
        </row>
        <row r="268">
          <cell r="A268" t="str">
            <v>unsuccesful bid</v>
          </cell>
          <cell r="C268">
            <v>-9.7430000000000003</v>
          </cell>
          <cell r="I268">
            <v>-9.7430000000000003</v>
          </cell>
          <cell r="M268" t="str">
            <v xml:space="preserve"> </v>
          </cell>
          <cell r="U268">
            <v>0</v>
          </cell>
          <cell r="AD268">
            <v>0</v>
          </cell>
          <cell r="AJ268">
            <v>0</v>
          </cell>
          <cell r="AP268">
            <v>0</v>
          </cell>
          <cell r="AT268">
            <v>-9.7430000000000003</v>
          </cell>
          <cell r="AV268">
            <v>0</v>
          </cell>
          <cell r="AX268">
            <v>-9.7430000000000003</v>
          </cell>
          <cell r="AZ268" t="str">
            <v>unsuccesful bid</v>
          </cell>
          <cell r="BC268">
            <v>-27.184999999999999</v>
          </cell>
          <cell r="BI268">
            <v>-27.184999999999999</v>
          </cell>
          <cell r="BU268">
            <v>0</v>
          </cell>
          <cell r="CD268">
            <v>0</v>
          </cell>
          <cell r="CJ268">
            <v>0</v>
          </cell>
          <cell r="CP268">
            <v>0</v>
          </cell>
          <cell r="CQ268">
            <v>0</v>
          </cell>
          <cell r="CT268">
            <v>-27.184999999999999</v>
          </cell>
          <cell r="CU268">
            <v>0</v>
          </cell>
          <cell r="CV268">
            <v>0</v>
          </cell>
          <cell r="CX268">
            <v>-27.184999999999999</v>
          </cell>
          <cell r="FC268">
            <v>-28.384</v>
          </cell>
          <cell r="FF268">
            <v>-28.384</v>
          </cell>
          <cell r="FN268">
            <v>0</v>
          </cell>
          <cell r="FO268">
            <v>0</v>
          </cell>
          <cell r="FR268">
            <v>0</v>
          </cell>
          <cell r="FS268">
            <v>0</v>
          </cell>
          <cell r="FT268">
            <v>-28.384</v>
          </cell>
          <cell r="FU268">
            <v>0</v>
          </cell>
          <cell r="FV268">
            <v>-28.384</v>
          </cell>
          <cell r="FW268" t="str">
            <v>unsuccesful bid</v>
          </cell>
          <cell r="FX268">
            <v>0</v>
          </cell>
          <cell r="FY268">
            <v>0</v>
          </cell>
          <cell r="GA268">
            <v>0</v>
          </cell>
          <cell r="GB268">
            <v>0</v>
          </cell>
          <cell r="GC268">
            <v>-28.384</v>
          </cell>
          <cell r="GD268">
            <v>-28.764615273601922</v>
          </cell>
          <cell r="GE268">
            <v>-28.384</v>
          </cell>
          <cell r="GF268">
            <v>2.9132710664066508</v>
          </cell>
          <cell r="GG268">
            <v>1631.0836518615286</v>
          </cell>
          <cell r="GH268">
            <v>0</v>
          </cell>
        </row>
        <row r="269">
          <cell r="A269" t="str">
            <v>consulting</v>
          </cell>
          <cell r="I269">
            <v>0</v>
          </cell>
          <cell r="M269" t="str">
            <v xml:space="preserve"> </v>
          </cell>
          <cell r="Q269">
            <v>22.762</v>
          </cell>
          <cell r="U269">
            <v>22.762</v>
          </cell>
          <cell r="AD269">
            <v>22.762</v>
          </cell>
          <cell r="AJ269">
            <v>0</v>
          </cell>
          <cell r="AP269">
            <v>0</v>
          </cell>
          <cell r="AT269">
            <v>22.762</v>
          </cell>
          <cell r="AV269">
            <v>0</v>
          </cell>
          <cell r="AX269">
            <v>22.762</v>
          </cell>
          <cell r="AZ269" t="str">
            <v>consulting</v>
          </cell>
          <cell r="BI269">
            <v>0</v>
          </cell>
          <cell r="BQ269">
            <v>82.872</v>
          </cell>
          <cell r="BU269">
            <v>82.872</v>
          </cell>
          <cell r="CD269">
            <v>82.872</v>
          </cell>
          <cell r="CJ269">
            <v>0</v>
          </cell>
          <cell r="CP269">
            <v>0</v>
          </cell>
          <cell r="CQ269">
            <v>0</v>
          </cell>
          <cell r="CT269">
            <v>82.872</v>
          </cell>
          <cell r="CU269">
            <v>0</v>
          </cell>
          <cell r="CV269">
            <v>0</v>
          </cell>
          <cell r="CX269">
            <v>82.872</v>
          </cell>
          <cell r="FI269">
            <v>89.084000000000003</v>
          </cell>
          <cell r="FN269">
            <v>89.084000000000003</v>
          </cell>
          <cell r="FO269">
            <v>0</v>
          </cell>
          <cell r="FR269">
            <v>0</v>
          </cell>
          <cell r="FS269">
            <v>0</v>
          </cell>
          <cell r="FT269">
            <v>89.084000000000003</v>
          </cell>
          <cell r="FU269">
            <v>0</v>
          </cell>
          <cell r="FV269">
            <v>89.084000000000003</v>
          </cell>
          <cell r="FW269" t="str">
            <v>consulting</v>
          </cell>
          <cell r="FX269">
            <v>89.084000000000003</v>
          </cell>
          <cell r="FY269">
            <v>0</v>
          </cell>
          <cell r="GA269">
            <v>89.084000000000003</v>
          </cell>
          <cell r="GB269">
            <v>90.278571978352375</v>
          </cell>
          <cell r="GC269">
            <v>0</v>
          </cell>
          <cell r="GD269">
            <v>0</v>
          </cell>
          <cell r="GE269">
            <v>0</v>
          </cell>
          <cell r="GF269">
            <v>3.9137158421931288</v>
          </cell>
          <cell r="GG269">
            <v>42.331007838014372</v>
          </cell>
          <cell r="GH269">
            <v>0</v>
          </cell>
        </row>
        <row r="270">
          <cell r="A270" t="str">
            <v>FRANCHISE EXP&amp;ROYALTIES</v>
          </cell>
          <cell r="I270">
            <v>0</v>
          </cell>
          <cell r="M270" t="str">
            <v xml:space="preserve"> </v>
          </cell>
          <cell r="Q270">
            <v>5658.82</v>
          </cell>
          <cell r="U270">
            <v>5658.82</v>
          </cell>
          <cell r="X270">
            <v>764</v>
          </cell>
          <cell r="Z270">
            <v>174.53200000000001</v>
          </cell>
          <cell r="AD270">
            <v>6597.3520000000008</v>
          </cell>
          <cell r="AJ270">
            <v>0</v>
          </cell>
          <cell r="AL270">
            <v>3145.46</v>
          </cell>
          <cell r="AP270">
            <v>3145.46</v>
          </cell>
          <cell r="AT270">
            <v>9742.8120000000017</v>
          </cell>
          <cell r="AV270">
            <v>0</v>
          </cell>
          <cell r="AX270">
            <v>9742.8120000000017</v>
          </cell>
          <cell r="AZ270" t="str">
            <v>FRANCHISE EXP&amp;ROYALTIES</v>
          </cell>
          <cell r="BI270">
            <v>0</v>
          </cell>
          <cell r="BQ270">
            <v>22299.835999999999</v>
          </cell>
          <cell r="BU270">
            <v>22299.835999999999</v>
          </cell>
          <cell r="BX270">
            <v>2985</v>
          </cell>
          <cell r="BZ270">
            <v>685.72</v>
          </cell>
          <cell r="CD270">
            <v>25970.556</v>
          </cell>
          <cell r="CJ270">
            <v>0</v>
          </cell>
          <cell r="CL270">
            <v>12402</v>
          </cell>
          <cell r="CP270">
            <v>12402</v>
          </cell>
          <cell r="CQ270">
            <v>0</v>
          </cell>
          <cell r="CT270">
            <v>38372.555999999997</v>
          </cell>
          <cell r="CU270">
            <v>0</v>
          </cell>
          <cell r="CV270">
            <v>0</v>
          </cell>
          <cell r="CX270">
            <v>38372.555999999997</v>
          </cell>
          <cell r="FI270">
            <v>23120.976999999999</v>
          </cell>
          <cell r="FK270">
            <v>3211</v>
          </cell>
          <cell r="FL270">
            <v>708.55799999999999</v>
          </cell>
          <cell r="FN270">
            <v>27040.535</v>
          </cell>
          <cell r="FO270">
            <v>0</v>
          </cell>
          <cell r="FP270">
            <v>12752</v>
          </cell>
          <cell r="FR270">
            <v>12752</v>
          </cell>
          <cell r="FS270">
            <v>0</v>
          </cell>
          <cell r="FT270">
            <v>39792.535000000003</v>
          </cell>
          <cell r="FU270">
            <v>0</v>
          </cell>
          <cell r="FV270">
            <v>39792.535000000003</v>
          </cell>
          <cell r="FW270" t="str">
            <v>FRANCHISE EXP&amp;ROYALTIES</v>
          </cell>
          <cell r="FX270">
            <v>27040.535</v>
          </cell>
          <cell r="FY270">
            <v>12752</v>
          </cell>
          <cell r="GA270">
            <v>39792.535000000003</v>
          </cell>
          <cell r="GB270">
            <v>40326.133033974744</v>
          </cell>
          <cell r="GC270">
            <v>0</v>
          </cell>
          <cell r="GD270">
            <v>0</v>
          </cell>
          <cell r="GE270">
            <v>0</v>
          </cell>
          <cell r="GF270">
            <v>4.084296710231091</v>
          </cell>
          <cell r="GG270">
            <v>33554.082704114968</v>
          </cell>
          <cell r="GH270">
            <v>0</v>
          </cell>
        </row>
        <row r="271">
          <cell r="A271" t="str">
            <v>car &amp; travel</v>
          </cell>
          <cell r="I271">
            <v>0</v>
          </cell>
          <cell r="M271" t="str">
            <v xml:space="preserve"> </v>
          </cell>
          <cell r="Q271">
            <v>1038.7139999999999</v>
          </cell>
          <cell r="U271">
            <v>1038.7139999999999</v>
          </cell>
          <cell r="X271">
            <v>54.5</v>
          </cell>
          <cell r="AD271">
            <v>1093.2139999999999</v>
          </cell>
          <cell r="AJ271">
            <v>0</v>
          </cell>
          <cell r="AL271">
            <v>179.774</v>
          </cell>
          <cell r="AP271">
            <v>179.774</v>
          </cell>
          <cell r="AT271">
            <v>1272.9879999999998</v>
          </cell>
          <cell r="AV271">
            <v>0</v>
          </cell>
          <cell r="AX271">
            <v>1272.9879999999998</v>
          </cell>
          <cell r="AZ271" t="str">
            <v>car &amp; travel</v>
          </cell>
          <cell r="BI271">
            <v>0</v>
          </cell>
          <cell r="BQ271">
            <v>3727.1759999999999</v>
          </cell>
          <cell r="BU271">
            <v>3727.1759999999999</v>
          </cell>
          <cell r="BX271">
            <v>215.5</v>
          </cell>
          <cell r="CD271">
            <v>3942.6759999999999</v>
          </cell>
          <cell r="CJ271">
            <v>0</v>
          </cell>
          <cell r="CL271">
            <v>679</v>
          </cell>
          <cell r="CP271">
            <v>679</v>
          </cell>
          <cell r="CQ271">
            <v>0</v>
          </cell>
          <cell r="CT271">
            <v>4621.6759999999995</v>
          </cell>
          <cell r="CU271">
            <v>0</v>
          </cell>
          <cell r="CV271">
            <v>0</v>
          </cell>
          <cell r="CX271">
            <v>4621.6759999999995</v>
          </cell>
          <cell r="FI271">
            <v>4141.1729999999998</v>
          </cell>
          <cell r="FK271">
            <v>234.5</v>
          </cell>
          <cell r="FN271">
            <v>4375.6729999999998</v>
          </cell>
          <cell r="FO271">
            <v>0</v>
          </cell>
          <cell r="FP271">
            <v>710</v>
          </cell>
          <cell r="FR271">
            <v>710</v>
          </cell>
          <cell r="FS271">
            <v>0</v>
          </cell>
          <cell r="FT271">
            <v>5085.6729999999998</v>
          </cell>
          <cell r="FU271">
            <v>0</v>
          </cell>
          <cell r="FV271">
            <v>5085.6729999999998</v>
          </cell>
          <cell r="FW271" t="str">
            <v>car &amp; travel</v>
          </cell>
          <cell r="FX271">
            <v>4375.6729999999998</v>
          </cell>
          <cell r="FY271">
            <v>710</v>
          </cell>
          <cell r="GA271">
            <v>5085.6729999999998</v>
          </cell>
          <cell r="GB271">
            <v>5153.8693366806974</v>
          </cell>
          <cell r="GC271">
            <v>0</v>
          </cell>
          <cell r="GD271">
            <v>0</v>
          </cell>
          <cell r="GE271">
            <v>0</v>
          </cell>
          <cell r="GF271">
            <v>3.9950675104557156</v>
          </cell>
          <cell r="GG271">
            <v>5049.4751959503601</v>
          </cell>
          <cell r="GH271">
            <v>0</v>
          </cell>
        </row>
        <row r="272">
          <cell r="A272" t="str">
            <v>programming/printing</v>
          </cell>
          <cell r="I272">
            <v>0</v>
          </cell>
          <cell r="M272" t="str">
            <v xml:space="preserve"> </v>
          </cell>
          <cell r="Q272">
            <v>11762.411</v>
          </cell>
          <cell r="U272">
            <v>11762.411</v>
          </cell>
          <cell r="X272">
            <v>2531</v>
          </cell>
          <cell r="Z272">
            <v>545.34199999999998</v>
          </cell>
          <cell r="AD272">
            <v>14838.753000000001</v>
          </cell>
          <cell r="AJ272">
            <v>0</v>
          </cell>
          <cell r="AL272">
            <v>5789.11</v>
          </cell>
          <cell r="AP272">
            <v>5789.11</v>
          </cell>
          <cell r="AT272">
            <v>20627.863000000001</v>
          </cell>
          <cell r="AX272">
            <v>20627.863000000001</v>
          </cell>
          <cell r="AZ272" t="str">
            <v>programming/printing</v>
          </cell>
          <cell r="BQ272">
            <v>44641.883000000002</v>
          </cell>
          <cell r="BU272">
            <v>44641.883000000002</v>
          </cell>
          <cell r="BX272">
            <v>9796.5</v>
          </cell>
          <cell r="BZ272">
            <v>2082.0430000000001</v>
          </cell>
          <cell r="CD272">
            <v>56520.425999999999</v>
          </cell>
          <cell r="CJ272">
            <v>0</v>
          </cell>
          <cell r="CL272">
            <v>21946</v>
          </cell>
          <cell r="CP272">
            <v>21946</v>
          </cell>
          <cell r="CQ272">
            <v>0</v>
          </cell>
          <cell r="CT272">
            <v>78466.426000000007</v>
          </cell>
          <cell r="CU272">
            <v>0</v>
          </cell>
          <cell r="CV272">
            <v>0</v>
          </cell>
          <cell r="CX272">
            <v>78466.426000000007</v>
          </cell>
          <cell r="FI272">
            <v>46728.682000000001</v>
          </cell>
          <cell r="FK272">
            <v>10467</v>
          </cell>
          <cell r="FL272">
            <v>2186.8020000000001</v>
          </cell>
          <cell r="FN272">
            <v>59382.484000000004</v>
          </cell>
          <cell r="FO272">
            <v>0</v>
          </cell>
          <cell r="FP272">
            <v>23012</v>
          </cell>
          <cell r="FR272">
            <v>23012</v>
          </cell>
          <cell r="FS272">
            <v>0</v>
          </cell>
          <cell r="FT272">
            <v>82394.483999999997</v>
          </cell>
          <cell r="FU272">
            <v>0</v>
          </cell>
          <cell r="FV272">
            <v>82394.483999999997</v>
          </cell>
          <cell r="FW272" t="str">
            <v>programming/printing</v>
          </cell>
          <cell r="FX272">
            <v>59382.484000000004</v>
          </cell>
          <cell r="FY272">
            <v>23012</v>
          </cell>
          <cell r="GA272">
            <v>82394.483999999997</v>
          </cell>
          <cell r="GB272">
            <v>83499.352907516528</v>
          </cell>
          <cell r="GC272">
            <v>0</v>
          </cell>
          <cell r="GD272">
            <v>0</v>
          </cell>
          <cell r="GE272">
            <v>0</v>
          </cell>
          <cell r="GF272">
            <v>3.9943296113610991</v>
          </cell>
          <cell r="GG272">
            <v>65296.261192031357</v>
          </cell>
          <cell r="GH272">
            <v>0</v>
          </cell>
        </row>
        <row r="273">
          <cell r="A273" t="str">
            <v>rent&amp;maint.-(head-end)/paper</v>
          </cell>
          <cell r="I273">
            <v>0</v>
          </cell>
          <cell r="O273">
            <v>304</v>
          </cell>
          <cell r="Q273">
            <v>3698.3</v>
          </cell>
          <cell r="U273">
            <v>3698.3</v>
          </cell>
          <cell r="X273">
            <v>1273.5</v>
          </cell>
          <cell r="AD273">
            <v>4971.8</v>
          </cell>
          <cell r="AJ273">
            <v>0</v>
          </cell>
          <cell r="AL273">
            <v>1349.973</v>
          </cell>
          <cell r="AN273">
            <v>0</v>
          </cell>
          <cell r="AP273">
            <v>1349.973</v>
          </cell>
          <cell r="AR273">
            <v>220.48</v>
          </cell>
          <cell r="AT273">
            <v>6846.2529999999997</v>
          </cell>
          <cell r="AV273">
            <v>-917.66149999999993</v>
          </cell>
          <cell r="AX273">
            <v>5928.5914999999995</v>
          </cell>
          <cell r="AZ273" t="str">
            <v>rent&amp;maint.-(head-end)/paper</v>
          </cell>
          <cell r="BM273">
            <v>7132.6225000000004</v>
          </cell>
          <cell r="BQ273">
            <v>15350.985000000001</v>
          </cell>
          <cell r="BU273">
            <v>15350.985000000001</v>
          </cell>
          <cell r="BX273">
            <v>4888.5</v>
          </cell>
          <cell r="CD273">
            <v>20239.485000000001</v>
          </cell>
          <cell r="CJ273">
            <v>0</v>
          </cell>
          <cell r="CL273">
            <v>5316</v>
          </cell>
          <cell r="CN273">
            <v>0</v>
          </cell>
          <cell r="CP273">
            <v>5316</v>
          </cell>
          <cell r="CQ273">
            <v>0</v>
          </cell>
          <cell r="CR273">
            <v>859.56700000000001</v>
          </cell>
          <cell r="CT273">
            <v>33547.674500000001</v>
          </cell>
          <cell r="CU273">
            <v>0</v>
          </cell>
          <cell r="CV273">
            <v>-2727.0479999999998</v>
          </cell>
          <cell r="CX273">
            <v>30820.626500000002</v>
          </cell>
          <cell r="FH273">
            <v>1097.5</v>
          </cell>
          <cell r="FI273">
            <v>15433.449000000001</v>
          </cell>
          <cell r="FK273">
            <v>5188.5</v>
          </cell>
          <cell r="FN273">
            <v>20621.949000000001</v>
          </cell>
          <cell r="FO273">
            <v>0</v>
          </cell>
          <cell r="FP273">
            <v>5417</v>
          </cell>
          <cell r="FQ273">
            <v>0</v>
          </cell>
          <cell r="FR273">
            <v>5417</v>
          </cell>
          <cell r="FS273">
            <v>891.21799999999996</v>
          </cell>
          <cell r="FT273">
            <v>28027.667000000001</v>
          </cell>
          <cell r="FU273">
            <v>-3571.8808675</v>
          </cell>
          <cell r="FV273">
            <v>24455.786132500001</v>
          </cell>
          <cell r="FW273" t="str">
            <v>rent&amp;maint.-(head-end)/paper</v>
          </cell>
          <cell r="FX273">
            <v>20621.949000000001</v>
          </cell>
          <cell r="FY273">
            <v>5417</v>
          </cell>
          <cell r="FZ273">
            <v>-1120.4368449999999</v>
          </cell>
          <cell r="GA273">
            <v>24918.512155</v>
          </cell>
          <cell r="GB273">
            <v>25252.656966218583</v>
          </cell>
          <cell r="GC273">
            <v>-462.72602249999909</v>
          </cell>
          <cell r="GD273">
            <v>-468.93094751608442</v>
          </cell>
          <cell r="GE273">
            <v>-462.72602249999909</v>
          </cell>
          <cell r="GF273">
            <v>4.1250583941396544</v>
          </cell>
          <cell r="GG273">
            <v>23681.776618876553</v>
          </cell>
          <cell r="GH273">
            <v>0</v>
          </cell>
        </row>
        <row r="274">
          <cell r="A274" t="str">
            <v>Cost of publication</v>
          </cell>
          <cell r="M274" t="str">
            <v xml:space="preserve"> </v>
          </cell>
          <cell r="AT274">
            <v>0</v>
          </cell>
          <cell r="AX274">
            <v>0</v>
          </cell>
          <cell r="AZ274" t="str">
            <v>Cost of publication</v>
          </cell>
          <cell r="CD274">
            <v>0</v>
          </cell>
          <cell r="CP274">
            <v>0</v>
          </cell>
          <cell r="CQ274">
            <v>0</v>
          </cell>
          <cell r="CT274">
            <v>0</v>
          </cell>
          <cell r="CU274">
            <v>0</v>
          </cell>
          <cell r="CV274">
            <v>0</v>
          </cell>
          <cell r="CX274">
            <v>0</v>
          </cell>
          <cell r="FN274">
            <v>0</v>
          </cell>
          <cell r="FR274">
            <v>0</v>
          </cell>
          <cell r="FS274">
            <v>0</v>
          </cell>
          <cell r="FT274">
            <v>0</v>
          </cell>
          <cell r="FU274">
            <v>0</v>
          </cell>
          <cell r="FV274">
            <v>0</v>
          </cell>
          <cell r="FW274" t="str">
            <v>Cost of publication</v>
          </cell>
          <cell r="FX274">
            <v>0</v>
          </cell>
          <cell r="FY274">
            <v>0</v>
          </cell>
          <cell r="GA274">
            <v>0</v>
          </cell>
          <cell r="GB274">
            <v>0</v>
          </cell>
          <cell r="GC274">
            <v>0</v>
          </cell>
          <cell r="GD274">
            <v>0</v>
          </cell>
          <cell r="GE274">
            <v>0</v>
          </cell>
          <cell r="GF274" t="e">
            <v>#DIV/0!</v>
          </cell>
          <cell r="GG274">
            <v>0</v>
          </cell>
          <cell r="GH274">
            <v>0</v>
          </cell>
        </row>
        <row r="275">
          <cell r="A275" t="str">
            <v>rent&amp;maint.-(network)/binding</v>
          </cell>
          <cell r="I275">
            <v>0</v>
          </cell>
          <cell r="Q275">
            <v>4689.1480000000001</v>
          </cell>
          <cell r="U275">
            <v>4689.1480000000001</v>
          </cell>
          <cell r="Z275">
            <v>18.869</v>
          </cell>
          <cell r="AD275">
            <v>4708.0169999999998</v>
          </cell>
          <cell r="AJ275">
            <v>0</v>
          </cell>
          <cell r="AP275">
            <v>0</v>
          </cell>
          <cell r="AT275">
            <v>4708.0169999999998</v>
          </cell>
          <cell r="AX275">
            <v>4708.0169999999998</v>
          </cell>
          <cell r="AZ275" t="str">
            <v>rent&amp;maint.-(network)/binding</v>
          </cell>
          <cell r="BM275">
            <v>430.60599999999999</v>
          </cell>
          <cell r="BQ275">
            <v>17665.346000000001</v>
          </cell>
          <cell r="BU275">
            <v>17665.346000000001</v>
          </cell>
          <cell r="BZ275">
            <v>74.962000000000003</v>
          </cell>
          <cell r="CD275">
            <v>17740.308000000001</v>
          </cell>
          <cell r="CJ275">
            <v>0</v>
          </cell>
          <cell r="CP275">
            <v>0</v>
          </cell>
          <cell r="CQ275">
            <v>0</v>
          </cell>
          <cell r="CT275">
            <v>18170.914000000001</v>
          </cell>
          <cell r="CU275">
            <v>0</v>
          </cell>
          <cell r="CV275">
            <v>0</v>
          </cell>
          <cell r="CX275">
            <v>18170.914000000001</v>
          </cell>
          <cell r="FI275">
            <v>18614.663</v>
          </cell>
          <cell r="FL275">
            <v>79.533000000000001</v>
          </cell>
          <cell r="FN275">
            <v>18694.196</v>
          </cell>
          <cell r="FO275">
            <v>0</v>
          </cell>
          <cell r="FR275">
            <v>0</v>
          </cell>
          <cell r="FS275">
            <v>0</v>
          </cell>
          <cell r="FT275">
            <v>18694.196</v>
          </cell>
          <cell r="FU275">
            <v>0</v>
          </cell>
          <cell r="FV275">
            <v>18694.196</v>
          </cell>
          <cell r="FW275" t="str">
            <v>rent&amp;maint.-(network)/binding</v>
          </cell>
          <cell r="FX275">
            <v>18694.196</v>
          </cell>
          <cell r="FY275">
            <v>0</v>
          </cell>
          <cell r="GA275">
            <v>18694.196</v>
          </cell>
          <cell r="GB275">
            <v>18944.875838123869</v>
          </cell>
          <cell r="GC275">
            <v>0</v>
          </cell>
          <cell r="GD275">
            <v>0</v>
          </cell>
          <cell r="GE275">
            <v>0</v>
          </cell>
          <cell r="GF275">
            <v>3.9707154838225946</v>
          </cell>
          <cell r="GG275">
            <v>22341.613690071848</v>
          </cell>
          <cell r="GH275">
            <v>0</v>
          </cell>
        </row>
        <row r="276">
          <cell r="A276" t="str">
            <v>amortization</v>
          </cell>
          <cell r="G276">
            <v>0</v>
          </cell>
          <cell r="I276">
            <v>0</v>
          </cell>
          <cell r="M276" t="str">
            <v xml:space="preserve"> </v>
          </cell>
          <cell r="Q276">
            <v>453.87200000000001</v>
          </cell>
          <cell r="U276">
            <v>453.87200000000001</v>
          </cell>
          <cell r="X276">
            <v>-440</v>
          </cell>
          <cell r="Z276">
            <v>51</v>
          </cell>
          <cell r="AD276">
            <v>64.872000000000014</v>
          </cell>
          <cell r="AJ276">
            <v>0</v>
          </cell>
          <cell r="AP276">
            <v>0</v>
          </cell>
          <cell r="AT276">
            <v>64.872000000000014</v>
          </cell>
          <cell r="AX276">
            <v>64.872000000000014</v>
          </cell>
          <cell r="AZ276" t="str">
            <v>amortization</v>
          </cell>
          <cell r="BI276">
            <v>0</v>
          </cell>
          <cell r="BQ276">
            <v>1345.364</v>
          </cell>
          <cell r="BU276">
            <v>1345.364</v>
          </cell>
          <cell r="BX276">
            <v>-1043</v>
          </cell>
          <cell r="BZ276">
            <v>157</v>
          </cell>
          <cell r="CD276">
            <v>459.36400000000003</v>
          </cell>
          <cell r="CJ276">
            <v>0</v>
          </cell>
          <cell r="CP276">
            <v>0</v>
          </cell>
          <cell r="CQ276">
            <v>0</v>
          </cell>
          <cell r="CT276">
            <v>459.36400000000003</v>
          </cell>
          <cell r="CU276">
            <v>0</v>
          </cell>
          <cell r="CV276">
            <v>0</v>
          </cell>
          <cell r="CX276">
            <v>459.36400000000003</v>
          </cell>
          <cell r="FE276">
            <v>0</v>
          </cell>
          <cell r="FI276">
            <v>2095.4290000000001</v>
          </cell>
          <cell r="FL276">
            <v>189</v>
          </cell>
          <cell r="FN276">
            <v>2284.4290000000001</v>
          </cell>
          <cell r="FO276">
            <v>0</v>
          </cell>
          <cell r="FS276">
            <v>0</v>
          </cell>
          <cell r="FT276">
            <v>2284.4290000000001</v>
          </cell>
          <cell r="FU276">
            <v>0</v>
          </cell>
          <cell r="FV276">
            <v>2284.4290000000001</v>
          </cell>
          <cell r="FW276" t="str">
            <v>amortization</v>
          </cell>
          <cell r="FX276">
            <v>2284.4290000000001</v>
          </cell>
          <cell r="FY276">
            <v>0</v>
          </cell>
          <cell r="GA276">
            <v>2284.4290000000001</v>
          </cell>
          <cell r="GB276">
            <v>2315.0620527360193</v>
          </cell>
          <cell r="GC276">
            <v>0</v>
          </cell>
          <cell r="GD276">
            <v>0</v>
          </cell>
          <cell r="GE276">
            <v>0</v>
          </cell>
          <cell r="GF276">
            <v>35.214406831915149</v>
          </cell>
          <cell r="GG276">
            <v>2131.3653213585894</v>
          </cell>
          <cell r="GH276">
            <v>0</v>
          </cell>
        </row>
        <row r="277">
          <cell r="A277" t="str">
            <v>depreciation</v>
          </cell>
          <cell r="I277">
            <v>0</v>
          </cell>
          <cell r="M277" t="str">
            <v xml:space="preserve"> </v>
          </cell>
          <cell r="Q277">
            <v>8813.1020000000008</v>
          </cell>
          <cell r="U277">
            <v>8813.1020000000008</v>
          </cell>
          <cell r="X277">
            <v>3586</v>
          </cell>
          <cell r="Z277">
            <v>211.18100000000001</v>
          </cell>
          <cell r="AD277">
            <v>12610.283000000001</v>
          </cell>
          <cell r="AJ277">
            <v>0</v>
          </cell>
          <cell r="AL277">
            <v>7578.7849999999999</v>
          </cell>
          <cell r="AP277">
            <v>7578.7849999999999</v>
          </cell>
          <cell r="AR277">
            <v>933.54600000000005</v>
          </cell>
          <cell r="AT277">
            <v>21122.614000000001</v>
          </cell>
          <cell r="AV277">
            <v>0</v>
          </cell>
          <cell r="AX277">
            <v>21122.614000000001</v>
          </cell>
          <cell r="AZ277" t="str">
            <v>depreciation</v>
          </cell>
          <cell r="BI277">
            <v>0</v>
          </cell>
          <cell r="BQ277">
            <v>23584.705999999998</v>
          </cell>
          <cell r="BU277">
            <v>23584.705999999998</v>
          </cell>
          <cell r="BX277">
            <v>9552</v>
          </cell>
          <cell r="BZ277">
            <v>662.89300000000003</v>
          </cell>
          <cell r="CD277">
            <v>33799.599000000002</v>
          </cell>
          <cell r="CJ277">
            <v>0</v>
          </cell>
          <cell r="CL277">
            <v>22035</v>
          </cell>
          <cell r="CP277">
            <v>22035</v>
          </cell>
          <cell r="CQ277">
            <v>0</v>
          </cell>
          <cell r="CR277">
            <v>3239.473</v>
          </cell>
          <cell r="CT277">
            <v>59074.072</v>
          </cell>
          <cell r="CU277">
            <v>0</v>
          </cell>
          <cell r="CV277">
            <v>0</v>
          </cell>
          <cell r="CX277">
            <v>59074.072</v>
          </cell>
          <cell r="FI277">
            <v>39088.328000000001</v>
          </cell>
          <cell r="FK277">
            <v>13536</v>
          </cell>
          <cell r="FL277">
            <v>809.23500000000001</v>
          </cell>
          <cell r="FN277">
            <v>53433.563000000002</v>
          </cell>
          <cell r="FO277">
            <v>0</v>
          </cell>
          <cell r="FP277">
            <v>32523</v>
          </cell>
          <cell r="FR277">
            <v>32523</v>
          </cell>
          <cell r="FS277">
            <v>3396.384</v>
          </cell>
          <cell r="FT277">
            <v>89352.947</v>
          </cell>
          <cell r="FU277">
            <v>0</v>
          </cell>
          <cell r="FV277">
            <v>89352.947</v>
          </cell>
          <cell r="FW277" t="str">
            <v>depreciation</v>
          </cell>
          <cell r="FX277">
            <v>53433.563000000002</v>
          </cell>
          <cell r="FY277">
            <v>32523</v>
          </cell>
          <cell r="GA277">
            <v>85956.562999999995</v>
          </cell>
          <cell r="GB277">
            <v>87109.197609079973</v>
          </cell>
          <cell r="GC277">
            <v>3396.3840000000055</v>
          </cell>
          <cell r="GD277">
            <v>3441.9278143114907</v>
          </cell>
          <cell r="GE277">
            <v>3396.3840000000055</v>
          </cell>
          <cell r="GF277">
            <v>4.2302030894471674</v>
          </cell>
          <cell r="GG277">
            <v>70922.782072305694</v>
          </cell>
          <cell r="GH277">
            <v>0</v>
          </cell>
        </row>
        <row r="278">
          <cell r="A278" t="str">
            <v>loss of converters</v>
          </cell>
          <cell r="I278">
            <v>0</v>
          </cell>
          <cell r="M278" t="str">
            <v xml:space="preserve"> </v>
          </cell>
          <cell r="Q278">
            <v>357.05500000000001</v>
          </cell>
          <cell r="U278">
            <v>357.05500000000001</v>
          </cell>
          <cell r="AD278">
            <v>357.05500000000001</v>
          </cell>
          <cell r="AJ278">
            <v>0</v>
          </cell>
          <cell r="AL278">
            <v>212.87799999999999</v>
          </cell>
          <cell r="AP278">
            <v>212.87799999999999</v>
          </cell>
          <cell r="AT278">
            <v>569.93299999999999</v>
          </cell>
          <cell r="AV278">
            <v>0</v>
          </cell>
          <cell r="AX278">
            <v>569.93299999999999</v>
          </cell>
          <cell r="AZ278" t="str">
            <v>loss of converters</v>
          </cell>
          <cell r="BI278">
            <v>0</v>
          </cell>
          <cell r="BQ278">
            <v>1216.1489999999999</v>
          </cell>
          <cell r="BU278">
            <v>1216.1489999999999</v>
          </cell>
          <cell r="CD278">
            <v>1216.1489999999999</v>
          </cell>
          <cell r="CJ278">
            <v>0</v>
          </cell>
          <cell r="CL278">
            <v>746</v>
          </cell>
          <cell r="CP278">
            <v>746</v>
          </cell>
          <cell r="CQ278">
            <v>0</v>
          </cell>
          <cell r="CT278">
            <v>1962.1489999999999</v>
          </cell>
          <cell r="CU278">
            <v>0</v>
          </cell>
          <cell r="CV278">
            <v>0</v>
          </cell>
          <cell r="CX278">
            <v>1962.1489999999999</v>
          </cell>
          <cell r="FI278">
            <v>1459.374</v>
          </cell>
          <cell r="FN278">
            <v>1459.374</v>
          </cell>
          <cell r="FO278">
            <v>0</v>
          </cell>
          <cell r="FP278">
            <v>875</v>
          </cell>
          <cell r="FR278">
            <v>875</v>
          </cell>
          <cell r="FS278">
            <v>0</v>
          </cell>
          <cell r="FT278">
            <v>2334.3739999999998</v>
          </cell>
          <cell r="FU278">
            <v>0</v>
          </cell>
          <cell r="FV278">
            <v>2334.3739999999998</v>
          </cell>
          <cell r="FW278" t="str">
            <v>loss of converters</v>
          </cell>
          <cell r="FX278">
            <v>1459.374</v>
          </cell>
          <cell r="FY278">
            <v>875</v>
          </cell>
          <cell r="GA278">
            <v>2334.3739999999998</v>
          </cell>
          <cell r="GB278">
            <v>2365.6767902585684</v>
          </cell>
          <cell r="GC278">
            <v>0</v>
          </cell>
          <cell r="GD278">
            <v>0</v>
          </cell>
          <cell r="GE278">
            <v>0</v>
          </cell>
          <cell r="GF278">
            <v>4.0958744273449685</v>
          </cell>
          <cell r="GG278">
            <v>5337.538079033312</v>
          </cell>
          <cell r="GH278">
            <v>0</v>
          </cell>
        </row>
        <row r="279">
          <cell r="A279" t="str">
            <v>cost of maintanance of building leased out</v>
          </cell>
          <cell r="AT279">
            <v>0</v>
          </cell>
          <cell r="AV279">
            <v>410.89499999999998</v>
          </cell>
          <cell r="AX279">
            <v>410.89499999999998</v>
          </cell>
          <cell r="AZ279" t="str">
            <v>cost of maintanance of building leased out</v>
          </cell>
          <cell r="FT279">
            <v>0</v>
          </cell>
          <cell r="FU279">
            <v>1657.2869999999998</v>
          </cell>
          <cell r="FV279">
            <v>1657.2869999999998</v>
          </cell>
          <cell r="FX279">
            <v>0</v>
          </cell>
          <cell r="FY279">
            <v>0</v>
          </cell>
          <cell r="GA279">
            <v>0</v>
          </cell>
          <cell r="GB279">
            <v>0</v>
          </cell>
          <cell r="GC279">
            <v>1657.2869999999998</v>
          </cell>
          <cell r="GD279">
            <v>1679.5103915213465</v>
          </cell>
          <cell r="GE279">
            <v>1657.2869999999998</v>
          </cell>
          <cell r="GF279">
            <v>4.0333588873069761</v>
          </cell>
        </row>
        <row r="280">
          <cell r="A280" t="str">
            <v>Cost of publication of CATV guides</v>
          </cell>
          <cell r="M280">
            <v>1912</v>
          </cell>
          <cell r="AT280">
            <v>1912</v>
          </cell>
          <cell r="AV280">
            <v>0</v>
          </cell>
          <cell r="AX280">
            <v>1912</v>
          </cell>
          <cell r="AZ280" t="str">
            <v>Cost of publication of CATV guides</v>
          </cell>
          <cell r="FG280">
            <v>7955.0390000000007</v>
          </cell>
          <cell r="FT280">
            <v>7955.0390000000007</v>
          </cell>
          <cell r="FV280">
            <v>7955.0390000000007</v>
          </cell>
          <cell r="FX280">
            <v>0</v>
          </cell>
          <cell r="FY280">
            <v>0</v>
          </cell>
          <cell r="GA280">
            <v>0</v>
          </cell>
          <cell r="GB280">
            <v>0</v>
          </cell>
          <cell r="GC280">
            <v>7955.0390000000007</v>
          </cell>
          <cell r="GD280">
            <v>8061.7121026458208</v>
          </cell>
          <cell r="GE280">
            <v>7955.0390000000007</v>
          </cell>
          <cell r="GF280">
            <v>4.1605852510460251</v>
          </cell>
        </row>
        <row r="281">
          <cell r="A281" t="str">
            <v>part.in exp. others</v>
          </cell>
          <cell r="I281">
            <v>0</v>
          </cell>
          <cell r="M281" t="str">
            <v xml:space="preserve"> </v>
          </cell>
          <cell r="S281">
            <v>-253.27500000000001</v>
          </cell>
          <cell r="U281">
            <v>-253.27500000000001</v>
          </cell>
          <cell r="AD281">
            <v>-253.27500000000001</v>
          </cell>
          <cell r="AJ281">
            <v>0</v>
          </cell>
          <cell r="AP281">
            <v>0</v>
          </cell>
          <cell r="AT281">
            <v>-253.27500000000001</v>
          </cell>
          <cell r="AV281">
            <v>253.27500000000001</v>
          </cell>
          <cell r="AX281">
            <v>0</v>
          </cell>
          <cell r="AZ281" t="str">
            <v>part.in exp. others</v>
          </cell>
          <cell r="BU281">
            <v>0</v>
          </cell>
          <cell r="CD281">
            <v>0</v>
          </cell>
          <cell r="CJ281">
            <v>0</v>
          </cell>
          <cell r="CP281">
            <v>0</v>
          </cell>
          <cell r="CQ281">
            <v>0</v>
          </cell>
          <cell r="CT281">
            <v>0</v>
          </cell>
          <cell r="CU281">
            <v>0</v>
          </cell>
          <cell r="CV281">
            <v>0</v>
          </cell>
          <cell r="CX281">
            <v>0</v>
          </cell>
          <cell r="FI281">
            <v>-1050</v>
          </cell>
          <cell r="FN281">
            <v>-1050</v>
          </cell>
          <cell r="FO281">
            <v>0</v>
          </cell>
          <cell r="FR281">
            <v>0</v>
          </cell>
          <cell r="FS281">
            <v>0</v>
          </cell>
          <cell r="FT281">
            <v>-1050</v>
          </cell>
          <cell r="FU281">
            <v>1050</v>
          </cell>
          <cell r="FV281">
            <v>0</v>
          </cell>
          <cell r="FW281" t="str">
            <v>part.in exp. others</v>
          </cell>
          <cell r="FX281">
            <v>-1050</v>
          </cell>
          <cell r="FY281">
            <v>0</v>
          </cell>
          <cell r="GA281">
            <v>-1050</v>
          </cell>
          <cell r="GB281">
            <v>-1064.0799759470835</v>
          </cell>
          <cell r="GC281">
            <v>1050</v>
          </cell>
          <cell r="GD281">
            <v>1064.0799759470835</v>
          </cell>
          <cell r="GE281">
            <v>1050</v>
          </cell>
          <cell r="GF281" t="e">
            <v>#DIV/0!</v>
          </cell>
          <cell r="GG281">
            <v>0</v>
          </cell>
          <cell r="GH281">
            <v>0</v>
          </cell>
        </row>
        <row r="282">
          <cell r="A282" t="str">
            <v>part.in exp.</v>
          </cell>
          <cell r="I282">
            <v>0</v>
          </cell>
          <cell r="M282" t="str">
            <v xml:space="preserve"> </v>
          </cell>
          <cell r="Q282">
            <v>-2373.4639999999999</v>
          </cell>
          <cell r="U282">
            <v>-2373.4639999999999</v>
          </cell>
          <cell r="X282">
            <v>68.5</v>
          </cell>
          <cell r="AD282">
            <v>-2304.9639999999999</v>
          </cell>
          <cell r="AJ282">
            <v>0</v>
          </cell>
          <cell r="AL282">
            <v>2574.4450000000002</v>
          </cell>
          <cell r="AN282">
            <v>0</v>
          </cell>
          <cell r="AP282">
            <v>2574.4450000000002</v>
          </cell>
          <cell r="AT282">
            <v>269.48100000000022</v>
          </cell>
          <cell r="AV282">
            <v>-269.48100000000022</v>
          </cell>
          <cell r="AX282">
            <v>0</v>
          </cell>
          <cell r="AZ282" t="str">
            <v>part.in exp.</v>
          </cell>
          <cell r="BI282">
            <v>0</v>
          </cell>
          <cell r="BQ282">
            <v>-9094.2039999999997</v>
          </cell>
          <cell r="BU282">
            <v>-9094.2039999999997</v>
          </cell>
          <cell r="BX282">
            <v>266.5</v>
          </cell>
          <cell r="CD282">
            <v>-8827.7039999999997</v>
          </cell>
          <cell r="CH282">
            <v>0</v>
          </cell>
          <cell r="CJ282">
            <v>0</v>
          </cell>
          <cell r="CL282">
            <v>9899</v>
          </cell>
          <cell r="CN282">
            <v>0</v>
          </cell>
          <cell r="CP282">
            <v>9899</v>
          </cell>
          <cell r="CQ282">
            <v>0</v>
          </cell>
          <cell r="CT282">
            <v>1071.2960000000003</v>
          </cell>
          <cell r="CU282">
            <v>0</v>
          </cell>
          <cell r="CV282">
            <v>-1071.2960000000003</v>
          </cell>
          <cell r="CX282">
            <v>0</v>
          </cell>
          <cell r="FI282">
            <v>-9539.5969999999998</v>
          </cell>
          <cell r="FK282">
            <v>280.5</v>
          </cell>
          <cell r="FN282">
            <v>-9259.0969999999998</v>
          </cell>
          <cell r="FO282">
            <v>0</v>
          </cell>
          <cell r="FP282">
            <v>10356.4</v>
          </cell>
          <cell r="FQ282">
            <v>0</v>
          </cell>
          <cell r="FR282">
            <v>10356.4</v>
          </cell>
          <cell r="FS282">
            <v>0</v>
          </cell>
          <cell r="FT282">
            <v>1097.3029999999999</v>
          </cell>
          <cell r="FU282">
            <v>-1097.3029999999999</v>
          </cell>
          <cell r="FV282">
            <v>0</v>
          </cell>
          <cell r="FW282" t="str">
            <v>part.in exp.</v>
          </cell>
          <cell r="FX282">
            <v>-9259.0969999999998</v>
          </cell>
          <cell r="FY282">
            <v>10356.4</v>
          </cell>
          <cell r="GA282">
            <v>1097.3029999999999</v>
          </cell>
          <cell r="GB282">
            <v>1112.0172855682499</v>
          </cell>
          <cell r="GC282">
            <v>-1097.3029999999999</v>
          </cell>
          <cell r="GD282">
            <v>-1112.0172855682499</v>
          </cell>
          <cell r="GE282">
            <v>-1097.3029999999999</v>
          </cell>
          <cell r="GF282" t="e">
            <v>#DIV/0!</v>
          </cell>
          <cell r="GG282">
            <v>-993.19443500979753</v>
          </cell>
          <cell r="GH282">
            <v>0</v>
          </cell>
        </row>
        <row r="283">
          <cell r="C283">
            <v>-9.7430000000000003</v>
          </cell>
          <cell r="E283">
            <v>0</v>
          </cell>
          <cell r="G283">
            <v>0</v>
          </cell>
          <cell r="I283">
            <v>-9.7430000000000003</v>
          </cell>
          <cell r="M283">
            <v>2279.1801682692308</v>
          </cell>
          <cell r="O283">
            <v>8842</v>
          </cell>
          <cell r="Q283">
            <v>40705.576000000001</v>
          </cell>
          <cell r="S283">
            <v>-253.27500000000001</v>
          </cell>
          <cell r="U283">
            <v>40452.300999999999</v>
          </cell>
          <cell r="W283">
            <v>0</v>
          </cell>
          <cell r="X283">
            <v>9098</v>
          </cell>
          <cell r="Z283">
            <v>1000.9240000000001</v>
          </cell>
          <cell r="AB283">
            <v>0</v>
          </cell>
          <cell r="AD283">
            <v>50551.225000000006</v>
          </cell>
          <cell r="AF283">
            <v>0</v>
          </cell>
          <cell r="AH283">
            <v>0</v>
          </cell>
          <cell r="AJ283">
            <v>0</v>
          </cell>
          <cell r="AL283">
            <v>21211.31</v>
          </cell>
          <cell r="AN283">
            <v>0</v>
          </cell>
          <cell r="AP283">
            <v>21211.31</v>
          </cell>
          <cell r="AR283">
            <v>1344.441</v>
          </cell>
          <cell r="AT283">
            <v>84218.413168269253</v>
          </cell>
          <cell r="AV283">
            <v>-713.38750000000005</v>
          </cell>
          <cell r="AX283">
            <v>83505.025668269256</v>
          </cell>
          <cell r="BC283">
            <v>-27.184999999999999</v>
          </cell>
          <cell r="BE283">
            <v>0</v>
          </cell>
          <cell r="BG283">
            <v>0</v>
          </cell>
          <cell r="BI283">
            <v>-27.184999999999999</v>
          </cell>
          <cell r="BM283">
            <v>9027.259</v>
          </cell>
          <cell r="BO283">
            <v>30964.5</v>
          </cell>
          <cell r="BQ283">
            <v>146207.90400000001</v>
          </cell>
          <cell r="BS283">
            <v>0</v>
          </cell>
          <cell r="BU283">
            <v>146207.90400000001</v>
          </cell>
          <cell r="BW283">
            <v>0</v>
          </cell>
          <cell r="BX283">
            <v>31516</v>
          </cell>
          <cell r="BZ283">
            <v>3662.6179999999999</v>
          </cell>
          <cell r="CB283">
            <v>0</v>
          </cell>
          <cell r="CD283">
            <v>181386.522</v>
          </cell>
          <cell r="CF283">
            <v>0</v>
          </cell>
          <cell r="CH283">
            <v>0</v>
          </cell>
          <cell r="CJ283">
            <v>0</v>
          </cell>
          <cell r="CL283">
            <v>74417</v>
          </cell>
          <cell r="CN283">
            <v>0</v>
          </cell>
          <cell r="CP283">
            <v>74417</v>
          </cell>
          <cell r="CQ283">
            <v>0</v>
          </cell>
          <cell r="CR283">
            <v>4838</v>
          </cell>
          <cell r="CT283">
            <v>300605.89</v>
          </cell>
          <cell r="CU283">
            <v>0.2060000000637956</v>
          </cell>
          <cell r="CV283">
            <v>-3798.3440000000001</v>
          </cell>
          <cell r="CX283">
            <v>296807.54599999997</v>
          </cell>
          <cell r="FC283">
            <v>-28.384</v>
          </cell>
          <cell r="FD283">
            <v>0</v>
          </cell>
          <cell r="FE283">
            <v>0</v>
          </cell>
          <cell r="FF283">
            <v>-28.384</v>
          </cell>
          <cell r="FG283">
            <v>9482.5084999999999</v>
          </cell>
          <cell r="FH283">
            <v>34487</v>
          </cell>
          <cell r="FI283">
            <v>166640.35</v>
          </cell>
          <cell r="FJ283">
            <v>0</v>
          </cell>
          <cell r="FK283">
            <v>38014.5</v>
          </cell>
          <cell r="FL283">
            <v>3973.1280000000002</v>
          </cell>
          <cell r="FM283">
            <v>0</v>
          </cell>
          <cell r="FN283">
            <v>208627.978</v>
          </cell>
          <cell r="FO283">
            <v>0</v>
          </cell>
          <cell r="FP283">
            <v>87138.4</v>
          </cell>
          <cell r="FQ283">
            <v>0</v>
          </cell>
          <cell r="FR283">
            <v>87138.4</v>
          </cell>
          <cell r="FS283">
            <v>5053.6710000000003</v>
          </cell>
          <cell r="FT283">
            <v>344761.17349999998</v>
          </cell>
          <cell r="FU283">
            <v>-2727.9658674999996</v>
          </cell>
          <cell r="FV283">
            <v>342033.20763250004</v>
          </cell>
          <cell r="FX283">
            <v>208627.978</v>
          </cell>
          <cell r="FY283">
            <v>87138.4</v>
          </cell>
          <cell r="FZ283">
            <v>-1120.4368449999999</v>
          </cell>
          <cell r="GA283">
            <v>294645.94115500001</v>
          </cell>
          <cell r="GB283">
            <v>298596.99616868392</v>
          </cell>
          <cell r="GC283">
            <v>47387.266477500001</v>
          </cell>
          <cell r="GD283">
            <v>48022.706070072614</v>
          </cell>
          <cell r="GE283">
            <v>47387.26647750003</v>
          </cell>
          <cell r="GF283">
            <v>4.0959595532759403</v>
          </cell>
          <cell r="GG283">
            <v>276719.28250214393</v>
          </cell>
          <cell r="GH283">
            <v>0</v>
          </cell>
        </row>
        <row r="284">
          <cell r="A284" t="str">
            <v>OPER. LOSS(PROFIT)</v>
          </cell>
          <cell r="C284">
            <v>-3308.6470000000004</v>
          </cell>
          <cell r="E284">
            <v>-104.727</v>
          </cell>
          <cell r="G284">
            <v>-1009.615</v>
          </cell>
          <cell r="I284">
            <v>-4422.9890000000005</v>
          </cell>
          <cell r="M284">
            <v>-641.15024038461524</v>
          </cell>
          <cell r="O284">
            <v>-3364</v>
          </cell>
          <cell r="Q284">
            <v>-37239.828999999998</v>
          </cell>
          <cell r="S284">
            <v>0</v>
          </cell>
          <cell r="U284">
            <v>-37239.829000000005</v>
          </cell>
          <cell r="W284">
            <v>0</v>
          </cell>
          <cell r="X284">
            <v>-6895.5</v>
          </cell>
          <cell r="Z284">
            <v>-542.01300000000003</v>
          </cell>
          <cell r="AB284">
            <v>0</v>
          </cell>
          <cell r="AD284">
            <v>-44677.342000000019</v>
          </cell>
          <cell r="AF284">
            <v>-26.103999999999999</v>
          </cell>
          <cell r="AH284">
            <v>0</v>
          </cell>
          <cell r="AJ284">
            <v>-26.103999999999999</v>
          </cell>
          <cell r="AL284">
            <v>-22829.317999999996</v>
          </cell>
          <cell r="AN284">
            <v>26.103999999999999</v>
          </cell>
          <cell r="AP284">
            <v>-22829.317999999996</v>
          </cell>
          <cell r="AR284">
            <v>-498.16399999999999</v>
          </cell>
          <cell r="AT284">
            <v>-76432.963240384663</v>
          </cell>
          <cell r="AV284">
            <v>4397.04</v>
          </cell>
          <cell r="AX284">
            <v>-72035.923240384611</v>
          </cell>
          <cell r="AZ284" t="str">
            <v>OPER. LOSS(PROFIT)</v>
          </cell>
          <cell r="BC284">
            <v>-13752.192999999999</v>
          </cell>
          <cell r="BE284">
            <v>-367</v>
          </cell>
          <cell r="BG284">
            <v>-4200</v>
          </cell>
          <cell r="BI284">
            <v>-18319.193000000003</v>
          </cell>
          <cell r="BM284">
            <v>-2526.5694999999996</v>
          </cell>
          <cell r="BO284">
            <v>-15574.5</v>
          </cell>
          <cell r="BQ284">
            <v>-146881.85</v>
          </cell>
          <cell r="BS284">
            <v>0</v>
          </cell>
          <cell r="BU284">
            <v>-146881.85</v>
          </cell>
          <cell r="BW284">
            <v>0</v>
          </cell>
          <cell r="BX284">
            <v>-29997.5</v>
          </cell>
          <cell r="BZ284">
            <v>-2150.967000000001</v>
          </cell>
          <cell r="CB284">
            <v>0</v>
          </cell>
          <cell r="CD284">
            <v>-179030.31700000001</v>
          </cell>
          <cell r="CF284">
            <v>-108.59399999999999</v>
          </cell>
          <cell r="CH284">
            <v>0</v>
          </cell>
          <cell r="CJ284">
            <v>-108.59399999999999</v>
          </cell>
          <cell r="CL284">
            <v>-89409</v>
          </cell>
          <cell r="CN284">
            <v>108.59399999999999</v>
          </cell>
          <cell r="CP284">
            <v>-89409</v>
          </cell>
          <cell r="CQ284">
            <v>0</v>
          </cell>
          <cell r="CR284">
            <v>-2146.34</v>
          </cell>
          <cell r="CT284">
            <v>-307006.12550000002</v>
          </cell>
          <cell r="CU284">
            <v>0.2060000000637956</v>
          </cell>
          <cell r="CV284">
            <v>28774.54050000001</v>
          </cell>
          <cell r="CX284">
            <v>-278231.58499999996</v>
          </cell>
          <cell r="FC284">
            <v>-17953.392</v>
          </cell>
          <cell r="FD284">
            <v>-397.33695539999997</v>
          </cell>
          <cell r="FE284">
            <v>0</v>
          </cell>
          <cell r="FF284">
            <v>-18350.728955399998</v>
          </cell>
          <cell r="FG284">
            <v>-2666.0660000000007</v>
          </cell>
          <cell r="FH284">
            <v>-14286</v>
          </cell>
          <cell r="FI284">
            <v>-141298.31899999993</v>
          </cell>
          <cell r="FJ284">
            <v>0</v>
          </cell>
          <cell r="FK284">
            <v>-28020.5</v>
          </cell>
          <cell r="FL284">
            <v>-2140.4509999999996</v>
          </cell>
          <cell r="FM284">
            <v>0</v>
          </cell>
          <cell r="FN284">
            <v>-171459.27</v>
          </cell>
          <cell r="FO284">
            <v>-108.59399999999999</v>
          </cell>
          <cell r="FP284">
            <v>-86733.6</v>
          </cell>
          <cell r="FQ284">
            <v>108.59399999999999</v>
          </cell>
          <cell r="FR284">
            <v>-86733.6</v>
          </cell>
          <cell r="FS284">
            <v>-2242.3049999999998</v>
          </cell>
          <cell r="FT284">
            <v>-295737.96995539992</v>
          </cell>
          <cell r="FU284">
            <v>18275.0419554</v>
          </cell>
          <cell r="FV284">
            <v>-277462.9279999999</v>
          </cell>
          <cell r="FW284" t="str">
            <v>OPER. LOSS(PROFIT)</v>
          </cell>
          <cell r="FX284">
            <v>-171459.27</v>
          </cell>
          <cell r="FY284">
            <v>-86733.6</v>
          </cell>
          <cell r="FZ284">
            <v>18321.9081104</v>
          </cell>
          <cell r="GA284">
            <v>-239870.96188959992</v>
          </cell>
          <cell r="GB284">
            <v>-243087.51176941831</v>
          </cell>
          <cell r="GC284">
            <v>-37591.966110399997</v>
          </cell>
          <cell r="GD284">
            <v>-38096.055613864766</v>
          </cell>
          <cell r="GE284">
            <v>-37591.966110399982</v>
          </cell>
          <cell r="GF284">
            <v>3.8517300191198114</v>
          </cell>
          <cell r="GG284">
            <v>-234245.63011417654</v>
          </cell>
          <cell r="GH284">
            <v>0</v>
          </cell>
        </row>
        <row r="285">
          <cell r="A285" t="str">
            <v>MARKETING</v>
          </cell>
          <cell r="AT285">
            <v>0</v>
          </cell>
          <cell r="AZ285" t="str">
            <v>MARKETING</v>
          </cell>
          <cell r="CD285">
            <v>0</v>
          </cell>
          <cell r="CQ285">
            <v>0</v>
          </cell>
          <cell r="CT285">
            <v>0</v>
          </cell>
          <cell r="CU285">
            <v>0</v>
          </cell>
          <cell r="FW285" t="str">
            <v>MARKETING</v>
          </cell>
          <cell r="FX285">
            <v>0</v>
          </cell>
          <cell r="FY285">
            <v>0</v>
          </cell>
          <cell r="GA285">
            <v>0</v>
          </cell>
          <cell r="GB285">
            <v>0</v>
          </cell>
          <cell r="GC285">
            <v>0</v>
          </cell>
          <cell r="GD285">
            <v>0</v>
          </cell>
          <cell r="GE285">
            <v>0</v>
          </cell>
          <cell r="GF285" t="e">
            <v>#DIV/0!</v>
          </cell>
          <cell r="GH285">
            <v>0</v>
          </cell>
        </row>
        <row r="286">
          <cell r="A286" t="str">
            <v>salaries</v>
          </cell>
          <cell r="I286">
            <v>0</v>
          </cell>
          <cell r="M286" t="str">
            <v xml:space="preserve"> </v>
          </cell>
          <cell r="O286">
            <v>1387</v>
          </cell>
          <cell r="Q286">
            <v>3339.7649999999999</v>
          </cell>
          <cell r="U286">
            <v>3339.7649999999999</v>
          </cell>
          <cell r="X286">
            <v>512</v>
          </cell>
          <cell r="AD286">
            <v>3851.7649999999999</v>
          </cell>
          <cell r="AJ286">
            <v>0</v>
          </cell>
          <cell r="AL286">
            <v>91.644000000000005</v>
          </cell>
          <cell r="AN286">
            <v>0</v>
          </cell>
          <cell r="AP286">
            <v>91.644000000000005</v>
          </cell>
          <cell r="AT286">
            <v>5330.4089999999997</v>
          </cell>
          <cell r="AV286">
            <v>0</v>
          </cell>
          <cell r="AX286">
            <v>5330.4089999999997</v>
          </cell>
          <cell r="AZ286" t="str">
            <v>salaries</v>
          </cell>
          <cell r="BG286">
            <v>0</v>
          </cell>
          <cell r="BI286">
            <v>0</v>
          </cell>
          <cell r="BO286">
            <v>5379.5</v>
          </cell>
          <cell r="BQ286">
            <v>12854.347</v>
          </cell>
          <cell r="BU286">
            <v>12854.347</v>
          </cell>
          <cell r="BX286">
            <v>1966.5</v>
          </cell>
          <cell r="CD286">
            <v>14820.847</v>
          </cell>
          <cell r="CJ286">
            <v>0</v>
          </cell>
          <cell r="CL286">
            <v>373</v>
          </cell>
          <cell r="CN286">
            <v>0</v>
          </cell>
          <cell r="CP286">
            <v>373</v>
          </cell>
          <cell r="CQ286">
            <v>0</v>
          </cell>
          <cell r="CT286">
            <v>20573.347000000002</v>
          </cell>
          <cell r="CU286">
            <v>0</v>
          </cell>
          <cell r="CX286">
            <v>20573.347000000002</v>
          </cell>
          <cell r="FH286">
            <v>5608</v>
          </cell>
          <cell r="FI286">
            <v>13307.933000000001</v>
          </cell>
          <cell r="FK286">
            <v>2087.5</v>
          </cell>
          <cell r="FN286">
            <v>15395.433000000001</v>
          </cell>
          <cell r="FO286">
            <v>0</v>
          </cell>
          <cell r="FP286">
            <v>377</v>
          </cell>
          <cell r="FQ286">
            <v>0</v>
          </cell>
          <cell r="FR286">
            <v>377</v>
          </cell>
          <cell r="FS286">
            <v>0</v>
          </cell>
          <cell r="FT286">
            <v>21380.433000000001</v>
          </cell>
          <cell r="FV286">
            <v>21380.433000000001</v>
          </cell>
          <cell r="FW286" t="str">
            <v>salaries</v>
          </cell>
          <cell r="FX286">
            <v>15395.433000000001</v>
          </cell>
          <cell r="FY286">
            <v>377</v>
          </cell>
          <cell r="GA286">
            <v>15772.433000000001</v>
          </cell>
          <cell r="GB286">
            <v>15983.933454539989</v>
          </cell>
          <cell r="GC286">
            <v>5608</v>
          </cell>
          <cell r="GD286">
            <v>5683.2004810583276</v>
          </cell>
          <cell r="GE286">
            <v>5608</v>
          </cell>
          <cell r="GF286">
            <v>4.0110304856531656</v>
          </cell>
          <cell r="GG286">
            <v>19749.031992161985</v>
          </cell>
          <cell r="GH286">
            <v>0</v>
          </cell>
        </row>
        <row r="287">
          <cell r="A287" t="str">
            <v>part.in exp.</v>
          </cell>
          <cell r="I287">
            <v>0</v>
          </cell>
          <cell r="M287" t="str">
            <v xml:space="preserve"> </v>
          </cell>
          <cell r="Q287">
            <v>-1451.694</v>
          </cell>
          <cell r="U287">
            <v>-1451.694</v>
          </cell>
          <cell r="AD287">
            <v>-1451.694</v>
          </cell>
          <cell r="AJ287">
            <v>0</v>
          </cell>
          <cell r="AL287">
            <v>1158.748</v>
          </cell>
          <cell r="AN287">
            <v>0</v>
          </cell>
          <cell r="AP287">
            <v>1158.748</v>
          </cell>
          <cell r="AT287">
            <v>-292.94599999999991</v>
          </cell>
          <cell r="AV287">
            <v>292.94599999999991</v>
          </cell>
          <cell r="AX287">
            <v>0</v>
          </cell>
          <cell r="AZ287" t="str">
            <v>part.in exp.</v>
          </cell>
          <cell r="BI287">
            <v>0</v>
          </cell>
          <cell r="BQ287">
            <v>-5565.2939999999999</v>
          </cell>
          <cell r="BU287">
            <v>-5565.2939999999999</v>
          </cell>
          <cell r="CD287">
            <v>-5565.2939999999999</v>
          </cell>
          <cell r="CJ287">
            <v>0</v>
          </cell>
          <cell r="CL287">
            <v>4503</v>
          </cell>
          <cell r="CN287">
            <v>0</v>
          </cell>
          <cell r="CP287">
            <v>4503</v>
          </cell>
          <cell r="CQ287">
            <v>0</v>
          </cell>
          <cell r="CT287">
            <v>-1062.2939999999999</v>
          </cell>
          <cell r="CU287">
            <v>0</v>
          </cell>
          <cell r="CV287">
            <v>1062.2939999999999</v>
          </cell>
          <cell r="CX287">
            <v>0</v>
          </cell>
          <cell r="FI287">
            <v>-5812.299</v>
          </cell>
          <cell r="FN287">
            <v>-5812.299</v>
          </cell>
          <cell r="FO287">
            <v>0</v>
          </cell>
          <cell r="FP287">
            <v>4660.6000000000004</v>
          </cell>
          <cell r="FQ287">
            <v>0</v>
          </cell>
          <cell r="FR287">
            <v>4660.6000000000004</v>
          </cell>
          <cell r="FS287">
            <v>0</v>
          </cell>
          <cell r="FT287">
            <v>-1151.6989999999996</v>
          </cell>
          <cell r="FU287">
            <v>133.30299999999988</v>
          </cell>
          <cell r="FV287">
            <v>-1018.3959999999997</v>
          </cell>
          <cell r="FW287" t="str">
            <v>part.in exp.</v>
          </cell>
          <cell r="FX287">
            <v>-5812.299</v>
          </cell>
          <cell r="FY287">
            <v>4660.6000000000004</v>
          </cell>
          <cell r="GA287">
            <v>-1151.6989999999996</v>
          </cell>
          <cell r="GB287">
            <v>-1167.142708779314</v>
          </cell>
          <cell r="GC287">
            <v>133.30299999999988</v>
          </cell>
          <cell r="GD287">
            <v>135.09052669873711</v>
          </cell>
          <cell r="GE287">
            <v>133.30299999999988</v>
          </cell>
          <cell r="GF287" t="e">
            <v>#DIV/0!</v>
          </cell>
          <cell r="GG287">
            <v>-0.56700587851077733</v>
          </cell>
          <cell r="GH287">
            <v>0</v>
          </cell>
        </row>
        <row r="288">
          <cell r="A288" t="str">
            <v>bad debts</v>
          </cell>
          <cell r="I288">
            <v>0</v>
          </cell>
          <cell r="M288">
            <v>52.435817307692311</v>
          </cell>
          <cell r="Q288">
            <v>220.20099999999999</v>
          </cell>
          <cell r="U288">
            <v>220.20099999999999</v>
          </cell>
          <cell r="X288">
            <v>193.5</v>
          </cell>
          <cell r="Z288">
            <v>4.5069999999999997</v>
          </cell>
          <cell r="AD288">
            <v>418.20800000000003</v>
          </cell>
          <cell r="AJ288">
            <v>0</v>
          </cell>
          <cell r="AL288">
            <v>137.91800000000001</v>
          </cell>
          <cell r="AP288">
            <v>137.91800000000001</v>
          </cell>
          <cell r="AT288">
            <v>608.56181730769231</v>
          </cell>
          <cell r="AX288">
            <v>608.56181730769231</v>
          </cell>
          <cell r="AZ288" t="str">
            <v>bad debts</v>
          </cell>
          <cell r="BI288">
            <v>0</v>
          </cell>
          <cell r="BM288">
            <v>242.07149999999999</v>
          </cell>
          <cell r="BQ288">
            <v>923.55700000000002</v>
          </cell>
          <cell r="BU288">
            <v>923.55700000000002</v>
          </cell>
          <cell r="BX288">
            <v>762.5</v>
          </cell>
          <cell r="BZ288">
            <v>20.782</v>
          </cell>
          <cell r="CD288">
            <v>1706.8389999999999</v>
          </cell>
          <cell r="CJ288">
            <v>0</v>
          </cell>
          <cell r="CL288">
            <v>587</v>
          </cell>
          <cell r="CP288">
            <v>587</v>
          </cell>
          <cell r="CQ288">
            <v>0</v>
          </cell>
          <cell r="CT288">
            <v>2535.9105</v>
          </cell>
          <cell r="CU288">
            <v>0</v>
          </cell>
          <cell r="CX288">
            <v>2535.9105</v>
          </cell>
          <cell r="FG288">
            <v>218.13300000000001</v>
          </cell>
          <cell r="FI288">
            <v>918.75</v>
          </cell>
          <cell r="FK288">
            <v>774</v>
          </cell>
          <cell r="FL288">
            <v>19.78</v>
          </cell>
          <cell r="FN288">
            <v>1712.53</v>
          </cell>
          <cell r="FO288">
            <v>0</v>
          </cell>
          <cell r="FP288">
            <v>589</v>
          </cell>
          <cell r="FR288">
            <v>589</v>
          </cell>
          <cell r="FS288">
            <v>0</v>
          </cell>
          <cell r="FT288">
            <v>2519.663</v>
          </cell>
          <cell r="FV288">
            <v>2519.663</v>
          </cell>
          <cell r="FW288" t="str">
            <v>bad debts</v>
          </cell>
          <cell r="FX288">
            <v>1712.53</v>
          </cell>
          <cell r="FY288">
            <v>589</v>
          </cell>
          <cell r="GA288">
            <v>2301.5300000000002</v>
          </cell>
          <cell r="GB288">
            <v>2332.3923686109438</v>
          </cell>
          <cell r="GC288">
            <v>218.13300000000027</v>
          </cell>
          <cell r="GD288">
            <v>221.05805466025282</v>
          </cell>
          <cell r="GE288">
            <v>218.13300000000027</v>
          </cell>
          <cell r="GF288">
            <v>4.1403567038548594</v>
          </cell>
          <cell r="GG288">
            <v>1763.4523690398432</v>
          </cell>
          <cell r="GH288">
            <v>0</v>
          </cell>
        </row>
        <row r="289">
          <cell r="A289" t="str">
            <v>office maint.</v>
          </cell>
          <cell r="I289">
            <v>0</v>
          </cell>
          <cell r="M289" t="str">
            <v xml:space="preserve"> </v>
          </cell>
          <cell r="Q289">
            <v>90.584999999999994</v>
          </cell>
          <cell r="U289">
            <v>90.584999999999994</v>
          </cell>
          <cell r="AD289">
            <v>90.584999999999994</v>
          </cell>
          <cell r="AJ289">
            <v>0</v>
          </cell>
          <cell r="AP289">
            <v>0</v>
          </cell>
          <cell r="AT289">
            <v>90.584999999999994</v>
          </cell>
          <cell r="AX289">
            <v>90.584999999999994</v>
          </cell>
          <cell r="AZ289" t="str">
            <v>office maint.</v>
          </cell>
          <cell r="BI289">
            <v>0</v>
          </cell>
          <cell r="BQ289">
            <v>339.74400000000003</v>
          </cell>
          <cell r="BU289">
            <v>339.74400000000003</v>
          </cell>
          <cell r="CD289">
            <v>339.74400000000003</v>
          </cell>
          <cell r="CJ289">
            <v>0</v>
          </cell>
          <cell r="CP289">
            <v>0</v>
          </cell>
          <cell r="CQ289">
            <v>0</v>
          </cell>
          <cell r="CT289">
            <v>339.74400000000003</v>
          </cell>
          <cell r="CU289">
            <v>0</v>
          </cell>
          <cell r="CX289">
            <v>339.74400000000003</v>
          </cell>
          <cell r="FI289">
            <v>354.73700000000002</v>
          </cell>
          <cell r="FN289">
            <v>354.73700000000002</v>
          </cell>
          <cell r="FO289">
            <v>0</v>
          </cell>
          <cell r="FR289">
            <v>0</v>
          </cell>
          <cell r="FS289">
            <v>0</v>
          </cell>
          <cell r="FT289">
            <v>354.73700000000002</v>
          </cell>
          <cell r="FV289">
            <v>354.73700000000002</v>
          </cell>
          <cell r="FW289" t="str">
            <v>office maint.</v>
          </cell>
          <cell r="FX289">
            <v>354.73700000000002</v>
          </cell>
          <cell r="FY289">
            <v>0</v>
          </cell>
          <cell r="GA289">
            <v>354.73700000000002</v>
          </cell>
          <cell r="GB289">
            <v>359.49384612146724</v>
          </cell>
          <cell r="GC289">
            <v>0</v>
          </cell>
          <cell r="GD289">
            <v>0</v>
          </cell>
          <cell r="GE289">
            <v>0</v>
          </cell>
          <cell r="GF289">
            <v>3.9160677816415528</v>
          </cell>
          <cell r="GG289">
            <v>1550.0593807968648</v>
          </cell>
          <cell r="GH289">
            <v>0</v>
          </cell>
        </row>
        <row r="290">
          <cell r="A290" t="str">
            <v>car &amp; travel</v>
          </cell>
          <cell r="I290">
            <v>0</v>
          </cell>
          <cell r="M290" t="str">
            <v xml:space="preserve"> </v>
          </cell>
          <cell r="O290">
            <v>126.5</v>
          </cell>
          <cell r="Q290">
            <v>47.6</v>
          </cell>
          <cell r="U290">
            <v>47.6</v>
          </cell>
          <cell r="AD290">
            <v>47.6</v>
          </cell>
          <cell r="AJ290">
            <v>0</v>
          </cell>
          <cell r="AP290">
            <v>0</v>
          </cell>
          <cell r="AT290">
            <v>174.1</v>
          </cell>
          <cell r="AX290">
            <v>174.1</v>
          </cell>
          <cell r="AZ290" t="str">
            <v>car &amp; travel</v>
          </cell>
          <cell r="BG290">
            <v>0</v>
          </cell>
          <cell r="BI290">
            <v>0</v>
          </cell>
          <cell r="BO290">
            <v>477</v>
          </cell>
          <cell r="BQ290">
            <v>180.64</v>
          </cell>
          <cell r="BU290">
            <v>180.64</v>
          </cell>
          <cell r="CD290">
            <v>180.64</v>
          </cell>
          <cell r="CJ290">
            <v>0</v>
          </cell>
          <cell r="CP290">
            <v>0</v>
          </cell>
          <cell r="CQ290">
            <v>0</v>
          </cell>
          <cell r="CT290">
            <v>657.64</v>
          </cell>
          <cell r="CU290">
            <v>0</v>
          </cell>
          <cell r="CX290">
            <v>657.64</v>
          </cell>
          <cell r="FH290">
            <v>503</v>
          </cell>
          <cell r="FI290">
            <v>191.417</v>
          </cell>
          <cell r="FN290">
            <v>191.417</v>
          </cell>
          <cell r="FO290">
            <v>0</v>
          </cell>
          <cell r="FR290">
            <v>0</v>
          </cell>
          <cell r="FS290">
            <v>0</v>
          </cell>
          <cell r="FT290">
            <v>694.41700000000003</v>
          </cell>
          <cell r="FV290">
            <v>694.41700000000003</v>
          </cell>
          <cell r="FW290" t="str">
            <v>car &amp; travel</v>
          </cell>
          <cell r="FX290">
            <v>191.417</v>
          </cell>
          <cell r="FY290">
            <v>0</v>
          </cell>
          <cell r="GA290">
            <v>191.417</v>
          </cell>
          <cell r="GB290">
            <v>193.98380643415513</v>
          </cell>
          <cell r="GC290">
            <v>503</v>
          </cell>
          <cell r="GD290">
            <v>509.74497895369808</v>
          </cell>
          <cell r="GE290">
            <v>503</v>
          </cell>
          <cell r="GF290">
            <v>3.988609994256175</v>
          </cell>
          <cell r="GG290">
            <v>641.15004376224704</v>
          </cell>
          <cell r="GH290">
            <v>0</v>
          </cell>
        </row>
        <row r="291">
          <cell r="A291" t="str">
            <v>amortization</v>
          </cell>
          <cell r="I291">
            <v>0</v>
          </cell>
          <cell r="M291" t="str">
            <v xml:space="preserve"> </v>
          </cell>
          <cell r="Q291">
            <v>0.89900000000000002</v>
          </cell>
          <cell r="U291">
            <v>0.89900000000000002</v>
          </cell>
          <cell r="AD291">
            <v>0.89900000000000002</v>
          </cell>
          <cell r="AJ291">
            <v>0</v>
          </cell>
          <cell r="AP291">
            <v>0</v>
          </cell>
          <cell r="AT291">
            <v>0.89900000000000002</v>
          </cell>
          <cell r="AX291">
            <v>0.89900000000000002</v>
          </cell>
          <cell r="AZ291" t="str">
            <v>amortization</v>
          </cell>
          <cell r="BQ291">
            <v>2.823</v>
          </cell>
          <cell r="BU291">
            <v>2.823</v>
          </cell>
          <cell r="CD291">
            <v>2.823</v>
          </cell>
          <cell r="CJ291">
            <v>0</v>
          </cell>
          <cell r="CP291">
            <v>0</v>
          </cell>
          <cell r="CQ291">
            <v>0</v>
          </cell>
          <cell r="CT291">
            <v>2.823</v>
          </cell>
          <cell r="CU291">
            <v>0</v>
          </cell>
          <cell r="CX291">
            <v>2.823</v>
          </cell>
          <cell r="FI291">
            <v>1.8560000000000001</v>
          </cell>
          <cell r="FN291">
            <v>1.8560000000000001</v>
          </cell>
          <cell r="FO291">
            <v>0</v>
          </cell>
          <cell r="FR291">
            <v>0</v>
          </cell>
          <cell r="FS291">
            <v>0</v>
          </cell>
          <cell r="FT291">
            <v>1.8560000000000001</v>
          </cell>
          <cell r="FV291">
            <v>1.8560000000000001</v>
          </cell>
          <cell r="FW291" t="str">
            <v>amortization</v>
          </cell>
          <cell r="FX291">
            <v>1.8560000000000001</v>
          </cell>
          <cell r="FY291">
            <v>0</v>
          </cell>
          <cell r="GA291">
            <v>1.8560000000000001</v>
          </cell>
          <cell r="GB291">
            <v>1.8808880336740832</v>
          </cell>
          <cell r="GC291">
            <v>0</v>
          </cell>
          <cell r="GD291">
            <v>0</v>
          </cell>
          <cell r="GE291">
            <v>0</v>
          </cell>
          <cell r="GF291">
            <v>2.064516129032258</v>
          </cell>
          <cell r="GG291">
            <v>119.61108491182236</v>
          </cell>
          <cell r="GH291">
            <v>0</v>
          </cell>
        </row>
        <row r="292">
          <cell r="A292" t="str">
            <v>advertizment</v>
          </cell>
          <cell r="C292">
            <v>0.67900000000000005</v>
          </cell>
          <cell r="I292">
            <v>0.67900000000000005</v>
          </cell>
          <cell r="M292">
            <v>88.676562500000003</v>
          </cell>
          <cell r="O292">
            <v>231.5</v>
          </cell>
          <cell r="Q292">
            <v>985.21600000000001</v>
          </cell>
          <cell r="U292">
            <v>985.21600000000001</v>
          </cell>
          <cell r="X292">
            <v>103.5</v>
          </cell>
          <cell r="AD292">
            <v>1088.7159999999999</v>
          </cell>
          <cell r="AJ292">
            <v>0</v>
          </cell>
          <cell r="AL292">
            <v>157.83199999999999</v>
          </cell>
          <cell r="AP292">
            <v>157.83199999999999</v>
          </cell>
          <cell r="AT292">
            <v>1567.4035624999999</v>
          </cell>
          <cell r="AX292">
            <v>1567.4035624999999</v>
          </cell>
          <cell r="AZ292" t="str">
            <v>advertizment</v>
          </cell>
          <cell r="BC292">
            <v>2.5</v>
          </cell>
          <cell r="BI292">
            <v>2.5</v>
          </cell>
          <cell r="BM292">
            <v>351.81599999999997</v>
          </cell>
          <cell r="BO292">
            <v>1286.5</v>
          </cell>
          <cell r="BQ292">
            <v>3847.4969999999998</v>
          </cell>
          <cell r="BU292">
            <v>3847.4969999999998</v>
          </cell>
          <cell r="BX292">
            <v>407.5</v>
          </cell>
          <cell r="CD292">
            <v>4254.9969999999994</v>
          </cell>
          <cell r="CJ292">
            <v>0</v>
          </cell>
          <cell r="CL292">
            <v>620</v>
          </cell>
          <cell r="CP292">
            <v>620</v>
          </cell>
          <cell r="CQ292">
            <v>0</v>
          </cell>
          <cell r="CT292">
            <v>6515.8129999999992</v>
          </cell>
          <cell r="CU292">
            <v>0</v>
          </cell>
          <cell r="CX292">
            <v>6515.8129999999992</v>
          </cell>
          <cell r="FC292">
            <v>2.6459999999999999</v>
          </cell>
          <cell r="FF292">
            <v>2.6459999999999999</v>
          </cell>
          <cell r="FG292">
            <v>368.89449999999999</v>
          </cell>
          <cell r="FH292">
            <v>919</v>
          </cell>
          <cell r="FI292">
            <v>3961.39</v>
          </cell>
          <cell r="FK292">
            <v>433</v>
          </cell>
          <cell r="FN292">
            <v>4394.3900000000003</v>
          </cell>
          <cell r="FO292">
            <v>0</v>
          </cell>
          <cell r="FP292">
            <v>640</v>
          </cell>
          <cell r="FR292">
            <v>640</v>
          </cell>
          <cell r="FS292">
            <v>0</v>
          </cell>
          <cell r="FT292">
            <v>6324.9305000000004</v>
          </cell>
          <cell r="FV292">
            <v>6324.9305000000004</v>
          </cell>
          <cell r="FW292" t="str">
            <v>advertizment</v>
          </cell>
          <cell r="FX292">
            <v>4394.3900000000003</v>
          </cell>
          <cell r="FY292">
            <v>640</v>
          </cell>
          <cell r="GA292">
            <v>5034.3900000000003</v>
          </cell>
          <cell r="GB292">
            <v>5101.8986572459407</v>
          </cell>
          <cell r="GC292">
            <v>1290.5405000000001</v>
          </cell>
          <cell r="GD292">
            <v>1307.8460039987972</v>
          </cell>
          <cell r="GE292">
            <v>1290.5405000000001</v>
          </cell>
          <cell r="GF292">
            <v>4.035291644936529</v>
          </cell>
          <cell r="GG292">
            <v>3927.3792521227956</v>
          </cell>
          <cell r="GH292">
            <v>0</v>
          </cell>
        </row>
        <row r="293">
          <cell r="C293">
            <v>0.67900000000000005</v>
          </cell>
          <cell r="E293">
            <v>0</v>
          </cell>
          <cell r="G293">
            <v>0</v>
          </cell>
          <cell r="I293">
            <v>0.67900000000000005</v>
          </cell>
          <cell r="M293">
            <v>141.11237980769229</v>
          </cell>
          <cell r="O293">
            <v>1745</v>
          </cell>
          <cell r="Q293">
            <v>3232.5719999999997</v>
          </cell>
          <cell r="S293">
            <v>0</v>
          </cell>
          <cell r="U293">
            <v>3232.5719999999997</v>
          </cell>
          <cell r="W293">
            <v>0</v>
          </cell>
          <cell r="X293">
            <v>809</v>
          </cell>
          <cell r="Z293">
            <v>4.5069999999999997</v>
          </cell>
          <cell r="AB293">
            <v>0</v>
          </cell>
          <cell r="AD293">
            <v>4046.0789999999997</v>
          </cell>
          <cell r="AF293">
            <v>0</v>
          </cell>
          <cell r="AH293">
            <v>0</v>
          </cell>
          <cell r="AJ293">
            <v>0</v>
          </cell>
          <cell r="AL293">
            <v>1546.1419999999998</v>
          </cell>
          <cell r="AN293">
            <v>0</v>
          </cell>
          <cell r="AP293">
            <v>1546.1419999999998</v>
          </cell>
          <cell r="AR293">
            <v>0</v>
          </cell>
          <cell r="AT293">
            <v>7479.0123798076929</v>
          </cell>
          <cell r="AV293">
            <v>292.94599999999991</v>
          </cell>
          <cell r="AX293">
            <v>7771.9583798076928</v>
          </cell>
          <cell r="BC293">
            <v>2.5</v>
          </cell>
          <cell r="BE293">
            <v>0</v>
          </cell>
          <cell r="BG293">
            <v>0</v>
          </cell>
          <cell r="BI293">
            <v>2.5</v>
          </cell>
          <cell r="BM293">
            <v>593.88750000000005</v>
          </cell>
          <cell r="BO293">
            <v>7143</v>
          </cell>
          <cell r="BQ293">
            <v>12583.314</v>
          </cell>
          <cell r="BS293">
            <v>0</v>
          </cell>
          <cell r="BU293">
            <v>12583.314</v>
          </cell>
          <cell r="BW293">
            <v>0</v>
          </cell>
          <cell r="BX293">
            <v>3136.5</v>
          </cell>
          <cell r="BZ293">
            <v>20.782</v>
          </cell>
          <cell r="CB293">
            <v>0</v>
          </cell>
          <cell r="CD293">
            <v>15740.596</v>
          </cell>
          <cell r="CF293">
            <v>0</v>
          </cell>
          <cell r="CH293">
            <v>0</v>
          </cell>
          <cell r="CJ293">
            <v>0</v>
          </cell>
          <cell r="CL293">
            <v>6083</v>
          </cell>
          <cell r="CN293">
            <v>0</v>
          </cell>
          <cell r="CP293">
            <v>6083</v>
          </cell>
          <cell r="CQ293">
            <v>0</v>
          </cell>
          <cell r="CR293">
            <v>0</v>
          </cell>
          <cell r="CT293">
            <v>29562.983499999995</v>
          </cell>
          <cell r="CU293">
            <v>0</v>
          </cell>
          <cell r="CV293">
            <v>1062.2939999999999</v>
          </cell>
          <cell r="CX293">
            <v>30625.277499999997</v>
          </cell>
          <cell r="FC293">
            <v>2.6459999999999999</v>
          </cell>
          <cell r="FD293">
            <v>0</v>
          </cell>
          <cell r="FE293">
            <v>0</v>
          </cell>
          <cell r="FF293">
            <v>2.6459999999999999</v>
          </cell>
          <cell r="FG293">
            <v>587.02750000000003</v>
          </cell>
          <cell r="FH293">
            <v>7030</v>
          </cell>
          <cell r="FI293">
            <v>12923.784</v>
          </cell>
          <cell r="FJ293">
            <v>0</v>
          </cell>
          <cell r="FK293">
            <v>3294.5</v>
          </cell>
          <cell r="FL293">
            <v>19.78</v>
          </cell>
          <cell r="FM293">
            <v>0</v>
          </cell>
          <cell r="FN293">
            <v>16238.064000000002</v>
          </cell>
          <cell r="FO293">
            <v>0</v>
          </cell>
          <cell r="FP293">
            <v>6266.6</v>
          </cell>
          <cell r="FQ293">
            <v>0</v>
          </cell>
          <cell r="FR293">
            <v>6266.6</v>
          </cell>
          <cell r="FS293">
            <v>0</v>
          </cell>
          <cell r="FT293">
            <v>30124.337500000001</v>
          </cell>
          <cell r="FU293">
            <v>133.30299999999988</v>
          </cell>
          <cell r="FV293">
            <v>30257.640500000001</v>
          </cell>
          <cell r="FX293">
            <v>16238.064000000002</v>
          </cell>
          <cell r="FY293">
            <v>6266.6</v>
          </cell>
          <cell r="FZ293">
            <v>0</v>
          </cell>
          <cell r="GA293">
            <v>22504.664000000001</v>
          </cell>
          <cell r="GB293">
            <v>22806.440312206854</v>
          </cell>
          <cell r="GC293">
            <v>7752.9764999999998</v>
          </cell>
          <cell r="GD293">
            <v>7856.9400453698127</v>
          </cell>
          <cell r="GE293">
            <v>7752.9765000000007</v>
          </cell>
          <cell r="GF293">
            <v>3.8931809746449888</v>
          </cell>
          <cell r="GG293">
            <v>27750.117116917052</v>
          </cell>
          <cell r="GH293">
            <v>0</v>
          </cell>
        </row>
        <row r="294">
          <cell r="A294" t="str">
            <v>ADM. &amp;GENERAL</v>
          </cell>
          <cell r="AT294">
            <v>0</v>
          </cell>
          <cell r="AZ294" t="str">
            <v>ADM. &amp;GENERAL</v>
          </cell>
          <cell r="CD294">
            <v>0</v>
          </cell>
          <cell r="CQ294">
            <v>0</v>
          </cell>
          <cell r="CT294">
            <v>0</v>
          </cell>
          <cell r="CU294">
            <v>0</v>
          </cell>
          <cell r="FS294">
            <v>0</v>
          </cell>
          <cell r="FW294" t="str">
            <v>ADM. &amp;GENERAL</v>
          </cell>
          <cell r="FX294">
            <v>0</v>
          </cell>
          <cell r="FY294">
            <v>0</v>
          </cell>
          <cell r="GA294">
            <v>0</v>
          </cell>
          <cell r="GB294">
            <v>0</v>
          </cell>
          <cell r="GC294">
            <v>0</v>
          </cell>
          <cell r="GD294">
            <v>0</v>
          </cell>
          <cell r="GE294">
            <v>0</v>
          </cell>
          <cell r="GF294" t="e">
            <v>#DIV/0!</v>
          </cell>
          <cell r="GH294">
            <v>0</v>
          </cell>
        </row>
        <row r="295">
          <cell r="A295" t="str">
            <v>salaries</v>
          </cell>
          <cell r="I295">
            <v>0</v>
          </cell>
          <cell r="M295">
            <v>48.925240384615385</v>
          </cell>
          <cell r="O295">
            <v>434.5</v>
          </cell>
          <cell r="Q295">
            <v>3124.01</v>
          </cell>
          <cell r="U295">
            <v>3124.01</v>
          </cell>
          <cell r="X295">
            <v>39</v>
          </cell>
          <cell r="AD295">
            <v>3163.01</v>
          </cell>
          <cell r="AH295">
            <v>0</v>
          </cell>
          <cell r="AJ295">
            <v>0</v>
          </cell>
          <cell r="AL295">
            <v>73.483000000000004</v>
          </cell>
          <cell r="AN295">
            <v>0</v>
          </cell>
          <cell r="AP295">
            <v>73.483000000000004</v>
          </cell>
          <cell r="AT295">
            <v>3719.9182403846157</v>
          </cell>
          <cell r="AX295">
            <v>3719.9182403846157</v>
          </cell>
          <cell r="AZ295" t="str">
            <v>salaries</v>
          </cell>
          <cell r="BI295">
            <v>0</v>
          </cell>
          <cell r="BM295">
            <v>194.01400000000001</v>
          </cell>
          <cell r="BO295">
            <v>1699.5</v>
          </cell>
          <cell r="BQ295">
            <v>12198.977000000001</v>
          </cell>
          <cell r="BU295">
            <v>12198.977000000001</v>
          </cell>
          <cell r="BX295">
            <v>205.5</v>
          </cell>
          <cell r="CD295">
            <v>12404.477000000001</v>
          </cell>
          <cell r="CH295">
            <v>0</v>
          </cell>
          <cell r="CJ295">
            <v>0</v>
          </cell>
          <cell r="CL295">
            <v>274</v>
          </cell>
          <cell r="CN295">
            <v>0</v>
          </cell>
          <cell r="CP295">
            <v>274</v>
          </cell>
          <cell r="CQ295">
            <v>0</v>
          </cell>
          <cell r="CT295">
            <v>14571.991</v>
          </cell>
          <cell r="CU295">
            <v>0</v>
          </cell>
          <cell r="CX295">
            <v>14571.991</v>
          </cell>
          <cell r="FG295">
            <v>203.529</v>
          </cell>
          <cell r="FH295">
            <v>1759</v>
          </cell>
          <cell r="FI295">
            <v>12911.478999999999</v>
          </cell>
          <cell r="FK295">
            <v>267.5</v>
          </cell>
          <cell r="FN295">
            <v>13178.978999999999</v>
          </cell>
          <cell r="FO295">
            <v>0</v>
          </cell>
          <cell r="FP295">
            <v>291</v>
          </cell>
          <cell r="FQ295">
            <v>0</v>
          </cell>
          <cell r="FR295">
            <v>291</v>
          </cell>
          <cell r="FS295">
            <v>0</v>
          </cell>
          <cell r="FT295">
            <v>15432.508</v>
          </cell>
          <cell r="FV295">
            <v>15432.508</v>
          </cell>
          <cell r="FW295" t="str">
            <v>salaries</v>
          </cell>
          <cell r="FX295">
            <v>13178.978999999999</v>
          </cell>
          <cell r="FY295">
            <v>291</v>
          </cell>
          <cell r="GA295">
            <v>13469.978999999999</v>
          </cell>
          <cell r="GB295">
            <v>13650.604695550208</v>
          </cell>
          <cell r="GC295">
            <v>1962.5290000000005</v>
          </cell>
          <cell r="GD295">
            <v>1988.8455343956707</v>
          </cell>
          <cell r="GE295">
            <v>1962.5290000000005</v>
          </cell>
          <cell r="GF295">
            <v>4.1486148357939117</v>
          </cell>
          <cell r="GG295">
            <v>16071.170438477417</v>
          </cell>
          <cell r="GH295">
            <v>0</v>
          </cell>
        </row>
        <row r="296">
          <cell r="A296" t="str">
            <v>management fees</v>
          </cell>
          <cell r="C296">
            <v>2000</v>
          </cell>
          <cell r="G296">
            <v>0</v>
          </cell>
          <cell r="I296">
            <v>2000</v>
          </cell>
          <cell r="M296" t="str">
            <v xml:space="preserve"> </v>
          </cell>
          <cell r="Q296">
            <v>3414.0410000000002</v>
          </cell>
          <cell r="U296">
            <v>3414.0410000000002</v>
          </cell>
          <cell r="X296">
            <v>1251</v>
          </cell>
          <cell r="Z296">
            <v>253.06</v>
          </cell>
          <cell r="AD296">
            <v>4918.1010000000006</v>
          </cell>
          <cell r="AJ296">
            <v>0</v>
          </cell>
          <cell r="AL296">
            <v>1964.895</v>
          </cell>
          <cell r="AN296">
            <v>-26.103999999999999</v>
          </cell>
          <cell r="AP296">
            <v>1938.7909999999999</v>
          </cell>
          <cell r="AT296">
            <v>8856.8919999999998</v>
          </cell>
          <cell r="AV296">
            <v>-4666.5209999999997</v>
          </cell>
          <cell r="AX296">
            <v>4190.3710000000001</v>
          </cell>
          <cell r="AZ296" t="str">
            <v>management fees</v>
          </cell>
          <cell r="BC296">
            <v>7601</v>
          </cell>
          <cell r="BI296">
            <v>7601</v>
          </cell>
          <cell r="BQ296">
            <v>14202.41</v>
          </cell>
          <cell r="BU296">
            <v>14202.41</v>
          </cell>
          <cell r="BX296">
            <v>5001</v>
          </cell>
          <cell r="CD296">
            <v>19203.41</v>
          </cell>
          <cell r="CH296">
            <v>0</v>
          </cell>
          <cell r="CJ296">
            <v>0</v>
          </cell>
          <cell r="CL296">
            <v>8174</v>
          </cell>
          <cell r="CN296">
            <v>-108.59399999999999</v>
          </cell>
          <cell r="CP296">
            <v>8065.4059999999999</v>
          </cell>
          <cell r="CQ296">
            <v>0</v>
          </cell>
          <cell r="CT296">
            <v>34869.815999999999</v>
          </cell>
          <cell r="CU296">
            <v>0</v>
          </cell>
          <cell r="CV296">
            <v>-29845.836500000001</v>
          </cell>
          <cell r="CX296">
            <v>5023.9794999999976</v>
          </cell>
          <cell r="FC296">
            <v>7986.7030000000004</v>
          </cell>
          <cell r="FE296">
            <v>0</v>
          </cell>
          <cell r="FF296">
            <v>7986.7030000000004</v>
          </cell>
          <cell r="FI296">
            <v>14202.41</v>
          </cell>
          <cell r="FK296">
            <v>5175.5</v>
          </cell>
          <cell r="FL296">
            <v>1014.394</v>
          </cell>
          <cell r="FN296">
            <v>20392.304</v>
          </cell>
          <cell r="FO296">
            <v>0</v>
          </cell>
          <cell r="FP296">
            <v>8174</v>
          </cell>
          <cell r="FQ296">
            <v>-108.59399999999999</v>
          </cell>
          <cell r="FR296">
            <v>8065.4059999999999</v>
          </cell>
          <cell r="FS296">
            <v>0</v>
          </cell>
          <cell r="FT296">
            <v>36444.413</v>
          </cell>
          <cell r="FU296">
            <v>-18322.3449554</v>
          </cell>
          <cell r="FV296">
            <v>18122.068044600001</v>
          </cell>
          <cell r="FW296" t="str">
            <v>management fees</v>
          </cell>
          <cell r="FX296">
            <v>20392.304</v>
          </cell>
          <cell r="FY296">
            <v>8065.4059999999999</v>
          </cell>
          <cell r="FZ296">
            <v>-18322.3449554</v>
          </cell>
          <cell r="GA296">
            <v>10135.365044599999</v>
          </cell>
          <cell r="GB296">
            <v>10271.275231307503</v>
          </cell>
          <cell r="GC296">
            <v>7986.7030000000013</v>
          </cell>
          <cell r="GD296">
            <v>8093.8007010823821</v>
          </cell>
          <cell r="GE296">
            <v>7986.7030000000013</v>
          </cell>
          <cell r="GF296">
            <v>4.3246929793567208</v>
          </cell>
          <cell r="GG296">
            <v>15820.448124101897</v>
          </cell>
          <cell r="GH296">
            <v>0</v>
          </cell>
        </row>
        <row r="297">
          <cell r="A297" t="str">
            <v>part.in exp.</v>
          </cell>
          <cell r="G297">
            <v>0</v>
          </cell>
          <cell r="I297">
            <v>0</v>
          </cell>
          <cell r="M297" t="str">
            <v xml:space="preserve"> </v>
          </cell>
          <cell r="Q297">
            <v>-2469</v>
          </cell>
          <cell r="U297">
            <v>-2469</v>
          </cell>
          <cell r="AD297">
            <v>-2469</v>
          </cell>
          <cell r="AJ297">
            <v>0</v>
          </cell>
          <cell r="AL297">
            <v>2468.7919999999999</v>
          </cell>
          <cell r="AN297">
            <v>0</v>
          </cell>
          <cell r="AP297">
            <v>2468.7919999999999</v>
          </cell>
          <cell r="AT297">
            <v>-0.20800000000008367</v>
          </cell>
          <cell r="AV297">
            <v>0</v>
          </cell>
          <cell r="AX297">
            <v>-0.20800000000008367</v>
          </cell>
          <cell r="AZ297" t="str">
            <v>part.in exp.</v>
          </cell>
          <cell r="BI297">
            <v>0</v>
          </cell>
          <cell r="BU297">
            <v>0</v>
          </cell>
          <cell r="BX297">
            <v>2473</v>
          </cell>
          <cell r="CD297">
            <v>2473</v>
          </cell>
          <cell r="CJ297">
            <v>0</v>
          </cell>
          <cell r="CL297">
            <v>9461</v>
          </cell>
          <cell r="CN297">
            <v>0</v>
          </cell>
          <cell r="CP297">
            <v>9461</v>
          </cell>
          <cell r="CQ297">
            <v>0</v>
          </cell>
          <cell r="CT297">
            <v>11934</v>
          </cell>
          <cell r="CU297">
            <v>0</v>
          </cell>
          <cell r="CV297">
            <v>0</v>
          </cell>
          <cell r="CX297">
            <v>11934</v>
          </cell>
          <cell r="FE297">
            <v>0</v>
          </cell>
          <cell r="FI297">
            <v>-9797</v>
          </cell>
          <cell r="FN297">
            <v>-9797</v>
          </cell>
          <cell r="FO297">
            <v>0</v>
          </cell>
          <cell r="FP297">
            <v>9883</v>
          </cell>
          <cell r="FQ297">
            <v>0</v>
          </cell>
          <cell r="FR297">
            <v>9883</v>
          </cell>
          <cell r="FS297">
            <v>0</v>
          </cell>
          <cell r="FT297">
            <v>86</v>
          </cell>
          <cell r="FU297">
            <v>-86</v>
          </cell>
          <cell r="FV297">
            <v>0</v>
          </cell>
          <cell r="FW297" t="str">
            <v>part.in exp.</v>
          </cell>
          <cell r="FX297">
            <v>-9797</v>
          </cell>
          <cell r="FY297">
            <v>9883</v>
          </cell>
          <cell r="GA297">
            <v>86</v>
          </cell>
          <cell r="GB297">
            <v>87.153217077570645</v>
          </cell>
          <cell r="GC297">
            <v>-86</v>
          </cell>
          <cell r="GD297">
            <v>-87.153217077570645</v>
          </cell>
          <cell r="GE297">
            <v>-86</v>
          </cell>
          <cell r="GF297">
            <v>0</v>
          </cell>
          <cell r="GG297">
            <v>-20.109156760287398</v>
          </cell>
          <cell r="GH297">
            <v>0</v>
          </cell>
        </row>
        <row r="298">
          <cell r="A298" t="str">
            <v>computer&amp;bookkeeping</v>
          </cell>
          <cell r="C298">
            <v>16.603999999999999</v>
          </cell>
          <cell r="I298">
            <v>16.603999999999999</v>
          </cell>
          <cell r="M298" t="str">
            <v xml:space="preserve"> </v>
          </cell>
          <cell r="Q298">
            <v>559.50400000000002</v>
          </cell>
          <cell r="U298">
            <v>559.50400000000002</v>
          </cell>
          <cell r="AD298">
            <v>559.50400000000002</v>
          </cell>
          <cell r="AJ298">
            <v>0</v>
          </cell>
          <cell r="AP298">
            <v>0</v>
          </cell>
          <cell r="AR298">
            <v>8.0350000000000001</v>
          </cell>
          <cell r="AT298">
            <v>584.14300000000003</v>
          </cell>
          <cell r="AX298">
            <v>584.14300000000003</v>
          </cell>
          <cell r="AZ298" t="str">
            <v>computer&amp;bookkeeping</v>
          </cell>
          <cell r="BC298">
            <v>67.92</v>
          </cell>
          <cell r="BI298">
            <v>67.92</v>
          </cell>
          <cell r="BQ298">
            <v>2209.35</v>
          </cell>
          <cell r="BU298">
            <v>2209.35</v>
          </cell>
          <cell r="CD298">
            <v>2209.35</v>
          </cell>
          <cell r="CJ298">
            <v>0</v>
          </cell>
          <cell r="CP298">
            <v>0</v>
          </cell>
          <cell r="CQ298">
            <v>0</v>
          </cell>
          <cell r="CR298">
            <v>30</v>
          </cell>
          <cell r="CT298">
            <v>2307.27</v>
          </cell>
          <cell r="CU298">
            <v>0</v>
          </cell>
          <cell r="CX298">
            <v>2307.27</v>
          </cell>
          <cell r="FC298">
            <v>68.847000000000008</v>
          </cell>
          <cell r="FF298">
            <v>68.847000000000008</v>
          </cell>
          <cell r="FI298">
            <v>2295.8829999999998</v>
          </cell>
          <cell r="FN298">
            <v>2295.8829999999998</v>
          </cell>
          <cell r="FO298">
            <v>0</v>
          </cell>
          <cell r="FR298">
            <v>0</v>
          </cell>
          <cell r="FS298">
            <v>31.581</v>
          </cell>
          <cell r="FT298">
            <v>2396.3110000000001</v>
          </cell>
          <cell r="FV298">
            <v>2396.3110000000001</v>
          </cell>
          <cell r="FW298" t="str">
            <v>computer&amp;bookkeeping</v>
          </cell>
          <cell r="FX298">
            <v>2295.8829999999998</v>
          </cell>
          <cell r="FY298">
            <v>0</v>
          </cell>
          <cell r="GA298">
            <v>2295.8829999999998</v>
          </cell>
          <cell r="GB298">
            <v>2326.6696451593502</v>
          </cell>
          <cell r="GC298">
            <v>100.42800000000034</v>
          </cell>
          <cell r="GD298">
            <v>101.77468935658482</v>
          </cell>
          <cell r="GE298">
            <v>100.42800000000034</v>
          </cell>
          <cell r="GF298">
            <v>4.102267766625638</v>
          </cell>
          <cell r="GG298">
            <v>1668.198401454712</v>
          </cell>
          <cell r="GH298">
            <v>0</v>
          </cell>
        </row>
        <row r="299">
          <cell r="A299" t="str">
            <v>office maint.&amp;other</v>
          </cell>
          <cell r="C299">
            <v>50</v>
          </cell>
          <cell r="I299">
            <v>50</v>
          </cell>
          <cell r="M299">
            <v>152.00901442307693</v>
          </cell>
          <cell r="O299">
            <v>274</v>
          </cell>
          <cell r="Q299">
            <v>2120.7580000000003</v>
          </cell>
          <cell r="U299">
            <v>2120.7580000000003</v>
          </cell>
          <cell r="X299">
            <v>-20.5</v>
          </cell>
          <cell r="AD299">
            <v>2100.2580000000003</v>
          </cell>
          <cell r="AJ299">
            <v>0</v>
          </cell>
          <cell r="AL299">
            <v>214.654</v>
          </cell>
          <cell r="AP299">
            <v>214.654</v>
          </cell>
          <cell r="AR299">
            <v>23.381</v>
          </cell>
          <cell r="AT299">
            <v>2814.3020144230773</v>
          </cell>
          <cell r="AX299">
            <v>2814.3020144230773</v>
          </cell>
          <cell r="AZ299" t="str">
            <v>office maint.&amp;other</v>
          </cell>
          <cell r="BI299">
            <v>0</v>
          </cell>
          <cell r="BM299">
            <v>401.9325</v>
          </cell>
          <cell r="BO299">
            <v>1153</v>
          </cell>
          <cell r="BQ299">
            <v>9334.0609999999997</v>
          </cell>
          <cell r="BU299">
            <v>9334.0609999999997</v>
          </cell>
          <cell r="BX299">
            <v>-71.5</v>
          </cell>
          <cell r="BZ299">
            <v>1.5489999999999999</v>
          </cell>
          <cell r="CD299">
            <v>9264.11</v>
          </cell>
          <cell r="CJ299">
            <v>0</v>
          </cell>
          <cell r="CL299">
            <v>765</v>
          </cell>
          <cell r="CP299">
            <v>765</v>
          </cell>
          <cell r="CQ299">
            <v>0</v>
          </cell>
          <cell r="CR299">
            <v>83.45</v>
          </cell>
          <cell r="CT299">
            <v>11667.492500000002</v>
          </cell>
          <cell r="CU299">
            <v>0</v>
          </cell>
          <cell r="CX299">
            <v>11667.492500000002</v>
          </cell>
          <cell r="FC299">
            <v>208.125</v>
          </cell>
          <cell r="FF299">
            <v>208.125</v>
          </cell>
          <cell r="FG299">
            <v>632.35749999999996</v>
          </cell>
          <cell r="FH299">
            <v>1208</v>
          </cell>
          <cell r="FI299">
            <v>9883.6530000000002</v>
          </cell>
          <cell r="FK299">
            <v>-68.5</v>
          </cell>
          <cell r="FN299">
            <v>9815.1530000000002</v>
          </cell>
          <cell r="FO299">
            <v>0</v>
          </cell>
          <cell r="FP299">
            <v>824.04</v>
          </cell>
          <cell r="FR299">
            <v>824.04</v>
          </cell>
          <cell r="FS299">
            <v>84.736999999999995</v>
          </cell>
          <cell r="FT299">
            <v>12772.4125</v>
          </cell>
          <cell r="FV299">
            <v>12772.4125</v>
          </cell>
          <cell r="FW299" t="str">
            <v>office maint.&amp;other</v>
          </cell>
          <cell r="FX299">
            <v>9815.1530000000002</v>
          </cell>
          <cell r="FY299">
            <v>824.04</v>
          </cell>
          <cell r="GA299">
            <v>10639.192999999999</v>
          </cell>
          <cell r="GB299">
            <v>10781.859268129885</v>
          </cell>
          <cell r="GC299">
            <v>2133.2195000000011</v>
          </cell>
          <cell r="GD299">
            <v>2161.8249088093817</v>
          </cell>
          <cell r="GE299">
            <v>2133.2195000000011</v>
          </cell>
          <cell r="GF299">
            <v>4.5383943992302136</v>
          </cell>
          <cell r="GG299">
            <v>7683.178266160252</v>
          </cell>
          <cell r="GH299">
            <v>0</v>
          </cell>
        </row>
        <row r="300">
          <cell r="A300" t="str">
            <v>car &amp; travel</v>
          </cell>
          <cell r="C300">
            <v>13.955</v>
          </cell>
          <cell r="I300">
            <v>13.955</v>
          </cell>
          <cell r="M300">
            <v>5.7054086538461535</v>
          </cell>
          <cell r="O300">
            <v>41</v>
          </cell>
          <cell r="Q300">
            <v>209.95699999999999</v>
          </cell>
          <cell r="U300">
            <v>209.95699999999999</v>
          </cell>
          <cell r="X300">
            <v>108</v>
          </cell>
          <cell r="AD300">
            <v>317.95699999999999</v>
          </cell>
          <cell r="AJ300">
            <v>0</v>
          </cell>
          <cell r="AL300">
            <v>2.1539999999999999</v>
          </cell>
          <cell r="AP300">
            <v>2.1539999999999999</v>
          </cell>
          <cell r="AT300">
            <v>380.77140865384615</v>
          </cell>
          <cell r="AX300">
            <v>380.77140865384615</v>
          </cell>
          <cell r="AZ300" t="str">
            <v>car &amp; travel</v>
          </cell>
          <cell r="BC300">
            <v>56.04</v>
          </cell>
          <cell r="BI300">
            <v>56.04</v>
          </cell>
          <cell r="BM300">
            <v>22.380500000000001</v>
          </cell>
          <cell r="BO300">
            <v>155</v>
          </cell>
          <cell r="BQ300">
            <v>762.74599999999998</v>
          </cell>
          <cell r="BU300">
            <v>762.74599999999998</v>
          </cell>
          <cell r="CD300">
            <v>762.74599999999998</v>
          </cell>
          <cell r="CJ300">
            <v>0</v>
          </cell>
          <cell r="CL300">
            <v>8</v>
          </cell>
          <cell r="CP300">
            <v>8</v>
          </cell>
          <cell r="CQ300">
            <v>0</v>
          </cell>
          <cell r="CT300">
            <v>1004.1664999999999</v>
          </cell>
          <cell r="CU300">
            <v>0</v>
          </cell>
          <cell r="CX300">
            <v>1004.1664999999999</v>
          </cell>
          <cell r="FC300">
            <v>56.04</v>
          </cell>
          <cell r="FF300">
            <v>56.04</v>
          </cell>
          <cell r="FG300">
            <v>23.734500000000001</v>
          </cell>
          <cell r="FH300">
            <v>163</v>
          </cell>
          <cell r="FI300">
            <v>846.62400000000002</v>
          </cell>
          <cell r="FK300">
            <v>496.5</v>
          </cell>
          <cell r="FN300">
            <v>1343.124</v>
          </cell>
          <cell r="FO300">
            <v>0</v>
          </cell>
          <cell r="FP300">
            <v>8.26</v>
          </cell>
          <cell r="FR300">
            <v>8.26</v>
          </cell>
          <cell r="FS300">
            <v>0</v>
          </cell>
          <cell r="FT300">
            <v>1594.1585</v>
          </cell>
          <cell r="FV300">
            <v>1594.1585</v>
          </cell>
          <cell r="FW300" t="str">
            <v>car &amp; travel</v>
          </cell>
          <cell r="FX300">
            <v>1343.124</v>
          </cell>
          <cell r="FY300">
            <v>8.26</v>
          </cell>
          <cell r="GA300">
            <v>1351.384</v>
          </cell>
          <cell r="GB300">
            <v>1369.5053849669271</v>
          </cell>
          <cell r="GC300">
            <v>242.77449999999999</v>
          </cell>
          <cell r="GD300">
            <v>246.02998487672878</v>
          </cell>
          <cell r="GE300">
            <v>242.77449999999999</v>
          </cell>
          <cell r="GF300">
            <v>4.1866549424913009</v>
          </cell>
          <cell r="GG300">
            <v>1608.7137005064444</v>
          </cell>
          <cell r="GH300">
            <v>0</v>
          </cell>
        </row>
        <row r="301">
          <cell r="A301" t="str">
            <v>amortization</v>
          </cell>
          <cell r="C301">
            <v>47.606999999999999</v>
          </cell>
          <cell r="G301">
            <v>-44.594999999999999</v>
          </cell>
          <cell r="I301">
            <v>3.0120000000000005</v>
          </cell>
          <cell r="M301" t="str">
            <v xml:space="preserve"> </v>
          </cell>
          <cell r="Q301">
            <v>345.161</v>
          </cell>
          <cell r="U301">
            <v>345.161</v>
          </cell>
          <cell r="W301">
            <v>3013</v>
          </cell>
          <cell r="X301">
            <v>34</v>
          </cell>
          <cell r="AB301">
            <v>-80.430000000000007</v>
          </cell>
          <cell r="AD301">
            <v>3311.7310000000002</v>
          </cell>
          <cell r="AJ301">
            <v>0</v>
          </cell>
          <cell r="AN301">
            <v>44.588000000000001</v>
          </cell>
          <cell r="AP301">
            <v>44.588000000000001</v>
          </cell>
          <cell r="AT301">
            <v>3359.3310000000006</v>
          </cell>
          <cell r="AV301">
            <v>167.05199999999999</v>
          </cell>
          <cell r="AX301">
            <v>3526.3830000000007</v>
          </cell>
          <cell r="AZ301" t="str">
            <v>amortization</v>
          </cell>
          <cell r="BC301">
            <v>117.58499999999999</v>
          </cell>
          <cell r="BG301">
            <v>-112.69</v>
          </cell>
          <cell r="BI301">
            <v>4.8949999999999996</v>
          </cell>
          <cell r="BQ301">
            <v>1139.7090000000001</v>
          </cell>
          <cell r="BU301">
            <v>1139.7090000000001</v>
          </cell>
          <cell r="BW301">
            <v>14599</v>
          </cell>
          <cell r="BX301">
            <v>101.5</v>
          </cell>
          <cell r="CD301">
            <v>15840.209000000001</v>
          </cell>
          <cell r="CH301">
            <v>0</v>
          </cell>
          <cell r="CJ301">
            <v>0</v>
          </cell>
          <cell r="CP301">
            <v>0</v>
          </cell>
          <cell r="CQ301">
            <v>0</v>
          </cell>
          <cell r="CT301">
            <v>15845.104000000001</v>
          </cell>
          <cell r="CU301">
            <v>0</v>
          </cell>
          <cell r="CV301">
            <v>582.15800000000002</v>
          </cell>
          <cell r="CX301">
            <v>16427.262000000002</v>
          </cell>
          <cell r="FC301">
            <v>237.04599999999999</v>
          </cell>
          <cell r="FE301">
            <v>-223.90199999999999</v>
          </cell>
          <cell r="FF301">
            <v>13.144000000000005</v>
          </cell>
          <cell r="FI301">
            <v>1196.809</v>
          </cell>
          <cell r="FJ301">
            <v>11433</v>
          </cell>
          <cell r="FK301">
            <v>206.5</v>
          </cell>
          <cell r="FN301">
            <v>12836.308999999999</v>
          </cell>
          <cell r="FO301">
            <v>0</v>
          </cell>
          <cell r="FR301">
            <v>0</v>
          </cell>
          <cell r="FS301">
            <v>0</v>
          </cell>
          <cell r="FT301">
            <v>12849.453</v>
          </cell>
          <cell r="FU301">
            <v>664.178</v>
          </cell>
          <cell r="FV301">
            <v>13513.630999999999</v>
          </cell>
          <cell r="FW301" t="str">
            <v>amortization</v>
          </cell>
          <cell r="FX301">
            <v>12836.308999999999</v>
          </cell>
          <cell r="FY301">
            <v>0</v>
          </cell>
          <cell r="GA301">
            <v>12836.308999999999</v>
          </cell>
          <cell r="GB301">
            <v>13008.437497113649</v>
          </cell>
          <cell r="GC301">
            <v>677.32200000000012</v>
          </cell>
          <cell r="GD301">
            <v>686.4045499699339</v>
          </cell>
          <cell r="GE301">
            <v>677.32200000000012</v>
          </cell>
          <cell r="GF301">
            <v>3.832150676769936</v>
          </cell>
          <cell r="GG301">
            <v>1738.0468125408231</v>
          </cell>
          <cell r="GH301">
            <v>0</v>
          </cell>
        </row>
        <row r="302">
          <cell r="A302" t="str">
            <v>depreciation</v>
          </cell>
          <cell r="I302">
            <v>0</v>
          </cell>
          <cell r="M302">
            <v>3.0771634615384613</v>
          </cell>
          <cell r="O302">
            <v>193</v>
          </cell>
          <cell r="Q302">
            <v>557.11800000000005</v>
          </cell>
          <cell r="U302">
            <v>557.11800000000005</v>
          </cell>
          <cell r="X302">
            <v>75</v>
          </cell>
          <cell r="Z302">
            <v>0.17299999999999999</v>
          </cell>
          <cell r="AB302">
            <v>80.430000000000007</v>
          </cell>
          <cell r="AD302">
            <v>712.721</v>
          </cell>
          <cell r="AJ302">
            <v>0</v>
          </cell>
          <cell r="AL302">
            <v>51.137999999999998</v>
          </cell>
          <cell r="AP302">
            <v>51.137999999999998</v>
          </cell>
          <cell r="AT302">
            <v>959.93616346153851</v>
          </cell>
          <cell r="AV302">
            <v>0</v>
          </cell>
          <cell r="AX302">
            <v>959.93616346153851</v>
          </cell>
          <cell r="AZ302" t="str">
            <v>depreciation</v>
          </cell>
          <cell r="BI302">
            <v>0</v>
          </cell>
          <cell r="BM302">
            <v>11.743499999999999</v>
          </cell>
          <cell r="BO302">
            <v>265</v>
          </cell>
          <cell r="BQ302">
            <v>1749.434</v>
          </cell>
          <cell r="BU302">
            <v>1749.434</v>
          </cell>
          <cell r="BX302">
            <v>260</v>
          </cell>
          <cell r="BZ302">
            <v>0.62</v>
          </cell>
          <cell r="CD302">
            <v>2010.0539999999999</v>
          </cell>
          <cell r="CJ302">
            <v>0</v>
          </cell>
          <cell r="CL302">
            <v>144</v>
          </cell>
          <cell r="CN302">
            <v>103</v>
          </cell>
          <cell r="CP302">
            <v>247</v>
          </cell>
          <cell r="CQ302">
            <v>0</v>
          </cell>
          <cell r="CT302">
            <v>2533.7975000000001</v>
          </cell>
          <cell r="CU302">
            <v>0</v>
          </cell>
          <cell r="CV302">
            <v>0</v>
          </cell>
          <cell r="CX302">
            <v>2533.7975000000001</v>
          </cell>
          <cell r="FG302">
            <v>12.801</v>
          </cell>
          <cell r="FH302">
            <v>765</v>
          </cell>
          <cell r="FI302">
            <v>2287.357</v>
          </cell>
          <cell r="FK302">
            <v>408</v>
          </cell>
          <cell r="FL302">
            <v>0.68600000000000005</v>
          </cell>
          <cell r="FN302">
            <v>2696.0430000000001</v>
          </cell>
          <cell r="FO302">
            <v>0</v>
          </cell>
          <cell r="FP302">
            <v>200</v>
          </cell>
          <cell r="FQ302">
            <v>194</v>
          </cell>
          <cell r="FR302">
            <v>394</v>
          </cell>
          <cell r="FS302">
            <v>0</v>
          </cell>
          <cell r="FT302">
            <v>3867.8440000000001</v>
          </cell>
          <cell r="FU302">
            <v>0</v>
          </cell>
          <cell r="FV302">
            <v>3867.8440000000001</v>
          </cell>
          <cell r="FW302" t="str">
            <v>depreciation</v>
          </cell>
          <cell r="FX302">
            <v>2696.0430000000001</v>
          </cell>
          <cell r="FY302">
            <v>394</v>
          </cell>
          <cell r="GA302">
            <v>3090.0430000000001</v>
          </cell>
          <cell r="GB302">
            <v>3131.4789343956704</v>
          </cell>
          <cell r="GC302">
            <v>777.80099999999993</v>
          </cell>
          <cell r="GD302">
            <v>788.23092321106424</v>
          </cell>
          <cell r="GE302">
            <v>777.80099999999993</v>
          </cell>
          <cell r="GF302">
            <v>4.0292720987326067</v>
          </cell>
          <cell r="GG302">
            <v>2539.2511655341327</v>
          </cell>
          <cell r="GH302">
            <v>0</v>
          </cell>
        </row>
        <row r="303">
          <cell r="A303" t="str">
            <v>professional fees</v>
          </cell>
          <cell r="C303">
            <v>141.12100000000001</v>
          </cell>
          <cell r="G303">
            <v>0</v>
          </cell>
          <cell r="I303">
            <v>141.12100000000001</v>
          </cell>
          <cell r="M303">
            <v>17.377524038461537</v>
          </cell>
          <cell r="O303">
            <v>113.5</v>
          </cell>
          <cell r="Q303">
            <v>1036.577</v>
          </cell>
          <cell r="U303">
            <v>1036.577</v>
          </cell>
          <cell r="X303">
            <v>106</v>
          </cell>
          <cell r="Z303">
            <v>6.4989999999999997</v>
          </cell>
          <cell r="AD303">
            <v>1149.076</v>
          </cell>
          <cell r="AF303">
            <v>8.9980000000000011</v>
          </cell>
          <cell r="AJ303">
            <v>8.9980000000000011</v>
          </cell>
          <cell r="AL303">
            <v>75.766000000000005</v>
          </cell>
          <cell r="AP303">
            <v>84.76400000000001</v>
          </cell>
          <cell r="AR303">
            <v>38.293999999999997</v>
          </cell>
          <cell r="AT303">
            <v>1544.1325240384617</v>
          </cell>
          <cell r="AV303">
            <v>0</v>
          </cell>
          <cell r="AX303">
            <v>1544.1325240384617</v>
          </cell>
          <cell r="AZ303" t="str">
            <v>professional fees</v>
          </cell>
          <cell r="BC303">
            <v>565.29399999999998</v>
          </cell>
          <cell r="BI303">
            <v>565.29399999999998</v>
          </cell>
          <cell r="BM303">
            <v>68.572500000000005</v>
          </cell>
          <cell r="BO303">
            <v>445.5</v>
          </cell>
          <cell r="BQ303">
            <v>4017.7750000000001</v>
          </cell>
          <cell r="BU303">
            <v>4017.7750000000001</v>
          </cell>
          <cell r="BX303">
            <v>414</v>
          </cell>
          <cell r="BZ303">
            <v>24.5</v>
          </cell>
          <cell r="CD303">
            <v>4456.2749999999996</v>
          </cell>
          <cell r="CF303">
            <v>37.417999999999999</v>
          </cell>
          <cell r="CH303">
            <v>0</v>
          </cell>
          <cell r="CJ303">
            <v>37.417999999999999</v>
          </cell>
          <cell r="CL303">
            <v>313</v>
          </cell>
          <cell r="CP303">
            <v>350.41800000000001</v>
          </cell>
          <cell r="CQ303">
            <v>0</v>
          </cell>
          <cell r="CR303">
            <v>151.845</v>
          </cell>
          <cell r="CT303">
            <v>6037.9044999999996</v>
          </cell>
          <cell r="CU303">
            <v>0</v>
          </cell>
          <cell r="CV303">
            <v>0</v>
          </cell>
          <cell r="CX303">
            <v>6037.9044999999996</v>
          </cell>
          <cell r="FC303">
            <v>568.76400000000001</v>
          </cell>
          <cell r="FE303">
            <v>0</v>
          </cell>
          <cell r="FF303">
            <v>568.76400000000001</v>
          </cell>
          <cell r="FG303">
            <v>72.290499999999994</v>
          </cell>
          <cell r="FH303">
            <v>460</v>
          </cell>
          <cell r="FI303">
            <v>4165.6379999999999</v>
          </cell>
          <cell r="FK303">
            <v>447</v>
          </cell>
          <cell r="FL303">
            <v>25.898</v>
          </cell>
          <cell r="FN303">
            <v>4638.5360000000001</v>
          </cell>
          <cell r="FO303">
            <v>39.358000000000004</v>
          </cell>
          <cell r="FP303">
            <v>290.7</v>
          </cell>
          <cell r="FR303">
            <v>330.05799999999999</v>
          </cell>
          <cell r="FS303">
            <v>158.06300000000002</v>
          </cell>
          <cell r="FT303">
            <v>6227.7115000000003</v>
          </cell>
          <cell r="FU303">
            <v>0</v>
          </cell>
          <cell r="FV303">
            <v>6227.7115000000003</v>
          </cell>
          <cell r="FW303" t="str">
            <v>professional fees</v>
          </cell>
          <cell r="FX303">
            <v>4638.5360000000001</v>
          </cell>
          <cell r="FY303">
            <v>330.05799999999999</v>
          </cell>
          <cell r="GA303">
            <v>4968.5940000000001</v>
          </cell>
          <cell r="GB303">
            <v>5035.2203657245936</v>
          </cell>
          <cell r="GC303">
            <v>1259.1175000000001</v>
          </cell>
          <cell r="GD303">
            <v>1276.0016372519544</v>
          </cell>
          <cell r="GE303">
            <v>1259.1175000000001</v>
          </cell>
          <cell r="GF303">
            <v>4.0331457326682658</v>
          </cell>
          <cell r="GG303">
            <v>3093.5960215545397</v>
          </cell>
          <cell r="GH303">
            <v>0</v>
          </cell>
        </row>
        <row r="304">
          <cell r="A304" t="str">
            <v>other</v>
          </cell>
          <cell r="I304">
            <v>0</v>
          </cell>
          <cell r="U304">
            <v>0</v>
          </cell>
          <cell r="AD304">
            <v>0</v>
          </cell>
          <cell r="AJ304">
            <v>0</v>
          </cell>
          <cell r="AP304">
            <v>0</v>
          </cell>
          <cell r="AT304">
            <v>0</v>
          </cell>
          <cell r="AX304">
            <v>0</v>
          </cell>
          <cell r="AZ304" t="str">
            <v>other</v>
          </cell>
          <cell r="BC304">
            <v>208</v>
          </cell>
          <cell r="BI304">
            <v>208</v>
          </cell>
          <cell r="BM304">
            <v>200.072</v>
          </cell>
          <cell r="BO304">
            <v>1043</v>
          </cell>
          <cell r="BU304">
            <v>0</v>
          </cell>
          <cell r="BX304">
            <v>443</v>
          </cell>
          <cell r="CD304">
            <v>443</v>
          </cell>
          <cell r="CJ304">
            <v>0</v>
          </cell>
          <cell r="CL304">
            <v>22</v>
          </cell>
          <cell r="CP304">
            <v>22</v>
          </cell>
          <cell r="CQ304">
            <v>0</v>
          </cell>
          <cell r="CR304">
            <v>5.7780000000000005</v>
          </cell>
          <cell r="CT304">
            <v>1921.85</v>
          </cell>
          <cell r="CU304">
            <v>0</v>
          </cell>
          <cell r="CX304">
            <v>1921.85</v>
          </cell>
          <cell r="FF304">
            <v>0</v>
          </cell>
          <cell r="FN304">
            <v>0</v>
          </cell>
          <cell r="FO304">
            <v>0</v>
          </cell>
          <cell r="FR304">
            <v>0</v>
          </cell>
          <cell r="FS304">
            <v>5.9809999999999999</v>
          </cell>
          <cell r="FT304">
            <v>5.9809999999999999</v>
          </cell>
          <cell r="FV304">
            <v>5.9809999999999999</v>
          </cell>
          <cell r="FW304" t="str">
            <v>other</v>
          </cell>
          <cell r="FX304">
            <v>0</v>
          </cell>
          <cell r="FY304">
            <v>0</v>
          </cell>
          <cell r="GA304">
            <v>0</v>
          </cell>
          <cell r="GB304">
            <v>0</v>
          </cell>
          <cell r="GC304">
            <v>5.9809999999999999</v>
          </cell>
          <cell r="GD304">
            <v>6.0612022248947683</v>
          </cell>
          <cell r="GE304">
            <v>5.9809999999999999</v>
          </cell>
          <cell r="GF304" t="e">
            <v>#DIV/0!</v>
          </cell>
          <cell r="GG304">
            <v>1949.5964213137113</v>
          </cell>
          <cell r="GH304">
            <v>0</v>
          </cell>
        </row>
        <row r="305">
          <cell r="A305" t="str">
            <v>part.in exp. others</v>
          </cell>
          <cell r="C305">
            <v>0</v>
          </cell>
          <cell r="G305">
            <v>0</v>
          </cell>
          <cell r="I305">
            <v>0</v>
          </cell>
          <cell r="M305" t="str">
            <v xml:space="preserve"> </v>
          </cell>
          <cell r="Q305">
            <v>-1397.8729999999996</v>
          </cell>
          <cell r="S305" t="str">
            <v xml:space="preserve"> </v>
          </cell>
          <cell r="U305">
            <v>-1397.8729999999996</v>
          </cell>
          <cell r="X305">
            <v>643</v>
          </cell>
          <cell r="AD305">
            <v>-754.87299999999959</v>
          </cell>
          <cell r="AJ305">
            <v>0</v>
          </cell>
          <cell r="AP305">
            <v>0</v>
          </cell>
          <cell r="AT305">
            <v>-754.87299999999959</v>
          </cell>
          <cell r="AV305">
            <v>-23.464999999999691</v>
          </cell>
          <cell r="AX305">
            <v>-778.33799999999928</v>
          </cell>
          <cell r="AZ305" t="str">
            <v>part.in exp. others</v>
          </cell>
          <cell r="BQ305">
            <v>-14922.218000000001</v>
          </cell>
          <cell r="BU305">
            <v>-14922.218000000001</v>
          </cell>
          <cell r="BZ305">
            <v>964.30399999999997</v>
          </cell>
          <cell r="CD305">
            <v>-13957.914000000001</v>
          </cell>
          <cell r="CJ305">
            <v>0</v>
          </cell>
          <cell r="CP305">
            <v>0</v>
          </cell>
          <cell r="CQ305">
            <v>0</v>
          </cell>
          <cell r="CT305">
            <v>-13957.914000000001</v>
          </cell>
          <cell r="CU305">
            <v>0</v>
          </cell>
          <cell r="CV305">
            <v>9.0020000000004075</v>
          </cell>
          <cell r="CX305">
            <v>-13948.912</v>
          </cell>
          <cell r="FE305">
            <v>0</v>
          </cell>
          <cell r="FI305">
            <v>-5547.25</v>
          </cell>
          <cell r="FK305">
            <v>2602</v>
          </cell>
          <cell r="FN305">
            <v>-2945.25</v>
          </cell>
          <cell r="FO305">
            <v>0</v>
          </cell>
          <cell r="FS305">
            <v>0</v>
          </cell>
          <cell r="FT305">
            <v>-2945.25</v>
          </cell>
          <cell r="FV305">
            <v>-2945.25</v>
          </cell>
          <cell r="FW305" t="str">
            <v>part.in exp. others</v>
          </cell>
          <cell r="FX305">
            <v>-2945.25</v>
          </cell>
          <cell r="FY305">
            <v>0</v>
          </cell>
          <cell r="GA305">
            <v>-2945.25</v>
          </cell>
          <cell r="GB305">
            <v>-2984.7443325315689</v>
          </cell>
          <cell r="GC305">
            <v>0</v>
          </cell>
          <cell r="GD305">
            <v>0</v>
          </cell>
          <cell r="GE305">
            <v>0</v>
          </cell>
          <cell r="GF305">
            <v>3.7840244212668566</v>
          </cell>
          <cell r="GG305">
            <v>0</v>
          </cell>
          <cell r="GH305">
            <v>0</v>
          </cell>
        </row>
        <row r="306">
          <cell r="C306">
            <v>2269.2870000000003</v>
          </cell>
          <cell r="E306">
            <v>0</v>
          </cell>
          <cell r="G306">
            <v>-44.594999999999999</v>
          </cell>
          <cell r="I306">
            <v>2224.6920000000005</v>
          </cell>
          <cell r="M306">
            <v>227.09435096153848</v>
          </cell>
          <cell r="O306">
            <v>1056</v>
          </cell>
          <cell r="Q306">
            <v>7500.2530000000006</v>
          </cell>
          <cell r="S306">
            <v>0</v>
          </cell>
          <cell r="U306">
            <v>7500.2530000000006</v>
          </cell>
          <cell r="W306">
            <v>3013</v>
          </cell>
          <cell r="X306">
            <v>2235.5</v>
          </cell>
          <cell r="Z306">
            <v>259.73200000000003</v>
          </cell>
          <cell r="AB306">
            <v>0</v>
          </cell>
          <cell r="AD306">
            <v>13008.485000000001</v>
          </cell>
          <cell r="AF306">
            <v>8.9980000000000011</v>
          </cell>
          <cell r="AH306">
            <v>0</v>
          </cell>
          <cell r="AJ306">
            <v>8.9980000000000011</v>
          </cell>
          <cell r="AL306">
            <v>4850.8820000000005</v>
          </cell>
          <cell r="AN306">
            <v>18.484000000000002</v>
          </cell>
          <cell r="AP306">
            <v>4878.3639999999996</v>
          </cell>
          <cell r="AR306">
            <v>69.709999999999994</v>
          </cell>
          <cell r="AT306">
            <v>21464.345350961539</v>
          </cell>
          <cell r="AV306">
            <v>-4522.9339999999993</v>
          </cell>
          <cell r="AX306">
            <v>16941.411350961538</v>
          </cell>
          <cell r="BC306">
            <v>8615.8389999999999</v>
          </cell>
          <cell r="BE306">
            <v>0</v>
          </cell>
          <cell r="BG306">
            <v>-112.69</v>
          </cell>
          <cell r="BI306">
            <v>8503.1490000000013</v>
          </cell>
          <cell r="BM306">
            <v>898.71500000000003</v>
          </cell>
          <cell r="BO306">
            <v>4761</v>
          </cell>
          <cell r="BQ306">
            <v>30692.244000000006</v>
          </cell>
          <cell r="BS306">
            <v>0</v>
          </cell>
          <cell r="BU306">
            <v>30692.244000000006</v>
          </cell>
          <cell r="BW306">
            <v>14599</v>
          </cell>
          <cell r="BX306">
            <v>8826.5</v>
          </cell>
          <cell r="BZ306">
            <v>990.97299999999996</v>
          </cell>
          <cell r="CB306">
            <v>0</v>
          </cell>
          <cell r="CD306">
            <v>55108.717000000004</v>
          </cell>
          <cell r="CF306">
            <v>37.417999999999999</v>
          </cell>
          <cell r="CH306">
            <v>0</v>
          </cell>
          <cell r="CJ306">
            <v>37.417999999999999</v>
          </cell>
          <cell r="CL306">
            <v>19161</v>
          </cell>
          <cell r="CN306">
            <v>-5.5939999999999941</v>
          </cell>
          <cell r="CP306">
            <v>19192.824000000001</v>
          </cell>
          <cell r="CQ306">
            <v>0</v>
          </cell>
          <cell r="CR306">
            <v>271</v>
          </cell>
          <cell r="CT306">
            <v>88735.478000000017</v>
          </cell>
          <cell r="CU306">
            <v>-7.3000000018510036E-2</v>
          </cell>
          <cell r="CV306">
            <v>-29254.676500000001</v>
          </cell>
          <cell r="CX306">
            <v>59480.801500000001</v>
          </cell>
          <cell r="FC306">
            <v>9125.5249999999996</v>
          </cell>
          <cell r="FD306">
            <v>0</v>
          </cell>
          <cell r="FE306">
            <v>-223.90199999999999</v>
          </cell>
          <cell r="FF306">
            <v>8901.6229999999996</v>
          </cell>
          <cell r="FG306">
            <v>944.71249999999998</v>
          </cell>
          <cell r="FH306">
            <v>4355</v>
          </cell>
          <cell r="FI306">
            <v>32445.602999999996</v>
          </cell>
          <cell r="FJ306">
            <v>11433</v>
          </cell>
          <cell r="FK306">
            <v>9534.5</v>
          </cell>
          <cell r="FL306">
            <v>1040.9780000000001</v>
          </cell>
          <cell r="FM306">
            <v>0</v>
          </cell>
          <cell r="FN306">
            <v>54454.080999999998</v>
          </cell>
          <cell r="FO306">
            <v>39.358000000000004</v>
          </cell>
          <cell r="FP306">
            <v>19671</v>
          </cell>
          <cell r="FQ306">
            <v>85.406000000000006</v>
          </cell>
          <cell r="FR306">
            <v>19795.763999999999</v>
          </cell>
          <cell r="FS306">
            <v>280.36200000000002</v>
          </cell>
          <cell r="FT306">
            <v>88731.54250000001</v>
          </cell>
          <cell r="FU306">
            <v>-17744.1669554</v>
          </cell>
          <cell r="FV306">
            <v>70987.3755446</v>
          </cell>
          <cell r="FX306">
            <v>54454.080999999998</v>
          </cell>
          <cell r="FY306">
            <v>19795.763999999999</v>
          </cell>
          <cell r="FZ306">
            <v>-18322.3449554</v>
          </cell>
          <cell r="GA306">
            <v>55927.50004459999</v>
          </cell>
          <cell r="GB306">
            <v>56677.45990689379</v>
          </cell>
          <cell r="GC306">
            <v>15059.875500000002</v>
          </cell>
          <cell r="GD306">
            <v>15261.820914101025</v>
          </cell>
          <cell r="GE306">
            <v>15059.875500000009</v>
          </cell>
          <cell r="GF306">
            <v>4.1901689342175725</v>
          </cell>
          <cell r="GG306">
            <v>52152.090194883647</v>
          </cell>
          <cell r="GH306">
            <v>0</v>
          </cell>
        </row>
        <row r="307">
          <cell r="A307" t="str">
            <v>FINANCING</v>
          </cell>
          <cell r="AT307">
            <v>0</v>
          </cell>
          <cell r="AZ307" t="str">
            <v>FINANCING</v>
          </cell>
          <cell r="CD307">
            <v>0</v>
          </cell>
          <cell r="CQ307">
            <v>0</v>
          </cell>
          <cell r="CR307" t="str">
            <v xml:space="preserve"> </v>
          </cell>
          <cell r="CT307">
            <v>0</v>
          </cell>
          <cell r="CU307">
            <v>0</v>
          </cell>
          <cell r="FS307">
            <v>0</v>
          </cell>
          <cell r="FW307" t="str">
            <v>FINANCING</v>
          </cell>
          <cell r="FX307">
            <v>0</v>
          </cell>
          <cell r="FY307">
            <v>0</v>
          </cell>
          <cell r="GA307">
            <v>0</v>
          </cell>
          <cell r="GB307">
            <v>0</v>
          </cell>
          <cell r="GC307">
            <v>0</v>
          </cell>
          <cell r="GD307">
            <v>0</v>
          </cell>
          <cell r="GE307">
            <v>0</v>
          </cell>
          <cell r="GF307" t="e">
            <v>#DIV/0!</v>
          </cell>
          <cell r="GH307">
            <v>0</v>
          </cell>
        </row>
        <row r="308">
          <cell r="A308" t="str">
            <v>income from others</v>
          </cell>
          <cell r="E308">
            <v>0</v>
          </cell>
          <cell r="G308">
            <v>0</v>
          </cell>
          <cell r="I308">
            <v>0</v>
          </cell>
          <cell r="Q308">
            <v>-264.50800000000004</v>
          </cell>
          <cell r="U308">
            <v>-264.50800000000004</v>
          </cell>
          <cell r="Z308">
            <v>-1.496</v>
          </cell>
          <cell r="AD308">
            <v>-266.00400000000002</v>
          </cell>
          <cell r="AJ308">
            <v>0</v>
          </cell>
          <cell r="AL308">
            <v>107</v>
          </cell>
          <cell r="AP308">
            <v>107</v>
          </cell>
          <cell r="AT308">
            <v>-159.00400000000002</v>
          </cell>
          <cell r="AX308">
            <v>-159.00400000000002</v>
          </cell>
          <cell r="AZ308" t="str">
            <v>income from others</v>
          </cell>
          <cell r="BI308">
            <v>0</v>
          </cell>
          <cell r="BQ308">
            <v>-324.72000000000003</v>
          </cell>
          <cell r="BU308">
            <v>-324.72000000000003</v>
          </cell>
          <cell r="BZ308">
            <v>-5.7670000000000003</v>
          </cell>
          <cell r="CD308">
            <v>-330.48700000000002</v>
          </cell>
          <cell r="CJ308">
            <v>0</v>
          </cell>
          <cell r="CL308">
            <v>-1794</v>
          </cell>
          <cell r="CP308">
            <v>-1794</v>
          </cell>
          <cell r="CQ308">
            <v>0</v>
          </cell>
          <cell r="CT308">
            <v>-2124.4870000000001</v>
          </cell>
          <cell r="CU308">
            <v>0</v>
          </cell>
          <cell r="CV308">
            <v>0</v>
          </cell>
          <cell r="CX308">
            <v>-2124.4870000000001</v>
          </cell>
          <cell r="FE308">
            <v>0</v>
          </cell>
          <cell r="FI308">
            <v>-1019.6020000000001</v>
          </cell>
          <cell r="FL308">
            <v>-24.073</v>
          </cell>
          <cell r="FN308">
            <v>-1043.675</v>
          </cell>
          <cell r="FO308">
            <v>0</v>
          </cell>
          <cell r="FP308">
            <v>-426</v>
          </cell>
          <cell r="FR308">
            <v>-426</v>
          </cell>
          <cell r="FS308">
            <v>0</v>
          </cell>
          <cell r="FT308">
            <v>-1469.675</v>
          </cell>
          <cell r="FU308">
            <v>0</v>
          </cell>
          <cell r="FV308">
            <v>-1469.675</v>
          </cell>
          <cell r="FW308" t="str">
            <v>income from others</v>
          </cell>
          <cell r="FX308">
            <v>-1043.675</v>
          </cell>
          <cell r="FY308">
            <v>-426</v>
          </cell>
          <cell r="GA308">
            <v>-1469.675</v>
          </cell>
          <cell r="GB308">
            <v>-1489.382608238124</v>
          </cell>
          <cell r="GC308">
            <v>0</v>
          </cell>
          <cell r="GD308">
            <v>0</v>
          </cell>
          <cell r="GE308">
            <v>0</v>
          </cell>
          <cell r="GF308">
            <v>9.2430064652461574</v>
          </cell>
          <cell r="GG308">
            <v>-51.734398432397136</v>
          </cell>
          <cell r="GH308">
            <v>0</v>
          </cell>
        </row>
        <row r="309">
          <cell r="A309" t="str">
            <v>Affiliated(Icp&amp;GL)</v>
          </cell>
          <cell r="C309">
            <v>0</v>
          </cell>
          <cell r="E309">
            <v>0</v>
          </cell>
          <cell r="I309">
            <v>0</v>
          </cell>
          <cell r="Q309">
            <v>-24.128</v>
          </cell>
          <cell r="U309">
            <v>-24.128</v>
          </cell>
          <cell r="AD309">
            <v>-24.128</v>
          </cell>
          <cell r="AJ309">
            <v>0</v>
          </cell>
          <cell r="AP309">
            <v>0</v>
          </cell>
          <cell r="AT309">
            <v>-24.128</v>
          </cell>
          <cell r="AV309">
            <v>0</v>
          </cell>
          <cell r="AX309">
            <v>-24.128</v>
          </cell>
          <cell r="AZ309" t="str">
            <v>Affiliated(I.C.P.)</v>
          </cell>
          <cell r="BI309">
            <v>0</v>
          </cell>
          <cell r="BQ309">
            <v>-242.65700000000001</v>
          </cell>
          <cell r="BU309">
            <v>-242.65700000000001</v>
          </cell>
          <cell r="CD309">
            <v>-242.65700000000001</v>
          </cell>
          <cell r="CJ309">
            <v>0</v>
          </cell>
          <cell r="CP309">
            <v>0</v>
          </cell>
          <cell r="CQ309">
            <v>0</v>
          </cell>
          <cell r="CT309">
            <v>-242.65700000000001</v>
          </cell>
          <cell r="CU309">
            <v>0</v>
          </cell>
          <cell r="CV309">
            <v>0</v>
          </cell>
          <cell r="CX309">
            <v>-242.65700000000001</v>
          </cell>
          <cell r="FI309">
            <v>-281.99400000000003</v>
          </cell>
          <cell r="FN309">
            <v>-281.99400000000003</v>
          </cell>
          <cell r="FO309">
            <v>0</v>
          </cell>
          <cell r="FR309">
            <v>0</v>
          </cell>
          <cell r="FS309">
            <v>0</v>
          </cell>
          <cell r="FT309">
            <v>-281.99400000000003</v>
          </cell>
          <cell r="FU309">
            <v>0</v>
          </cell>
          <cell r="FV309">
            <v>-281.99400000000003</v>
          </cell>
          <cell r="FW309" t="str">
            <v>Affiliated(Icp&amp;GL)</v>
          </cell>
          <cell r="FX309">
            <v>-281.99400000000003</v>
          </cell>
          <cell r="FY309">
            <v>0</v>
          </cell>
          <cell r="GA309">
            <v>-281.99400000000003</v>
          </cell>
          <cell r="GB309">
            <v>-285.77539879735417</v>
          </cell>
          <cell r="GC309">
            <v>0</v>
          </cell>
          <cell r="GD309">
            <v>0</v>
          </cell>
          <cell r="GE309">
            <v>0</v>
          </cell>
          <cell r="GF309">
            <v>11.687417108753317</v>
          </cell>
          <cell r="GG309">
            <v>-1551.5159993468324</v>
          </cell>
          <cell r="GH309">
            <v>0</v>
          </cell>
        </row>
        <row r="310">
          <cell r="A310" t="str">
            <v>income tax</v>
          </cell>
          <cell r="C310">
            <v>37.737000000000002</v>
          </cell>
          <cell r="E310">
            <v>0</v>
          </cell>
          <cell r="G310">
            <v>5.3665775279637842</v>
          </cell>
          <cell r="I310">
            <v>43.103577527963786</v>
          </cell>
          <cell r="M310" t="str">
            <v xml:space="preserve"> </v>
          </cell>
          <cell r="U310">
            <v>0</v>
          </cell>
          <cell r="X310">
            <v>4</v>
          </cell>
          <cell r="Z310">
            <v>-1</v>
          </cell>
          <cell r="AD310">
            <v>3</v>
          </cell>
          <cell r="AJ310">
            <v>0</v>
          </cell>
          <cell r="AL310">
            <v>-54</v>
          </cell>
          <cell r="AP310">
            <v>-54</v>
          </cell>
          <cell r="AT310">
            <v>-7.8964224720362139</v>
          </cell>
          <cell r="AV310">
            <v>0</v>
          </cell>
          <cell r="AX310">
            <v>-7.8964224720362139</v>
          </cell>
          <cell r="AZ310" t="str">
            <v>income tax</v>
          </cell>
          <cell r="BC310">
            <v>-29.710999999999999</v>
          </cell>
          <cell r="BE310">
            <v>0</v>
          </cell>
          <cell r="BG310">
            <v>-2095.827593584715</v>
          </cell>
          <cell r="BI310">
            <v>-2125.5385935847148</v>
          </cell>
          <cell r="BU310">
            <v>0</v>
          </cell>
          <cell r="CD310">
            <v>0</v>
          </cell>
          <cell r="CJ310">
            <v>0</v>
          </cell>
          <cell r="CL310">
            <v>-220</v>
          </cell>
          <cell r="CP310">
            <v>-220</v>
          </cell>
          <cell r="CQ310">
            <v>0</v>
          </cell>
          <cell r="CT310">
            <v>-2345.5385935847148</v>
          </cell>
          <cell r="CU310">
            <v>0</v>
          </cell>
          <cell r="CV310">
            <v>0</v>
          </cell>
          <cell r="CX310">
            <v>-2345.5385935847148</v>
          </cell>
          <cell r="FC310">
            <v>-32.189</v>
          </cell>
          <cell r="FE310">
            <v>-1179.2836854547563</v>
          </cell>
          <cell r="FF310">
            <v>-1211.4726854547564</v>
          </cell>
          <cell r="FN310">
            <v>0</v>
          </cell>
          <cell r="FO310">
            <v>0</v>
          </cell>
          <cell r="FP310">
            <v>-220</v>
          </cell>
          <cell r="FR310">
            <v>-220</v>
          </cell>
          <cell r="FS310">
            <v>0</v>
          </cell>
          <cell r="FT310">
            <v>-1431.4726854547564</v>
          </cell>
          <cell r="FU310">
            <v>0</v>
          </cell>
          <cell r="FV310">
            <v>-1431.4726854547564</v>
          </cell>
          <cell r="FW310" t="str">
            <v>income tax</v>
          </cell>
          <cell r="FX310">
            <v>0</v>
          </cell>
          <cell r="FY310">
            <v>-220</v>
          </cell>
          <cell r="GA310">
            <v>-220</v>
          </cell>
          <cell r="GB310">
            <v>-222.95009019843653</v>
          </cell>
          <cell r="GC310">
            <v>-1211.4726854547564</v>
          </cell>
          <cell r="GD310">
            <v>-1227.7179295230915</v>
          </cell>
          <cell r="GE310">
            <v>-1211.4726854547564</v>
          </cell>
          <cell r="GF310">
            <v>181.28116758241649</v>
          </cell>
          <cell r="GG310">
            <v>0</v>
          </cell>
          <cell r="GH310">
            <v>0</v>
          </cell>
        </row>
        <row r="311">
          <cell r="A311" t="str">
            <v>capital notes/loans</v>
          </cell>
          <cell r="C311">
            <v>0</v>
          </cell>
          <cell r="E311">
            <v>0</v>
          </cell>
          <cell r="G311">
            <v>0</v>
          </cell>
          <cell r="I311">
            <v>0</v>
          </cell>
          <cell r="M311" t="str">
            <v xml:space="preserve"> </v>
          </cell>
          <cell r="U311">
            <v>0</v>
          </cell>
          <cell r="AD311">
            <v>0</v>
          </cell>
          <cell r="AJ311">
            <v>0</v>
          </cell>
          <cell r="AL311">
            <v>-1749</v>
          </cell>
          <cell r="AP311">
            <v>-1749</v>
          </cell>
          <cell r="AT311">
            <v>-1749</v>
          </cell>
          <cell r="AV311">
            <v>0</v>
          </cell>
          <cell r="AX311">
            <v>-1749</v>
          </cell>
          <cell r="AZ311" t="str">
            <v>capital notes/loans</v>
          </cell>
          <cell r="BI311">
            <v>0</v>
          </cell>
          <cell r="BU311">
            <v>0</v>
          </cell>
          <cell r="CD311">
            <v>0</v>
          </cell>
          <cell r="CJ311">
            <v>0</v>
          </cell>
          <cell r="CL311">
            <v>14758</v>
          </cell>
          <cell r="CP311">
            <v>14758</v>
          </cell>
          <cell r="CQ311">
            <v>0</v>
          </cell>
          <cell r="CT311">
            <v>14758</v>
          </cell>
          <cell r="CU311">
            <v>0</v>
          </cell>
          <cell r="CV311">
            <v>0</v>
          </cell>
          <cell r="CX311">
            <v>14758</v>
          </cell>
          <cell r="FE311">
            <v>0</v>
          </cell>
          <cell r="FN311">
            <v>0</v>
          </cell>
          <cell r="FO311">
            <v>0</v>
          </cell>
          <cell r="FP311">
            <v>4993</v>
          </cell>
          <cell r="FR311">
            <v>4993</v>
          </cell>
          <cell r="FS311">
            <v>0</v>
          </cell>
          <cell r="FT311">
            <v>4993</v>
          </cell>
          <cell r="FU311">
            <v>0</v>
          </cell>
          <cell r="FV311">
            <v>4993</v>
          </cell>
          <cell r="FW311" t="str">
            <v>capital notes/loans</v>
          </cell>
          <cell r="FX311">
            <v>0</v>
          </cell>
          <cell r="FY311">
            <v>4993</v>
          </cell>
          <cell r="GA311">
            <v>4993</v>
          </cell>
          <cell r="GB311">
            <v>5059.9536380036079</v>
          </cell>
          <cell r="GC311">
            <v>0</v>
          </cell>
          <cell r="GD311">
            <v>0</v>
          </cell>
          <cell r="GE311">
            <v>0</v>
          </cell>
          <cell r="GF311">
            <v>-2.854774156660949</v>
          </cell>
          <cell r="GG311">
            <v>0</v>
          </cell>
          <cell r="GH311">
            <v>0</v>
          </cell>
        </row>
        <row r="312">
          <cell r="A312" t="str">
            <v>aurec\stlm\dapim+other</v>
          </cell>
          <cell r="C312">
            <v>-3875.116</v>
          </cell>
          <cell r="E312">
            <v>-794.78599999999994</v>
          </cell>
          <cell r="G312">
            <v>2308.62806</v>
          </cell>
          <cell r="I312">
            <v>-2361.27394</v>
          </cell>
          <cell r="M312" t="str">
            <v xml:space="preserve"> </v>
          </cell>
          <cell r="Q312">
            <v>85.874000000000009</v>
          </cell>
          <cell r="S312">
            <v>202.167</v>
          </cell>
          <cell r="U312">
            <v>288.041</v>
          </cell>
          <cell r="Z312">
            <v>-130.46600000000001</v>
          </cell>
          <cell r="AD312">
            <v>157.57499999999999</v>
          </cell>
          <cell r="AF312">
            <v>-11.190999999999999</v>
          </cell>
          <cell r="AJ312">
            <v>-11.190999999999999</v>
          </cell>
          <cell r="AL312">
            <v>133.61799999999999</v>
          </cell>
          <cell r="AP312">
            <v>122.42699999999999</v>
          </cell>
          <cell r="AR312">
            <v>-987.38</v>
          </cell>
          <cell r="AT312">
            <v>-3068.6519400000002</v>
          </cell>
          <cell r="AV312">
            <v>0</v>
          </cell>
          <cell r="AX312">
            <v>-3068.6519400000002</v>
          </cell>
          <cell r="AZ312" t="str">
            <v>aurec\stlm\dapim+other</v>
          </cell>
          <cell r="BC312">
            <v>-10439.168129999998</v>
          </cell>
          <cell r="BE312">
            <v>-5917.6279999999997</v>
          </cell>
          <cell r="BG312">
            <v>-6192.7148700000034</v>
          </cell>
          <cell r="BI312">
            <v>-22549.511000000002</v>
          </cell>
          <cell r="BM312">
            <v>0</v>
          </cell>
          <cell r="BQ312">
            <v>30873.603999999999</v>
          </cell>
          <cell r="BU312">
            <v>30873.603999999999</v>
          </cell>
          <cell r="BZ312">
            <v>501.17500000000001</v>
          </cell>
          <cell r="CD312">
            <v>31374.778999999999</v>
          </cell>
          <cell r="CF312">
            <v>194.21100000000004</v>
          </cell>
          <cell r="CJ312">
            <v>194.21100000000004</v>
          </cell>
          <cell r="CL312">
            <v>-1716</v>
          </cell>
          <cell r="CP312">
            <v>-1521.789</v>
          </cell>
          <cell r="CQ312">
            <v>0</v>
          </cell>
          <cell r="CR312">
            <v>9093.4089999999997</v>
          </cell>
          <cell r="CT312">
            <v>16396.887999999992</v>
          </cell>
          <cell r="CU312">
            <v>0</v>
          </cell>
          <cell r="CV312">
            <v>0</v>
          </cell>
          <cell r="CX312">
            <v>16396.887999999992</v>
          </cell>
          <cell r="FC312">
            <v>-19199</v>
          </cell>
          <cell r="FD312">
            <v>-643</v>
          </cell>
          <cell r="FE312">
            <v>2939</v>
          </cell>
          <cell r="FF312">
            <v>-16903</v>
          </cell>
          <cell r="FI312">
            <v>16970.569000000003</v>
          </cell>
          <cell r="FL312">
            <v>-11</v>
          </cell>
          <cell r="FN312">
            <v>16959.569000000003</v>
          </cell>
          <cell r="FO312">
            <v>75.816000000000003</v>
          </cell>
          <cell r="FP312">
            <v>-651.26199999999994</v>
          </cell>
          <cell r="FR312">
            <v>-575.44599999999991</v>
          </cell>
          <cell r="FS312">
            <v>2432.1190000000001</v>
          </cell>
          <cell r="FT312">
            <v>1913.2420000000034</v>
          </cell>
          <cell r="FU312">
            <v>0</v>
          </cell>
          <cell r="FV312">
            <v>1913.2420000000034</v>
          </cell>
          <cell r="FW312" t="str">
            <v>aurec\stlm\dapim+other</v>
          </cell>
          <cell r="FX312">
            <v>16959.569000000003</v>
          </cell>
          <cell r="FY312">
            <v>-575.44599999999991</v>
          </cell>
          <cell r="GA312">
            <v>16384.123000000003</v>
          </cell>
          <cell r="GB312">
            <v>16603.825912146724</v>
          </cell>
          <cell r="GC312">
            <v>-14470.880999999999</v>
          </cell>
          <cell r="GD312">
            <v>-14664.928291822009</v>
          </cell>
          <cell r="GE312">
            <v>-14470.880999999999</v>
          </cell>
          <cell r="GF312">
            <v>-0.62347963777214932</v>
          </cell>
          <cell r="GG312">
            <v>7349.9809777922928</v>
          </cell>
          <cell r="GH312">
            <v>0</v>
          </cell>
        </row>
        <row r="313">
          <cell r="A313" t="str">
            <v>capitalization</v>
          </cell>
          <cell r="C313">
            <v>0</v>
          </cell>
          <cell r="G313">
            <v>0</v>
          </cell>
          <cell r="I313">
            <v>0</v>
          </cell>
          <cell r="M313" t="str">
            <v xml:space="preserve"> </v>
          </cell>
          <cell r="U313">
            <v>0</v>
          </cell>
          <cell r="AD313">
            <v>0</v>
          </cell>
          <cell r="AJ313">
            <v>0</v>
          </cell>
          <cell r="AP313">
            <v>0</v>
          </cell>
          <cell r="AT313">
            <v>0</v>
          </cell>
          <cell r="AV313">
            <v>0</v>
          </cell>
          <cell r="AX313">
            <v>0</v>
          </cell>
          <cell r="AZ313" t="str">
            <v>capitalization</v>
          </cell>
          <cell r="BI313">
            <v>0</v>
          </cell>
          <cell r="BU313">
            <v>0</v>
          </cell>
          <cell r="CD313">
            <v>0</v>
          </cell>
          <cell r="CH313">
            <v>0</v>
          </cell>
          <cell r="CJ313">
            <v>0</v>
          </cell>
          <cell r="CP313">
            <v>0</v>
          </cell>
          <cell r="CQ313">
            <v>0</v>
          </cell>
          <cell r="CR313">
            <v>0</v>
          </cell>
          <cell r="CT313">
            <v>0</v>
          </cell>
          <cell r="CU313">
            <v>0</v>
          </cell>
          <cell r="CV313">
            <v>0</v>
          </cell>
          <cell r="CX313">
            <v>0</v>
          </cell>
          <cell r="FE313">
            <v>0</v>
          </cell>
          <cell r="FN313">
            <v>0</v>
          </cell>
          <cell r="FO313">
            <v>0</v>
          </cell>
          <cell r="FR313">
            <v>0</v>
          </cell>
          <cell r="FS313">
            <v>0</v>
          </cell>
          <cell r="FT313">
            <v>0</v>
          </cell>
          <cell r="FU313">
            <v>0</v>
          </cell>
          <cell r="FV313">
            <v>0</v>
          </cell>
          <cell r="FW313" t="str">
            <v>capitalization</v>
          </cell>
          <cell r="FX313">
            <v>0</v>
          </cell>
          <cell r="FY313">
            <v>0</v>
          </cell>
          <cell r="GA313">
            <v>0</v>
          </cell>
          <cell r="GB313">
            <v>0</v>
          </cell>
          <cell r="GC313">
            <v>0</v>
          </cell>
          <cell r="GD313">
            <v>0</v>
          </cell>
          <cell r="GE313">
            <v>0</v>
          </cell>
          <cell r="GF313" t="e">
            <v>#DIV/0!</v>
          </cell>
          <cell r="GG313">
            <v>0</v>
          </cell>
          <cell r="GH313">
            <v>0</v>
          </cell>
        </row>
        <row r="314">
          <cell r="A314" t="str">
            <v>expenses(customs&amp;other</v>
          </cell>
          <cell r="B314" t="str">
            <v>PLUG</v>
          </cell>
          <cell r="E314">
            <v>0</v>
          </cell>
          <cell r="G314">
            <v>0</v>
          </cell>
          <cell r="I314">
            <v>0</v>
          </cell>
          <cell r="M314">
            <v>29.911000000000001</v>
          </cell>
          <cell r="Q314">
            <v>52.155000000000001</v>
          </cell>
          <cell r="U314">
            <v>52.155000000000001</v>
          </cell>
          <cell r="AD314">
            <v>52.155000000000001</v>
          </cell>
          <cell r="AJ314">
            <v>0</v>
          </cell>
          <cell r="AN314">
            <v>0</v>
          </cell>
          <cell r="AP314">
            <v>0</v>
          </cell>
          <cell r="AT314">
            <v>82.066000000000003</v>
          </cell>
          <cell r="AV314">
            <v>0</v>
          </cell>
          <cell r="AX314">
            <v>82.066000000000003</v>
          </cell>
          <cell r="AZ314" t="str">
            <v>expenses(customs&amp;other</v>
          </cell>
          <cell r="BI314">
            <v>0</v>
          </cell>
          <cell r="BQ314">
            <v>-3</v>
          </cell>
          <cell r="BU314">
            <v>-3</v>
          </cell>
          <cell r="CD314">
            <v>-3</v>
          </cell>
          <cell r="CH314">
            <v>0</v>
          </cell>
          <cell r="CJ314">
            <v>0</v>
          </cell>
          <cell r="CL314">
            <v>0</v>
          </cell>
          <cell r="CN314">
            <v>0</v>
          </cell>
          <cell r="CP314">
            <v>0</v>
          </cell>
          <cell r="CQ314">
            <v>0</v>
          </cell>
          <cell r="CR314">
            <v>-628.35400000000004</v>
          </cell>
          <cell r="CT314">
            <v>-631.35400000000004</v>
          </cell>
          <cell r="CU314">
            <v>0</v>
          </cell>
          <cell r="CV314">
            <v>0</v>
          </cell>
          <cell r="CX314">
            <v>-631.35400000000004</v>
          </cell>
          <cell r="FG314">
            <v>124.428</v>
          </cell>
          <cell r="FI314">
            <v>-6.9939999999999998</v>
          </cell>
          <cell r="FN314">
            <v>-6.9939999999999998</v>
          </cell>
          <cell r="FO314">
            <v>0</v>
          </cell>
          <cell r="FQ314">
            <v>0</v>
          </cell>
          <cell r="FR314">
            <v>0</v>
          </cell>
          <cell r="FS314">
            <v>-240.66200000000001</v>
          </cell>
          <cell r="FT314">
            <v>-123.22800000000001</v>
          </cell>
          <cell r="FU314">
            <v>0</v>
          </cell>
          <cell r="FV314">
            <v>-123.22800000000001</v>
          </cell>
          <cell r="FW314" t="str">
            <v>expenses(customs&amp;other)</v>
          </cell>
          <cell r="FX314">
            <v>-6.9939999999999998</v>
          </cell>
          <cell r="FY314">
            <v>0</v>
          </cell>
          <cell r="GA314">
            <v>-6.9939999999999998</v>
          </cell>
          <cell r="GB314">
            <v>-7.0877860493084786</v>
          </cell>
          <cell r="GC314">
            <v>-116.23400000000001</v>
          </cell>
          <cell r="GD314">
            <v>-117.79263992784125</v>
          </cell>
          <cell r="GE314">
            <v>-116.23400000000001</v>
          </cell>
          <cell r="GF314">
            <v>-1.5015719055394439</v>
          </cell>
          <cell r="GG314">
            <v>10171.941296481245</v>
          </cell>
          <cell r="GH314">
            <v>0</v>
          </cell>
        </row>
        <row r="315">
          <cell r="A315" t="str">
            <v>expenses-banks,net</v>
          </cell>
          <cell r="C315">
            <v>-372.26099999999997</v>
          </cell>
          <cell r="E315">
            <v>0</v>
          </cell>
          <cell r="G315">
            <v>0</v>
          </cell>
          <cell r="I315">
            <v>-372.26099999999997</v>
          </cell>
          <cell r="M315" t="str">
            <v xml:space="preserve"> </v>
          </cell>
          <cell r="O315">
            <v>469.5</v>
          </cell>
          <cell r="Q315">
            <v>-277.75800000000004</v>
          </cell>
          <cell r="U315">
            <v>-277.75800000000004</v>
          </cell>
          <cell r="X315">
            <v>-558</v>
          </cell>
          <cell r="Z315">
            <v>26.71</v>
          </cell>
          <cell r="AD315">
            <v>-809.048</v>
          </cell>
          <cell r="AF315">
            <v>4.5979999999999999</v>
          </cell>
          <cell r="AJ315">
            <v>4.5979999999999999</v>
          </cell>
          <cell r="AL315">
            <v>25</v>
          </cell>
          <cell r="AP315">
            <v>29.597999999999999</v>
          </cell>
          <cell r="AR315">
            <v>-31</v>
          </cell>
          <cell r="AT315">
            <v>-713.21100000000001</v>
          </cell>
          <cell r="AV315">
            <v>0</v>
          </cell>
          <cell r="AX315">
            <v>-713.21100000000001</v>
          </cell>
          <cell r="AZ315" t="str">
            <v>expenses-banks,net</v>
          </cell>
          <cell r="BC315">
            <v>4698.7640000000001</v>
          </cell>
          <cell r="BE315">
            <v>0</v>
          </cell>
          <cell r="BG315">
            <v>0</v>
          </cell>
          <cell r="BI315">
            <v>4698.7640000000001</v>
          </cell>
          <cell r="BO315">
            <v>1581.2249999999999</v>
          </cell>
          <cell r="BQ315">
            <v>23681.727000000003</v>
          </cell>
          <cell r="BU315">
            <v>23681.727000000003</v>
          </cell>
          <cell r="BX315">
            <v>3345.5</v>
          </cell>
          <cell r="BZ315">
            <v>-205.262</v>
          </cell>
          <cell r="CD315">
            <v>26821.965000000004</v>
          </cell>
          <cell r="CF315">
            <v>8.4320000000000004</v>
          </cell>
          <cell r="CH315">
            <v>0</v>
          </cell>
          <cell r="CJ315">
            <v>8.4320000000000004</v>
          </cell>
          <cell r="CL315">
            <v>93</v>
          </cell>
          <cell r="CP315">
            <v>101.432</v>
          </cell>
          <cell r="CQ315">
            <v>0</v>
          </cell>
          <cell r="CR315">
            <v>-107.104</v>
          </cell>
          <cell r="CT315">
            <v>33096.282000000007</v>
          </cell>
          <cell r="CU315">
            <v>0</v>
          </cell>
          <cell r="CV315">
            <v>0</v>
          </cell>
          <cell r="CX315">
            <v>33096.282000000007</v>
          </cell>
          <cell r="FC315">
            <v>1653</v>
          </cell>
          <cell r="FD315">
            <v>-2</v>
          </cell>
          <cell r="FE315">
            <v>0</v>
          </cell>
          <cell r="FF315">
            <v>1651</v>
          </cell>
          <cell r="FH315">
            <v>1823.5</v>
          </cell>
          <cell r="FI315">
            <v>10220.337</v>
          </cell>
          <cell r="FK315">
            <v>504.5</v>
          </cell>
          <cell r="FL315">
            <v>-64.048000000000002</v>
          </cell>
          <cell r="FN315">
            <v>10660.788999999999</v>
          </cell>
          <cell r="FO315">
            <v>12.9</v>
          </cell>
          <cell r="FP315">
            <v>98</v>
          </cell>
          <cell r="FR315">
            <v>110.9</v>
          </cell>
          <cell r="FS315">
            <v>-88.51</v>
          </cell>
          <cell r="FT315">
            <v>14157.678999999998</v>
          </cell>
          <cell r="FU315">
            <v>0</v>
          </cell>
          <cell r="FV315">
            <v>14157.678999999998</v>
          </cell>
          <cell r="FW315" t="str">
            <v>expenses-banks,net</v>
          </cell>
          <cell r="FX315">
            <v>10660.788999999999</v>
          </cell>
          <cell r="FY315">
            <v>110.9</v>
          </cell>
          <cell r="GA315">
            <v>10771.688999999998</v>
          </cell>
          <cell r="GB315">
            <v>10916.131973361393</v>
          </cell>
          <cell r="GC315">
            <v>3385.99</v>
          </cell>
          <cell r="GD315">
            <v>3431.3944359591096</v>
          </cell>
          <cell r="GE315">
            <v>3385.99</v>
          </cell>
          <cell r="GF315">
            <v>-19.850617839601462</v>
          </cell>
          <cell r="GG315">
            <v>480.39301502286099</v>
          </cell>
          <cell r="GH315">
            <v>0</v>
          </cell>
        </row>
        <row r="316">
          <cell r="C316">
            <v>-4209.6400000000003</v>
          </cell>
          <cell r="E316">
            <v>-794.78599999999994</v>
          </cell>
          <cell r="G316">
            <v>2313.9946375279637</v>
          </cell>
          <cell r="I316">
            <v>-2690.4313624720362</v>
          </cell>
          <cell r="M316">
            <v>29.911000000000001</v>
          </cell>
          <cell r="O316">
            <v>469.5</v>
          </cell>
          <cell r="Q316">
            <v>-428.36500000000001</v>
          </cell>
          <cell r="S316">
            <v>202.167</v>
          </cell>
          <cell r="U316">
            <v>-226.19800000000006</v>
          </cell>
          <cell r="W316">
            <v>0</v>
          </cell>
          <cell r="X316">
            <v>-554</v>
          </cell>
          <cell r="Z316">
            <v>-106.25200000000001</v>
          </cell>
          <cell r="AB316">
            <v>0</v>
          </cell>
          <cell r="AD316">
            <v>-886.45</v>
          </cell>
          <cell r="AF316">
            <v>-6.5929999999999991</v>
          </cell>
          <cell r="AH316">
            <v>0</v>
          </cell>
          <cell r="AJ316">
            <v>-6.5929999999999991</v>
          </cell>
          <cell r="AL316">
            <v>-1537.3820000000001</v>
          </cell>
          <cell r="AN316">
            <v>0</v>
          </cell>
          <cell r="AP316">
            <v>-1543.9749999999999</v>
          </cell>
          <cell r="AR316">
            <v>-1018.38</v>
          </cell>
          <cell r="AT316">
            <v>-5639.8253624720364</v>
          </cell>
          <cell r="AV316">
            <v>0</v>
          </cell>
          <cell r="AX316">
            <v>-5639.8253624720364</v>
          </cell>
          <cell r="BC316">
            <v>-5770.1151299999974</v>
          </cell>
          <cell r="BE316">
            <v>-5917.6279999999997</v>
          </cell>
          <cell r="BG316">
            <v>-8288.5424635847194</v>
          </cell>
          <cell r="BI316">
            <v>-19976.285593584718</v>
          </cell>
          <cell r="BM316">
            <v>0</v>
          </cell>
          <cell r="BO316">
            <v>1581.2249999999999</v>
          </cell>
          <cell r="BQ316">
            <v>53984.953999999998</v>
          </cell>
          <cell r="BS316">
            <v>0</v>
          </cell>
          <cell r="BU316">
            <v>53984.953999999998</v>
          </cell>
          <cell r="BW316">
            <v>0</v>
          </cell>
          <cell r="BX316">
            <v>3345.5</v>
          </cell>
          <cell r="BZ316">
            <v>290.14600000000002</v>
          </cell>
          <cell r="CB316">
            <v>0</v>
          </cell>
          <cell r="CD316">
            <v>57620.6</v>
          </cell>
          <cell r="CF316">
            <v>202.64300000000003</v>
          </cell>
          <cell r="CH316">
            <v>0</v>
          </cell>
          <cell r="CJ316">
            <v>202.64300000000003</v>
          </cell>
          <cell r="CL316">
            <v>11121</v>
          </cell>
          <cell r="CN316">
            <v>0</v>
          </cell>
          <cell r="CP316">
            <v>11323.643</v>
          </cell>
          <cell r="CQ316">
            <v>0</v>
          </cell>
          <cell r="CR316">
            <v>8358</v>
          </cell>
          <cell r="CT316">
            <v>58907.133406415283</v>
          </cell>
          <cell r="CU316">
            <v>4.8999999999068677E-2</v>
          </cell>
          <cell r="CV316">
            <v>0</v>
          </cell>
          <cell r="CX316">
            <v>58907.133406415283</v>
          </cell>
          <cell r="FC316">
            <v>-17578.188999999998</v>
          </cell>
          <cell r="FD316">
            <v>-645</v>
          </cell>
          <cell r="FE316">
            <v>1759.7163145452437</v>
          </cell>
          <cell r="FF316">
            <v>-16463.472685454755</v>
          </cell>
          <cell r="FG316">
            <v>124.428</v>
          </cell>
          <cell r="FH316">
            <v>1823.5</v>
          </cell>
          <cell r="FI316">
            <v>25882.316000000003</v>
          </cell>
          <cell r="FJ316">
            <v>0</v>
          </cell>
          <cell r="FK316">
            <v>504.5</v>
          </cell>
          <cell r="FL316">
            <v>-99.121000000000009</v>
          </cell>
          <cell r="FM316">
            <v>0</v>
          </cell>
          <cell r="FN316">
            <v>26287.695</v>
          </cell>
          <cell r="FO316">
            <v>88.716000000000008</v>
          </cell>
          <cell r="FP316">
            <v>3793.7380000000003</v>
          </cell>
          <cell r="FQ316">
            <v>0</v>
          </cell>
          <cell r="FR316">
            <v>3882.4540000000002</v>
          </cell>
          <cell r="FS316">
            <v>2102.9470000000001</v>
          </cell>
          <cell r="FT316">
            <v>17757.551314545246</v>
          </cell>
          <cell r="FU316">
            <v>0</v>
          </cell>
          <cell r="FV316">
            <v>17757.551314545246</v>
          </cell>
          <cell r="FX316">
            <v>26287.695</v>
          </cell>
          <cell r="FY316">
            <v>3882.4540000000002</v>
          </cell>
          <cell r="FZ316">
            <v>0</v>
          </cell>
          <cell r="GA316">
            <v>30170.149000000001</v>
          </cell>
          <cell r="GB316">
            <v>30574.7156402285</v>
          </cell>
          <cell r="GC316">
            <v>-12412.597685454757</v>
          </cell>
          <cell r="GD316">
            <v>-12579.04442531383</v>
          </cell>
          <cell r="GE316">
            <v>-12412.597685454755</v>
          </cell>
          <cell r="GF316">
            <v>-3.1485994996770241</v>
          </cell>
          <cell r="GG316">
            <v>16399.06489151717</v>
          </cell>
          <cell r="GH316">
            <v>0</v>
          </cell>
        </row>
        <row r="317">
          <cell r="A317" t="str">
            <v>CAPITAL GAINS</v>
          </cell>
          <cell r="E317">
            <v>-0.75</v>
          </cell>
          <cell r="I317">
            <v>-0.75</v>
          </cell>
          <cell r="O317">
            <v>-13.5</v>
          </cell>
          <cell r="Q317">
            <v>-2.747000000000007</v>
          </cell>
          <cell r="U317">
            <v>-2.747000000000007</v>
          </cell>
          <cell r="X317">
            <v>5</v>
          </cell>
          <cell r="AD317">
            <v>2.252999999999993</v>
          </cell>
          <cell r="AJ317">
            <v>0</v>
          </cell>
          <cell r="AL317">
            <v>-18.626999999999999</v>
          </cell>
          <cell r="AP317">
            <v>-18.626999999999999</v>
          </cell>
          <cell r="AT317">
            <v>-30.624000000000006</v>
          </cell>
          <cell r="AV317">
            <v>0</v>
          </cell>
          <cell r="AX317">
            <v>-30.624000000000006</v>
          </cell>
          <cell r="AZ317" t="str">
            <v>CAPITAL GAINS</v>
          </cell>
          <cell r="BE317">
            <v>-194.22300000000001</v>
          </cell>
          <cell r="BI317">
            <v>-194.22300000000001</v>
          </cell>
          <cell r="BQ317">
            <v>37.99799999999999</v>
          </cell>
          <cell r="BS317">
            <v>-571</v>
          </cell>
          <cell r="BU317">
            <v>-533.00199999999995</v>
          </cell>
          <cell r="BX317">
            <v>-18</v>
          </cell>
          <cell r="BZ317">
            <v>0</v>
          </cell>
          <cell r="CD317">
            <v>-551.00199999999995</v>
          </cell>
          <cell r="CF317">
            <v>0</v>
          </cell>
          <cell r="CJ317">
            <v>0</v>
          </cell>
          <cell r="CL317">
            <v>-104</v>
          </cell>
          <cell r="CP317">
            <v>-104</v>
          </cell>
          <cell r="CQ317">
            <v>0</v>
          </cell>
          <cell r="CT317">
            <v>-849.22500000000002</v>
          </cell>
          <cell r="CU317">
            <v>0</v>
          </cell>
          <cell r="CX317">
            <v>-849.22500000000002</v>
          </cell>
          <cell r="FD317">
            <v>18.3702288</v>
          </cell>
          <cell r="FF317">
            <v>18.3702288</v>
          </cell>
          <cell r="FH317">
            <v>-53.5</v>
          </cell>
          <cell r="FI317">
            <v>-100.605</v>
          </cell>
          <cell r="FK317">
            <v>18.5</v>
          </cell>
          <cell r="FN317">
            <v>-82.105000000000004</v>
          </cell>
          <cell r="FO317">
            <v>0</v>
          </cell>
          <cell r="FR317">
            <v>0</v>
          </cell>
          <cell r="FS317">
            <v>0</v>
          </cell>
          <cell r="FT317">
            <v>-117.23477119999995</v>
          </cell>
          <cell r="FV317">
            <v>-117.23477119999995</v>
          </cell>
          <cell r="FW317" t="str">
            <v>CAPITAL GAINS</v>
          </cell>
          <cell r="FX317">
            <v>-82.105000000000004</v>
          </cell>
          <cell r="FY317">
            <v>0</v>
          </cell>
          <cell r="GA317">
            <v>-82.105000000000004</v>
          </cell>
          <cell r="GB317">
            <v>-83.205987071557374</v>
          </cell>
          <cell r="GC317">
            <v>-35.129771199999993</v>
          </cell>
          <cell r="GD317">
            <v>-35.600843898592892</v>
          </cell>
          <cell r="GE317">
            <v>-35.129771199999993</v>
          </cell>
          <cell r="GF317">
            <v>3.8281991640543342</v>
          </cell>
          <cell r="GG317">
            <v>865.63440561724371</v>
          </cell>
          <cell r="GH317">
            <v>0</v>
          </cell>
        </row>
        <row r="318">
          <cell r="A318" t="str">
            <v>OTHER INCOME</v>
          </cell>
          <cell r="U318">
            <v>0</v>
          </cell>
          <cell r="AD318">
            <v>0</v>
          </cell>
          <cell r="AJ318">
            <v>0</v>
          </cell>
          <cell r="AT318">
            <v>0</v>
          </cell>
          <cell r="AX318">
            <v>0</v>
          </cell>
          <cell r="BO318">
            <v>-59</v>
          </cell>
          <cell r="CD318">
            <v>0</v>
          </cell>
          <cell r="CQ318">
            <v>0</v>
          </cell>
          <cell r="CT318">
            <v>-59</v>
          </cell>
          <cell r="CU318">
            <v>0</v>
          </cell>
          <cell r="CX318">
            <v>-59</v>
          </cell>
          <cell r="FS318">
            <v>0</v>
          </cell>
          <cell r="FT318">
            <v>0</v>
          </cell>
          <cell r="FW318" t="str">
            <v>OTHER INCOME</v>
          </cell>
          <cell r="FX318">
            <v>0</v>
          </cell>
          <cell r="FY318">
            <v>0</v>
          </cell>
          <cell r="GA318">
            <v>0</v>
          </cell>
          <cell r="GB318">
            <v>0</v>
          </cell>
          <cell r="GC318">
            <v>0</v>
          </cell>
          <cell r="GD318">
            <v>0</v>
          </cell>
          <cell r="GE318">
            <v>0</v>
          </cell>
          <cell r="GF318" t="e">
            <v>#DIV/0!</v>
          </cell>
          <cell r="GG318">
            <v>0</v>
          </cell>
          <cell r="GH318">
            <v>0</v>
          </cell>
        </row>
        <row r="319">
          <cell r="A319" t="str">
            <v>profit BEF. TAXES</v>
          </cell>
          <cell r="C319">
            <v>-5248.3209999999999</v>
          </cell>
          <cell r="E319">
            <v>-900.26299999999992</v>
          </cell>
          <cell r="G319">
            <v>1259.7846375279639</v>
          </cell>
          <cell r="I319">
            <v>-4888.7993624720366</v>
          </cell>
          <cell r="K319">
            <v>0</v>
          </cell>
          <cell r="M319">
            <v>-243.03250961538447</v>
          </cell>
          <cell r="O319">
            <v>-107</v>
          </cell>
          <cell r="Q319">
            <v>-26938.115999999998</v>
          </cell>
          <cell r="S319">
            <v>202.167</v>
          </cell>
          <cell r="U319">
            <v>-26735.949000000004</v>
          </cell>
          <cell r="W319">
            <v>3013</v>
          </cell>
          <cell r="X319">
            <v>-4400</v>
          </cell>
          <cell r="Z319">
            <v>-384.02600000000001</v>
          </cell>
          <cell r="AD319">
            <v>-28506.97500000002</v>
          </cell>
          <cell r="AF319">
            <v>-23.698999999999998</v>
          </cell>
          <cell r="AH319">
            <v>0</v>
          </cell>
          <cell r="AJ319">
            <v>-23.698999999999998</v>
          </cell>
          <cell r="AL319">
            <v>-17988.302999999996</v>
          </cell>
          <cell r="AN319">
            <v>44.588000000000001</v>
          </cell>
          <cell r="AP319">
            <v>-17967.413999999997</v>
          </cell>
          <cell r="AR319">
            <v>-1446.8339999999998</v>
          </cell>
          <cell r="AT319">
            <v>-53160.054872087465</v>
          </cell>
          <cell r="AV319">
            <v>167.0520000000015</v>
          </cell>
          <cell r="AX319">
            <v>-52993.002872087418</v>
          </cell>
          <cell r="AZ319" t="str">
            <v>profit BEF. TAXES</v>
          </cell>
          <cell r="BC319">
            <v>-10903.969129999998</v>
          </cell>
          <cell r="BE319">
            <v>-6478.8509999999997</v>
          </cell>
          <cell r="BG319">
            <v>-12601.23246358472</v>
          </cell>
          <cell r="BI319">
            <v>-29984.052593584722</v>
          </cell>
          <cell r="BM319">
            <v>-1033.9669999999996</v>
          </cell>
          <cell r="BO319">
            <v>-2148.2750000000001</v>
          </cell>
          <cell r="BQ319">
            <v>-49583.34</v>
          </cell>
          <cell r="BS319">
            <v>-571</v>
          </cell>
          <cell r="BU319">
            <v>-50154.34</v>
          </cell>
          <cell r="BW319">
            <v>14599</v>
          </cell>
          <cell r="BX319">
            <v>-14707</v>
          </cell>
          <cell r="BZ319">
            <v>-849.06600000000117</v>
          </cell>
          <cell r="CB319">
            <v>0</v>
          </cell>
          <cell r="CD319">
            <v>-51111.40600000001</v>
          </cell>
          <cell r="CF319">
            <v>131.46700000000004</v>
          </cell>
          <cell r="CH319">
            <v>0</v>
          </cell>
          <cell r="CJ319">
            <v>131.46700000000004</v>
          </cell>
          <cell r="CL319">
            <v>-53148</v>
          </cell>
          <cell r="CN319">
            <v>103</v>
          </cell>
          <cell r="CP319">
            <v>-52913.532999999996</v>
          </cell>
          <cell r="CQ319">
            <v>0</v>
          </cell>
          <cell r="CR319">
            <v>6482.66</v>
          </cell>
          <cell r="CT319">
            <v>-130708.7555935847</v>
          </cell>
          <cell r="CU319">
            <v>0.18199999997159466</v>
          </cell>
          <cell r="CV319">
            <v>582.15800000001036</v>
          </cell>
          <cell r="CX319">
            <v>-130126.59759358468</v>
          </cell>
          <cell r="FC319">
            <v>-26403.41</v>
          </cell>
          <cell r="FD319">
            <v>-1023.9667266</v>
          </cell>
          <cell r="FE319">
            <v>1535.8143145452436</v>
          </cell>
          <cell r="FF319">
            <v>-25891.562412054755</v>
          </cell>
          <cell r="FG319">
            <v>-1009.8980000000006</v>
          </cell>
          <cell r="FH319">
            <v>-1131</v>
          </cell>
          <cell r="FI319">
            <v>-70147.220999999932</v>
          </cell>
          <cell r="FJ319">
            <v>11433</v>
          </cell>
          <cell r="FK319">
            <v>-14668.5</v>
          </cell>
          <cell r="FL319">
            <v>-1178.8139999999994</v>
          </cell>
          <cell r="FM319">
            <v>0</v>
          </cell>
          <cell r="FN319">
            <v>-74561.535000000018</v>
          </cell>
          <cell r="FO319">
            <v>19.48</v>
          </cell>
          <cell r="FP319">
            <v>-57002.262000000002</v>
          </cell>
          <cell r="FQ319">
            <v>194</v>
          </cell>
          <cell r="FR319">
            <v>-56788.782000000007</v>
          </cell>
          <cell r="FS319">
            <v>141.00399999999991</v>
          </cell>
          <cell r="FT319">
            <v>-159241.77341205467</v>
          </cell>
          <cell r="FU319">
            <v>664.17799999999988</v>
          </cell>
          <cell r="FV319">
            <v>-158577.59541205465</v>
          </cell>
          <cell r="FW319" t="str">
            <v>profit BEF. TAXES</v>
          </cell>
          <cell r="FX319">
            <v>-74561.535000000018</v>
          </cell>
          <cell r="FY319">
            <v>-56788.782000000007</v>
          </cell>
          <cell r="FZ319">
            <v>-0.43684500000017579</v>
          </cell>
          <cell r="GA319">
            <v>-131350.75384499994</v>
          </cell>
          <cell r="GB319">
            <v>-133112.10189716073</v>
          </cell>
          <cell r="GC319">
            <v>-27226.841567054751</v>
          </cell>
          <cell r="GD319">
            <v>-27591.939923606355</v>
          </cell>
          <cell r="GE319">
            <v>-27226.841567054711</v>
          </cell>
          <cell r="GF319">
            <v>2.9924251659190455</v>
          </cell>
          <cell r="GG319">
            <v>-137078.72350524145</v>
          </cell>
          <cell r="GH319">
            <v>0</v>
          </cell>
        </row>
        <row r="320">
          <cell r="A320" t="str">
            <v>TAXES</v>
          </cell>
          <cell r="AZ320" t="str">
            <v>TAXES</v>
          </cell>
          <cell r="CD320">
            <v>0</v>
          </cell>
          <cell r="CQ320">
            <v>0</v>
          </cell>
          <cell r="CU320">
            <v>0</v>
          </cell>
          <cell r="FW320" t="str">
            <v>TAXES</v>
          </cell>
          <cell r="FX320">
            <v>0</v>
          </cell>
          <cell r="FY320">
            <v>0</v>
          </cell>
          <cell r="GA320">
            <v>0</v>
          </cell>
          <cell r="GB320">
            <v>0</v>
          </cell>
          <cell r="GC320">
            <v>0</v>
          </cell>
          <cell r="GD320">
            <v>0</v>
          </cell>
          <cell r="GE320">
            <v>0</v>
          </cell>
          <cell r="GF320" t="e">
            <v>#DIV/0!</v>
          </cell>
          <cell r="GH320">
            <v>0</v>
          </cell>
        </row>
        <row r="321">
          <cell r="A321" t="str">
            <v>current taxes</v>
          </cell>
          <cell r="C321">
            <v>0</v>
          </cell>
          <cell r="G321">
            <v>5024.8173076923076</v>
          </cell>
          <cell r="I321">
            <v>5024.8173076923076</v>
          </cell>
          <cell r="O321">
            <v>138.5</v>
          </cell>
          <cell r="X321">
            <v>984</v>
          </cell>
          <cell r="Z321">
            <v>96.777692307692305</v>
          </cell>
          <cell r="AD321">
            <v>1080.7776923076924</v>
          </cell>
          <cell r="AL321">
            <v>5504</v>
          </cell>
          <cell r="AP321">
            <v>5504</v>
          </cell>
          <cell r="AT321">
            <v>11748.095000000001</v>
          </cell>
          <cell r="AX321">
            <v>11748.095000000001</v>
          </cell>
          <cell r="AZ321" t="str">
            <v>current taxes</v>
          </cell>
          <cell r="BA321" t="str">
            <v>=-'ני"ע 2'!BO28-'ני"ע 2'!BO22-'ני"ע 2'!BO18</v>
          </cell>
          <cell r="BG321">
            <v>20714.29</v>
          </cell>
          <cell r="BI321">
            <v>20714.29</v>
          </cell>
          <cell r="BO321">
            <v>462</v>
          </cell>
          <cell r="BX321">
            <v>3833</v>
          </cell>
          <cell r="BZ321">
            <v>379.947</v>
          </cell>
          <cell r="CD321">
            <v>4212.9470000000001</v>
          </cell>
          <cell r="CL321">
            <v>19761</v>
          </cell>
          <cell r="CP321">
            <v>19761</v>
          </cell>
          <cell r="CQ321">
            <v>0</v>
          </cell>
          <cell r="CT321">
            <v>45150.237000000001</v>
          </cell>
          <cell r="CU321">
            <v>0</v>
          </cell>
          <cell r="CX321">
            <v>45150.237000000001</v>
          </cell>
          <cell r="FC321">
            <v>1040.6279999999999</v>
          </cell>
          <cell r="FE321">
            <v>20714.29</v>
          </cell>
          <cell r="FF321">
            <v>21754.918000000001</v>
          </cell>
          <cell r="FH321">
            <v>528</v>
          </cell>
          <cell r="FK321">
            <v>4582.5</v>
          </cell>
          <cell r="FL321">
            <v>391</v>
          </cell>
          <cell r="FN321">
            <v>4973.5</v>
          </cell>
          <cell r="FP321">
            <v>19980</v>
          </cell>
          <cell r="FR321">
            <v>19980</v>
          </cell>
          <cell r="FS321">
            <v>0</v>
          </cell>
          <cell r="FT321">
            <v>47236.418000000005</v>
          </cell>
          <cell r="FV321">
            <v>47236.418000000005</v>
          </cell>
          <cell r="FW321" t="str">
            <v>current taxes</v>
          </cell>
          <cell r="FX321">
            <v>4973.5</v>
          </cell>
          <cell r="FY321">
            <v>19980</v>
          </cell>
          <cell r="GA321">
            <v>24953.5</v>
          </cell>
          <cell r="GB321">
            <v>25288.113980757669</v>
          </cell>
          <cell r="GC321">
            <v>22282.918000000005</v>
          </cell>
          <cell r="GD321">
            <v>22581.720809019847</v>
          </cell>
          <cell r="GE321">
            <v>22282.918000000005</v>
          </cell>
          <cell r="GF321">
            <v>4.0207725592957839</v>
          </cell>
          <cell r="GG321">
            <v>40991.492295231874</v>
          </cell>
          <cell r="GH321">
            <v>0</v>
          </cell>
        </row>
        <row r="322">
          <cell r="FE322">
            <v>-946.06590812995842</v>
          </cell>
          <cell r="FF322">
            <v>-946.06590812995842</v>
          </cell>
          <cell r="FT322">
            <v>-946.06590812995842</v>
          </cell>
          <cell r="FV322">
            <v>-946.06590812995842</v>
          </cell>
          <cell r="FX322">
            <v>0</v>
          </cell>
          <cell r="FY322">
            <v>0</v>
          </cell>
          <cell r="GA322">
            <v>0</v>
          </cell>
          <cell r="GB322">
            <v>0</v>
          </cell>
          <cell r="GC322">
            <v>-946.06590812995842</v>
          </cell>
          <cell r="GD322">
            <v>-958.75217977836371</v>
          </cell>
          <cell r="GE322">
            <v>-946.06590812995842</v>
          </cell>
          <cell r="GF322" t="e">
            <v>#DIV/0!</v>
          </cell>
        </row>
        <row r="323">
          <cell r="A323" t="str">
            <v>deferred taxes</v>
          </cell>
          <cell r="G323">
            <v>1706.8080782126697</v>
          </cell>
          <cell r="I323">
            <v>1706.8080782126697</v>
          </cell>
          <cell r="O323">
            <v>56</v>
          </cell>
          <cell r="X323">
            <v>747.5</v>
          </cell>
          <cell r="Z323">
            <v>51</v>
          </cell>
          <cell r="AD323">
            <v>798.5</v>
          </cell>
          <cell r="AL323">
            <v>1725</v>
          </cell>
          <cell r="AP323">
            <v>1725</v>
          </cell>
          <cell r="AT323">
            <v>4286.3080782126699</v>
          </cell>
          <cell r="AX323">
            <v>4286.3080782126699</v>
          </cell>
          <cell r="AZ323" t="str">
            <v>deferred taxes</v>
          </cell>
          <cell r="BI323">
            <v>0</v>
          </cell>
          <cell r="BO323">
            <v>-572</v>
          </cell>
          <cell r="BX323">
            <v>353.5</v>
          </cell>
          <cell r="BZ323">
            <v>-146</v>
          </cell>
          <cell r="CD323">
            <v>207.5</v>
          </cell>
          <cell r="CL323">
            <v>0</v>
          </cell>
          <cell r="CP323">
            <v>0</v>
          </cell>
          <cell r="CQ323">
            <v>0</v>
          </cell>
          <cell r="CT323">
            <v>-364.5</v>
          </cell>
          <cell r="CU323">
            <v>0</v>
          </cell>
          <cell r="CX323">
            <v>-364.5</v>
          </cell>
          <cell r="FE323">
            <v>1121.7408198399999</v>
          </cell>
          <cell r="FF323">
            <v>1121.7408198399999</v>
          </cell>
          <cell r="FH323">
            <v>84</v>
          </cell>
          <cell r="FL323">
            <v>7</v>
          </cell>
          <cell r="FN323">
            <v>7</v>
          </cell>
          <cell r="FP323">
            <v>731</v>
          </cell>
          <cell r="FR323">
            <v>731</v>
          </cell>
          <cell r="FS323">
            <v>0</v>
          </cell>
          <cell r="FT323">
            <v>1943.7408198399999</v>
          </cell>
          <cell r="FV323">
            <v>1943.7408198399999</v>
          </cell>
          <cell r="FW323" t="str">
            <v>deferred taxes</v>
          </cell>
          <cell r="FX323">
            <v>7</v>
          </cell>
          <cell r="FY323">
            <v>731</v>
          </cell>
          <cell r="FZ323">
            <v>18203</v>
          </cell>
          <cell r="GA323">
            <v>18941</v>
          </cell>
          <cell r="GB323">
            <v>19194.989356584483</v>
          </cell>
          <cell r="GC323">
            <v>-16997.259180159999</v>
          </cell>
          <cell r="GD323">
            <v>-17225.183942467618</v>
          </cell>
          <cell r="GE323">
            <v>-16997.259180159999</v>
          </cell>
          <cell r="GF323">
            <v>0.45347669471544666</v>
          </cell>
          <cell r="GG323">
            <v>2407.3610904884972</v>
          </cell>
          <cell r="GH323">
            <v>0</v>
          </cell>
        </row>
        <row r="324">
          <cell r="A324" t="str">
            <v>Total Taxes</v>
          </cell>
          <cell r="C324">
            <v>0</v>
          </cell>
          <cell r="E324">
            <v>0</v>
          </cell>
          <cell r="G324">
            <v>6731.6253859049775</v>
          </cell>
          <cell r="I324">
            <v>6731.6253859049775</v>
          </cell>
          <cell r="O324">
            <v>194.5</v>
          </cell>
          <cell r="Q324">
            <v>0</v>
          </cell>
          <cell r="S324">
            <v>0</v>
          </cell>
          <cell r="U324">
            <v>0</v>
          </cell>
          <cell r="W324">
            <v>0</v>
          </cell>
          <cell r="X324">
            <v>1732.5</v>
          </cell>
          <cell r="Z324">
            <v>147.77769230769229</v>
          </cell>
          <cell r="AB324">
            <v>0</v>
          </cell>
          <cell r="AD324">
            <v>1879.2776923076924</v>
          </cell>
          <cell r="AF324">
            <v>0</v>
          </cell>
          <cell r="AJ324">
            <v>0</v>
          </cell>
          <cell r="AL324">
            <v>7229</v>
          </cell>
          <cell r="AP324">
            <v>7229</v>
          </cell>
          <cell r="AT324">
            <v>16034.403078212672</v>
          </cell>
          <cell r="AX324">
            <v>16034.403078212672</v>
          </cell>
          <cell r="AZ324" t="str">
            <v>Total Taxes</v>
          </cell>
          <cell r="BC324">
            <v>0</v>
          </cell>
          <cell r="BG324">
            <v>20714.29</v>
          </cell>
          <cell r="BI324">
            <v>20714.29</v>
          </cell>
          <cell r="BM324">
            <v>0</v>
          </cell>
          <cell r="BO324">
            <v>-110</v>
          </cell>
          <cell r="BQ324">
            <v>0</v>
          </cell>
          <cell r="BS324">
            <v>0</v>
          </cell>
          <cell r="BU324">
            <v>0</v>
          </cell>
          <cell r="BW324">
            <v>0</v>
          </cell>
          <cell r="BX324">
            <v>4186.5</v>
          </cell>
          <cell r="BZ324">
            <v>233.947</v>
          </cell>
          <cell r="CB324">
            <v>0</v>
          </cell>
          <cell r="CD324">
            <v>4420.4470000000001</v>
          </cell>
          <cell r="CF324">
            <v>0</v>
          </cell>
          <cell r="CH324">
            <v>0</v>
          </cell>
          <cell r="CJ324">
            <v>0</v>
          </cell>
          <cell r="CL324">
            <v>19761</v>
          </cell>
          <cell r="CN324">
            <v>0</v>
          </cell>
          <cell r="CP324">
            <v>19761</v>
          </cell>
          <cell r="CQ324">
            <v>0</v>
          </cell>
          <cell r="CR324">
            <v>0</v>
          </cell>
          <cell r="CT324">
            <v>44785.737000000001</v>
          </cell>
          <cell r="CU324">
            <v>0</v>
          </cell>
          <cell r="CV324">
            <v>0</v>
          </cell>
          <cell r="CX324">
            <v>44785.737000000001</v>
          </cell>
          <cell r="FC324">
            <v>1040.6279999999999</v>
          </cell>
          <cell r="FD324">
            <v>0</v>
          </cell>
          <cell r="FE324">
            <v>20889.964911710042</v>
          </cell>
          <cell r="FF324">
            <v>21930.592911710042</v>
          </cell>
          <cell r="FG324">
            <v>0</v>
          </cell>
          <cell r="FH324">
            <v>612</v>
          </cell>
          <cell r="FI324">
            <v>0</v>
          </cell>
          <cell r="FJ324">
            <v>0</v>
          </cell>
          <cell r="FK324">
            <v>4582.5</v>
          </cell>
          <cell r="FL324">
            <v>398</v>
          </cell>
          <cell r="FM324">
            <v>0</v>
          </cell>
          <cell r="FN324">
            <v>4980.5</v>
          </cell>
          <cell r="FO324">
            <v>0</v>
          </cell>
          <cell r="FP324">
            <v>20711</v>
          </cell>
          <cell r="FQ324">
            <v>0</v>
          </cell>
          <cell r="FR324">
            <v>20711</v>
          </cell>
          <cell r="FS324">
            <v>0</v>
          </cell>
          <cell r="FT324">
            <v>48234.092911710046</v>
          </cell>
          <cell r="FU324">
            <v>0</v>
          </cell>
          <cell r="FV324">
            <v>48234.092911710046</v>
          </cell>
          <cell r="FW324" t="str">
            <v>Total Taxes</v>
          </cell>
          <cell r="FX324">
            <v>4980.5</v>
          </cell>
          <cell r="FY324">
            <v>20711</v>
          </cell>
          <cell r="FZ324">
            <v>18203</v>
          </cell>
          <cell r="GA324">
            <v>43894.5</v>
          </cell>
          <cell r="GB324">
            <v>52229.220466626575</v>
          </cell>
          <cell r="GC324">
            <v>4339.5929117100459</v>
          </cell>
          <cell r="GD324">
            <v>4499.5593761304517</v>
          </cell>
          <cell r="GE324">
            <v>4339.5929117100459</v>
          </cell>
          <cell r="GF324">
            <v>3.008162678487849</v>
          </cell>
          <cell r="GG324">
            <v>43398.803937654775</v>
          </cell>
          <cell r="GH324">
            <v>0</v>
          </cell>
        </row>
        <row r="325">
          <cell r="AD325">
            <v>0</v>
          </cell>
          <cell r="AT325">
            <v>0</v>
          </cell>
          <cell r="CD325">
            <v>0</v>
          </cell>
          <cell r="CQ325">
            <v>0</v>
          </cell>
          <cell r="CT325">
            <v>0</v>
          </cell>
          <cell r="CU325">
            <v>0</v>
          </cell>
          <cell r="FN325">
            <v>0</v>
          </cell>
          <cell r="FS325">
            <v>0</v>
          </cell>
          <cell r="FX325">
            <v>0</v>
          </cell>
          <cell r="FY325">
            <v>0</v>
          </cell>
          <cell r="GA325">
            <v>0</v>
          </cell>
          <cell r="GB325">
            <v>0</v>
          </cell>
          <cell r="GC325">
            <v>0</v>
          </cell>
          <cell r="GD325">
            <v>0</v>
          </cell>
          <cell r="GE325">
            <v>0</v>
          </cell>
          <cell r="GF325" t="e">
            <v>#DIV/0!</v>
          </cell>
          <cell r="GH325">
            <v>0</v>
          </cell>
        </row>
        <row r="326">
          <cell r="A326" t="str">
            <v xml:space="preserve">MIN.INT.IN P.RESULTS </v>
          </cell>
          <cell r="I326">
            <v>0</v>
          </cell>
          <cell r="O326">
            <v>-20</v>
          </cell>
          <cell r="U326">
            <v>0</v>
          </cell>
          <cell r="AB326">
            <v>71</v>
          </cell>
          <cell r="AD326">
            <v>71</v>
          </cell>
          <cell r="AH326">
            <v>0</v>
          </cell>
          <cell r="AJ326">
            <v>0</v>
          </cell>
          <cell r="AL326">
            <v>0</v>
          </cell>
          <cell r="AN326">
            <v>3502</v>
          </cell>
          <cell r="AP326">
            <v>3502</v>
          </cell>
          <cell r="AT326">
            <v>3553</v>
          </cell>
          <cell r="AV326">
            <v>10596</v>
          </cell>
          <cell r="AX326">
            <v>14149</v>
          </cell>
          <cell r="AZ326" t="str">
            <v xml:space="preserve">MIN.INT.IN P.RESULTS </v>
          </cell>
          <cell r="BI326">
            <v>0</v>
          </cell>
          <cell r="BO326">
            <v>-85.5</v>
          </cell>
          <cell r="BU326">
            <v>0</v>
          </cell>
          <cell r="CB326">
            <v>185</v>
          </cell>
          <cell r="CD326">
            <v>185</v>
          </cell>
          <cell r="CH326">
            <v>0</v>
          </cell>
          <cell r="CJ326">
            <v>0</v>
          </cell>
          <cell r="CL326">
            <v>0</v>
          </cell>
          <cell r="CN326">
            <v>10867</v>
          </cell>
          <cell r="CP326">
            <v>10867</v>
          </cell>
          <cell r="CQ326">
            <v>0</v>
          </cell>
          <cell r="CT326">
            <v>10966.5</v>
          </cell>
          <cell r="CU326">
            <v>0</v>
          </cell>
          <cell r="CV326">
            <v>18799</v>
          </cell>
          <cell r="CX326">
            <v>29765.5</v>
          </cell>
          <cell r="FH326">
            <v>-84</v>
          </cell>
          <cell r="FM326">
            <v>235</v>
          </cell>
          <cell r="FN326">
            <v>235</v>
          </cell>
          <cell r="FO326">
            <v>0</v>
          </cell>
          <cell r="FP326">
            <v>0</v>
          </cell>
          <cell r="FQ326">
            <v>11813</v>
          </cell>
          <cell r="FR326">
            <v>11813</v>
          </cell>
          <cell r="FS326">
            <v>0</v>
          </cell>
          <cell r="FT326">
            <v>11964</v>
          </cell>
          <cell r="FU326">
            <v>27632.611900000007</v>
          </cell>
          <cell r="FV326">
            <v>39596.611900000004</v>
          </cell>
          <cell r="FW326" t="str">
            <v xml:space="preserve">MIN.INT.IN P.RESULTS </v>
          </cell>
          <cell r="FX326">
            <v>235</v>
          </cell>
          <cell r="FY326">
            <v>11813</v>
          </cell>
          <cell r="FZ326">
            <v>27674.913100000009</v>
          </cell>
          <cell r="GA326">
            <v>39722.913100000005</v>
          </cell>
          <cell r="GB326">
            <v>40255.577539043894</v>
          </cell>
          <cell r="GC326">
            <v>-126.3012000000017</v>
          </cell>
          <cell r="GD326">
            <v>-127.99483605532343</v>
          </cell>
          <cell r="GE326">
            <v>-126.3012000000017</v>
          </cell>
          <cell r="GF326">
            <v>2.7985449077673334</v>
          </cell>
          <cell r="GG326">
            <v>38553.507049408297</v>
          </cell>
          <cell r="GH326">
            <v>0</v>
          </cell>
        </row>
        <row r="327">
          <cell r="A327" t="str">
            <v>PROVISION for losses on other investments</v>
          </cell>
          <cell r="E327">
            <v>0</v>
          </cell>
          <cell r="G327">
            <v>0</v>
          </cell>
          <cell r="I327">
            <v>0</v>
          </cell>
          <cell r="M327">
            <v>0</v>
          </cell>
          <cell r="AT327">
            <v>0</v>
          </cell>
          <cell r="AX327">
            <v>0</v>
          </cell>
          <cell r="AZ327" t="str">
            <v>PROVISION for losses on other investments</v>
          </cell>
          <cell r="BG327">
            <v>0</v>
          </cell>
          <cell r="BI327">
            <v>0</v>
          </cell>
          <cell r="CD327">
            <v>0</v>
          </cell>
          <cell r="CQ327">
            <v>0</v>
          </cell>
          <cell r="CT327">
            <v>0</v>
          </cell>
          <cell r="CU327">
            <v>0</v>
          </cell>
          <cell r="CX327">
            <v>0</v>
          </cell>
          <cell r="FG327">
            <v>0</v>
          </cell>
          <cell r="FS327">
            <v>0</v>
          </cell>
          <cell r="FT327">
            <v>0</v>
          </cell>
          <cell r="FV327">
            <v>0</v>
          </cell>
          <cell r="FW327" t="str">
            <v>PROVISION for losses on other investments</v>
          </cell>
          <cell r="FX327">
            <v>0</v>
          </cell>
          <cell r="FY327">
            <v>0</v>
          </cell>
          <cell r="GA327">
            <v>0</v>
          </cell>
          <cell r="GB327">
            <v>0</v>
          </cell>
          <cell r="GC327">
            <v>0</v>
          </cell>
          <cell r="GD327">
            <v>0</v>
          </cell>
          <cell r="GE327">
            <v>0</v>
          </cell>
          <cell r="GF327" t="e">
            <v>#DIV/0!</v>
          </cell>
          <cell r="GG327">
            <v>0</v>
          </cell>
          <cell r="GH327">
            <v>0</v>
          </cell>
        </row>
        <row r="328">
          <cell r="A328" t="str">
            <v>EQUITY profit</v>
          </cell>
          <cell r="C328">
            <v>-14585.843999999999</v>
          </cell>
          <cell r="G328">
            <v>-4394.7905096153845</v>
          </cell>
          <cell r="I328">
            <v>-18980.634509615382</v>
          </cell>
          <cell r="M328">
            <v>0</v>
          </cell>
          <cell r="Q328">
            <v>916.93718461538447</v>
          </cell>
          <cell r="U328">
            <v>916.93718461538447</v>
          </cell>
          <cell r="W328">
            <v>-598</v>
          </cell>
          <cell r="X328">
            <v>253</v>
          </cell>
          <cell r="AB328">
            <v>165</v>
          </cell>
          <cell r="AD328">
            <v>736.93718461538447</v>
          </cell>
          <cell r="AF328">
            <v>44.587999999999994</v>
          </cell>
          <cell r="AH328">
            <v>-7257</v>
          </cell>
          <cell r="AJ328">
            <v>-7212.4120000000003</v>
          </cell>
          <cell r="AL328">
            <v>0</v>
          </cell>
          <cell r="AN328">
            <v>7212.4120000000003</v>
          </cell>
          <cell r="AP328">
            <v>0</v>
          </cell>
          <cell r="AT328">
            <v>-18243.697324999997</v>
          </cell>
          <cell r="AV328">
            <v>23915.480509615383</v>
          </cell>
          <cell r="AX328">
            <v>5671.7831846153858</v>
          </cell>
          <cell r="AZ328" t="str">
            <v>EQUITY profit</v>
          </cell>
          <cell r="BC328">
            <v>-21103.220999999998</v>
          </cell>
          <cell r="BE328">
            <v>0</v>
          </cell>
          <cell r="BG328">
            <v>7606.4459999999999</v>
          </cell>
          <cell r="BI328">
            <v>-13496.774999999998</v>
          </cell>
          <cell r="BQ328">
            <v>6114.8050000000003</v>
          </cell>
          <cell r="BS328">
            <v>571</v>
          </cell>
          <cell r="BU328">
            <v>6685.8050000000003</v>
          </cell>
          <cell r="BW328">
            <v>-5272.5</v>
          </cell>
          <cell r="BX328">
            <v>1194</v>
          </cell>
          <cell r="CB328">
            <v>436</v>
          </cell>
          <cell r="CD328">
            <v>3043.3050000000003</v>
          </cell>
          <cell r="CF328">
            <v>103.188</v>
          </cell>
          <cell r="CH328">
            <v>-22520.205999999998</v>
          </cell>
          <cell r="CJ328">
            <v>-22417.018</v>
          </cell>
          <cell r="CN328">
            <v>22417.205999999998</v>
          </cell>
          <cell r="CP328">
            <v>0.18799999999828287</v>
          </cell>
          <cell r="CQ328">
            <v>0</v>
          </cell>
          <cell r="CR328">
            <v>0</v>
          </cell>
          <cell r="CT328">
            <v>-10453.281999999999</v>
          </cell>
          <cell r="CU328">
            <v>0</v>
          </cell>
          <cell r="CV328">
            <v>43266.383999999998</v>
          </cell>
          <cell r="CX328">
            <v>32813.101999999999</v>
          </cell>
          <cell r="FC328">
            <v>-36973.22</v>
          </cell>
          <cell r="FD328">
            <v>0</v>
          </cell>
          <cell r="FE328">
            <v>224.10099999999937</v>
          </cell>
          <cell r="FF328">
            <v>-36749.118999999992</v>
          </cell>
          <cell r="FG328">
            <v>0</v>
          </cell>
          <cell r="FI328">
            <v>5559.44</v>
          </cell>
          <cell r="FJ328">
            <v>-4409</v>
          </cell>
          <cell r="FK328">
            <v>3062</v>
          </cell>
          <cell r="FM328">
            <v>546</v>
          </cell>
          <cell r="FN328">
            <v>4758.4399999999996</v>
          </cell>
          <cell r="FO328">
            <v>-24283.595218999999</v>
          </cell>
          <cell r="FP328">
            <v>0</v>
          </cell>
          <cell r="FQ328">
            <v>24283.595218999999</v>
          </cell>
          <cell r="FR328">
            <v>0</v>
          </cell>
          <cell r="FS328">
            <v>0</v>
          </cell>
          <cell r="FT328">
            <v>-31990.678999999993</v>
          </cell>
          <cell r="FU328">
            <v>62028.164600000004</v>
          </cell>
          <cell r="FV328">
            <v>30037.485600000011</v>
          </cell>
          <cell r="FW328" t="str">
            <v>EQUITY profit</v>
          </cell>
          <cell r="FX328">
            <v>4758.4399999999996</v>
          </cell>
          <cell r="FY328">
            <v>0</v>
          </cell>
          <cell r="GA328">
            <v>4758.4399999999996</v>
          </cell>
          <cell r="GB328">
            <v>4822.2483054720369</v>
          </cell>
          <cell r="GC328">
            <v>25279.045600000012</v>
          </cell>
          <cell r="GD328">
            <v>25618.024984774514</v>
          </cell>
          <cell r="GE328">
            <v>25279.045600000012</v>
          </cell>
          <cell r="GF328">
            <v>5.2959509597398178</v>
          </cell>
          <cell r="GG328">
            <v>31858.839444541212</v>
          </cell>
          <cell r="GH328">
            <v>0</v>
          </cell>
        </row>
        <row r="329">
          <cell r="A329" t="str">
            <v>profit FOR THE PERIOD</v>
          </cell>
          <cell r="C329">
            <v>-19834.165000000001</v>
          </cell>
          <cell r="E329">
            <v>-900.26299999999992</v>
          </cell>
          <cell r="G329">
            <v>3596.6195138175572</v>
          </cell>
          <cell r="I329">
            <v>-17137.808486182439</v>
          </cell>
          <cell r="M329">
            <v>-243.03250961538447</v>
          </cell>
          <cell r="O329">
            <v>67.5</v>
          </cell>
          <cell r="Q329">
            <v>-26021.178815384614</v>
          </cell>
          <cell r="S329">
            <v>202.167</v>
          </cell>
          <cell r="U329">
            <v>-25819.01181538462</v>
          </cell>
          <cell r="W329">
            <v>2415</v>
          </cell>
          <cell r="X329">
            <v>-2414.5</v>
          </cell>
          <cell r="Z329">
            <v>-236.24830769230772</v>
          </cell>
          <cell r="AB329">
            <v>236</v>
          </cell>
          <cell r="AD329">
            <v>-25819.760123076943</v>
          </cell>
          <cell r="AF329">
            <v>20.888999999999996</v>
          </cell>
          <cell r="AH329">
            <v>-7257</v>
          </cell>
          <cell r="AJ329">
            <v>-7236.1109999999999</v>
          </cell>
          <cell r="AL329">
            <v>-10759.302999999996</v>
          </cell>
          <cell r="AN329">
            <v>10759</v>
          </cell>
          <cell r="AP329">
            <v>-7236.413999999997</v>
          </cell>
          <cell r="AR329">
            <v>-1446.8339999999998</v>
          </cell>
          <cell r="AT329">
            <v>-51816.349118874787</v>
          </cell>
          <cell r="AV329">
            <v>34678.532509615383</v>
          </cell>
          <cell r="AX329">
            <v>-17137.81660925936</v>
          </cell>
          <cell r="AZ329" t="str">
            <v>profit FOR THE PERIOD</v>
          </cell>
          <cell r="BC329">
            <v>-32007.190129999995</v>
          </cell>
          <cell r="BE329">
            <v>-6478.8509999999997</v>
          </cell>
          <cell r="BG329">
            <v>15719.503536415281</v>
          </cell>
          <cell r="BI329">
            <v>-22766.537593584719</v>
          </cell>
          <cell r="BM329">
            <v>-1033.9669999999996</v>
          </cell>
          <cell r="BO329">
            <v>-2343.7750000000001</v>
          </cell>
          <cell r="BQ329">
            <v>-43468.535000000011</v>
          </cell>
          <cell r="BS329">
            <v>0</v>
          </cell>
          <cell r="BU329">
            <v>-43468.535000000011</v>
          </cell>
          <cell r="BW329">
            <v>9326.5</v>
          </cell>
          <cell r="BX329">
            <v>-9326.5</v>
          </cell>
          <cell r="BZ329">
            <v>-615.11900000000117</v>
          </cell>
          <cell r="CB329">
            <v>621</v>
          </cell>
          <cell r="CD329">
            <v>-43462.65400000001</v>
          </cell>
          <cell r="CF329">
            <v>234.655</v>
          </cell>
          <cell r="CH329">
            <v>-22520.205999999998</v>
          </cell>
          <cell r="CJ329">
            <v>-22285.550999999999</v>
          </cell>
          <cell r="CL329">
            <v>-33387</v>
          </cell>
          <cell r="CN329">
            <v>33387.205999999998</v>
          </cell>
          <cell r="CP329">
            <v>-22285.344999999998</v>
          </cell>
          <cell r="CQ329">
            <v>0</v>
          </cell>
          <cell r="CR329">
            <v>6482.66</v>
          </cell>
          <cell r="CT329">
            <v>-85409.800593584718</v>
          </cell>
          <cell r="CU329">
            <v>0.18200000000069849</v>
          </cell>
          <cell r="CV329">
            <v>62647.542000000009</v>
          </cell>
          <cell r="CX329">
            <v>-22762.258593584687</v>
          </cell>
          <cell r="FC329">
            <v>-62336.001999999993</v>
          </cell>
          <cell r="FD329">
            <v>-1023.9667266</v>
          </cell>
          <cell r="FE329">
            <v>22649.880226255285</v>
          </cell>
          <cell r="FF329">
            <v>-40710.088500344704</v>
          </cell>
          <cell r="FG329">
            <v>-1009.8980000000006</v>
          </cell>
          <cell r="FH329">
            <v>-603</v>
          </cell>
          <cell r="FI329">
            <v>-64587.78099999993</v>
          </cell>
          <cell r="FJ329">
            <v>7024</v>
          </cell>
          <cell r="FK329">
            <v>-7024</v>
          </cell>
          <cell r="FL329">
            <v>-780.8139999999994</v>
          </cell>
          <cell r="FM329">
            <v>781</v>
          </cell>
          <cell r="FN329">
            <v>-64587.595000000016</v>
          </cell>
          <cell r="FO329">
            <v>-24264.115218999999</v>
          </cell>
          <cell r="FP329">
            <v>-36291.262000000002</v>
          </cell>
          <cell r="FQ329">
            <v>36290.595218999995</v>
          </cell>
          <cell r="FR329">
            <v>-24264.782000000007</v>
          </cell>
          <cell r="FS329">
            <v>141.00399999999991</v>
          </cell>
          <cell r="FT329">
            <v>-131034.35950034461</v>
          </cell>
          <cell r="FU329">
            <v>90324.954500000007</v>
          </cell>
          <cell r="FV329">
            <v>-40709.405000344588</v>
          </cell>
          <cell r="FW329" t="str">
            <v>profit FOR THE PERIOD</v>
          </cell>
          <cell r="FX329">
            <v>-64587.595000000016</v>
          </cell>
          <cell r="FY329">
            <v>-24264.782000000007</v>
          </cell>
          <cell r="FZ329">
            <v>45877.476255000001</v>
          </cell>
          <cell r="GA329">
            <v>-42974.900744999934</v>
          </cell>
          <cell r="GB329">
            <v>-43551.172715302695</v>
          </cell>
          <cell r="GC329">
            <v>2265.4957446553053</v>
          </cell>
          <cell r="GD329">
            <v>2295.8749118867022</v>
          </cell>
          <cell r="GE329">
            <v>2265.4957446553453</v>
          </cell>
          <cell r="GF329">
            <v>2.3754137372639277</v>
          </cell>
          <cell r="GG329">
            <v>-23267.573073637159</v>
          </cell>
          <cell r="GH329">
            <v>0</v>
          </cell>
        </row>
        <row r="330">
          <cell r="A330" t="str">
            <v>DIVIDEND</v>
          </cell>
          <cell r="E330">
            <v>0</v>
          </cell>
          <cell r="G330">
            <v>0</v>
          </cell>
          <cell r="I330">
            <v>0</v>
          </cell>
          <cell r="O330">
            <v>0</v>
          </cell>
          <cell r="Q330">
            <v>0</v>
          </cell>
          <cell r="S330">
            <v>0</v>
          </cell>
          <cell r="U330">
            <v>0</v>
          </cell>
          <cell r="AD330">
            <v>0</v>
          </cell>
          <cell r="AH330">
            <v>4927.4849999999997</v>
          </cell>
          <cell r="AJ330">
            <v>4927.4849999999997</v>
          </cell>
          <cell r="AL330">
            <v>7305.3890000000001</v>
          </cell>
          <cell r="AN330">
            <v>-7305.3890000000001</v>
          </cell>
          <cell r="AP330">
            <v>4927.4849999999997</v>
          </cell>
          <cell r="AR330">
            <v>0</v>
          </cell>
          <cell r="AT330">
            <v>4927.4849999999997</v>
          </cell>
          <cell r="AV330">
            <v>-4927.4849999999997</v>
          </cell>
          <cell r="AX330">
            <v>0</v>
          </cell>
          <cell r="AZ330" t="str">
            <v>DIVIDEND</v>
          </cell>
          <cell r="BC330">
            <v>0</v>
          </cell>
          <cell r="BE330">
            <v>0</v>
          </cell>
          <cell r="BG330">
            <v>0</v>
          </cell>
          <cell r="BI330">
            <v>0</v>
          </cell>
          <cell r="BO330">
            <v>0</v>
          </cell>
          <cell r="BQ330">
            <v>0</v>
          </cell>
          <cell r="BS330">
            <v>0</v>
          </cell>
          <cell r="BU330">
            <v>0</v>
          </cell>
          <cell r="CB330">
            <v>0</v>
          </cell>
          <cell r="CD330">
            <v>0</v>
          </cell>
          <cell r="CH330">
            <v>20572</v>
          </cell>
          <cell r="CJ330">
            <v>20572</v>
          </cell>
          <cell r="CL330">
            <v>30500</v>
          </cell>
          <cell r="CN330">
            <v>-30500</v>
          </cell>
          <cell r="CP330">
            <v>20572</v>
          </cell>
          <cell r="CQ330">
            <v>0</v>
          </cell>
          <cell r="CR330">
            <v>0</v>
          </cell>
          <cell r="CT330">
            <v>20572</v>
          </cell>
          <cell r="CU330">
            <v>0</v>
          </cell>
          <cell r="CV330">
            <v>-20572</v>
          </cell>
          <cell r="CX330">
            <v>0</v>
          </cell>
          <cell r="FC330">
            <v>0</v>
          </cell>
          <cell r="FE330">
            <v>0</v>
          </cell>
          <cell r="FO330">
            <v>20572</v>
          </cell>
          <cell r="FP330">
            <v>30500</v>
          </cell>
          <cell r="FQ330">
            <v>-30500</v>
          </cell>
          <cell r="FR330">
            <v>20572</v>
          </cell>
          <cell r="FS330">
            <v>0</v>
          </cell>
          <cell r="FT330">
            <v>20572</v>
          </cell>
          <cell r="FU330">
            <v>-20572</v>
          </cell>
          <cell r="FV330">
            <v>0</v>
          </cell>
          <cell r="FW330" t="str">
            <v>DIVIDEND</v>
          </cell>
          <cell r="FX330">
            <v>0</v>
          </cell>
          <cell r="FY330">
            <v>20572</v>
          </cell>
          <cell r="GA330">
            <v>20572</v>
          </cell>
          <cell r="GB330">
            <v>20847.860252555623</v>
          </cell>
          <cell r="GC330">
            <v>0</v>
          </cell>
          <cell r="GD330">
            <v>0</v>
          </cell>
          <cell r="GE330">
            <v>-20572</v>
          </cell>
          <cell r="GF330" t="e">
            <v>#DIV/0!</v>
          </cell>
          <cell r="GG330">
            <v>105316.38551992163</v>
          </cell>
          <cell r="GH330">
            <v>0</v>
          </cell>
        </row>
        <row r="331">
          <cell r="A331" t="str">
            <v>profit AT BEG.OF PERIOD</v>
          </cell>
          <cell r="C331">
            <v>-4484.8019999999997</v>
          </cell>
          <cell r="E331">
            <v>-17308.024000000001</v>
          </cell>
          <cell r="G331">
            <v>0</v>
          </cell>
          <cell r="I331">
            <v>-21792.826000000001</v>
          </cell>
          <cell r="O331">
            <v>-1047</v>
          </cell>
          <cell r="Q331">
            <v>-48335</v>
          </cell>
          <cell r="U331">
            <v>-48335</v>
          </cell>
          <cell r="W331">
            <v>-1982</v>
          </cell>
          <cell r="X331">
            <v>1982</v>
          </cell>
          <cell r="Z331">
            <v>-171</v>
          </cell>
          <cell r="AB331">
            <v>171</v>
          </cell>
          <cell r="AD331">
            <v>-48335</v>
          </cell>
          <cell r="AF331">
            <v>-8383.8230000000003</v>
          </cell>
          <cell r="AH331">
            <v>0</v>
          </cell>
          <cell r="AJ331">
            <v>-8383.8230000000003</v>
          </cell>
          <cell r="AL331">
            <v>-12707</v>
          </cell>
          <cell r="AN331">
            <v>12707</v>
          </cell>
          <cell r="AP331">
            <v>-8383.8230000000003</v>
          </cell>
          <cell r="AR331">
            <v>355.00665158371038</v>
          </cell>
          <cell r="AT331">
            <v>-79203.642348416295</v>
          </cell>
          <cell r="AV331">
            <v>57410.816348416294</v>
          </cell>
          <cell r="AX331">
            <v>-21792.826000000001</v>
          </cell>
          <cell r="AZ331" t="str">
            <v>profit AT BEG.OF PERIOD</v>
          </cell>
          <cell r="BC331">
            <v>34143.971000000005</v>
          </cell>
          <cell r="BE331">
            <v>-60928.79</v>
          </cell>
          <cell r="BI331">
            <v>-26784.818999999996</v>
          </cell>
          <cell r="BO331">
            <v>-3193</v>
          </cell>
          <cell r="BQ331">
            <v>-142662</v>
          </cell>
          <cell r="BS331">
            <v>0</v>
          </cell>
          <cell r="BU331">
            <v>-142662</v>
          </cell>
          <cell r="BW331">
            <v>-25785</v>
          </cell>
          <cell r="BX331">
            <v>25785</v>
          </cell>
          <cell r="BZ331">
            <v>-147</v>
          </cell>
          <cell r="CB331">
            <v>147</v>
          </cell>
          <cell r="CD331">
            <v>-142662</v>
          </cell>
          <cell r="CF331">
            <v>-4038.6370000000002</v>
          </cell>
          <cell r="CH331">
            <v>0</v>
          </cell>
          <cell r="CJ331">
            <v>-4038.6370000000002</v>
          </cell>
          <cell r="CL331">
            <v>-7289</v>
          </cell>
          <cell r="CN331">
            <v>7289</v>
          </cell>
          <cell r="CP331">
            <v>-4038.6370000000002</v>
          </cell>
          <cell r="CQ331">
            <v>0</v>
          </cell>
          <cell r="CR331">
            <v>2845.42</v>
          </cell>
          <cell r="CT331">
            <v>-173833.03599999996</v>
          </cell>
          <cell r="CU331">
            <v>0</v>
          </cell>
          <cell r="CV331">
            <v>147048.217</v>
          </cell>
          <cell r="CX331">
            <v>-26784.818999999959</v>
          </cell>
          <cell r="FC331">
            <v>-32416.619000000006</v>
          </cell>
          <cell r="FD331">
            <v>-66383.893745399997</v>
          </cell>
          <cell r="FE331">
            <v>-214</v>
          </cell>
          <cell r="FF331">
            <v>-99014.512745400003</v>
          </cell>
          <cell r="FH331">
            <v>-4184</v>
          </cell>
          <cell r="FI331">
            <v>-196454.8</v>
          </cell>
          <cell r="FJ331">
            <v>-6854</v>
          </cell>
          <cell r="FK331">
            <v>6854</v>
          </cell>
          <cell r="FL331">
            <v>-623</v>
          </cell>
          <cell r="FM331">
            <v>623</v>
          </cell>
          <cell r="FN331">
            <v>-196454.8</v>
          </cell>
          <cell r="FO331">
            <v>-41473.955999999998</v>
          </cell>
          <cell r="FP331">
            <v>-62401</v>
          </cell>
          <cell r="FQ331">
            <v>62401</v>
          </cell>
          <cell r="FR331">
            <v>-41473.955999999998</v>
          </cell>
          <cell r="FS331">
            <v>3004.0590000000002</v>
          </cell>
          <cell r="FT331">
            <v>-338123.2097454</v>
          </cell>
          <cell r="FU331">
            <v>239108.69699999999</v>
          </cell>
          <cell r="FV331">
            <v>-99014.512745400018</v>
          </cell>
          <cell r="FW331" t="str">
            <v>profit AT BEG.OF PERIOD</v>
          </cell>
          <cell r="FX331">
            <v>-196454.8</v>
          </cell>
          <cell r="FY331">
            <v>-41473.955999999998</v>
          </cell>
          <cell r="GA331">
            <v>-237928.75599999999</v>
          </cell>
          <cell r="GB331">
            <v>-241119.26186818996</v>
          </cell>
          <cell r="GC331">
            <v>-99014.512745400018</v>
          </cell>
          <cell r="GD331">
            <v>-100342.24794336899</v>
          </cell>
          <cell r="GE331">
            <v>138914.24325459998</v>
          </cell>
          <cell r="GF331">
            <v>4.5434452945845578</v>
          </cell>
          <cell r="GG331">
            <v>-181066.42999538328</v>
          </cell>
          <cell r="GH331">
            <v>0</v>
          </cell>
        </row>
        <row r="332">
          <cell r="A332" t="str">
            <v>Discontinued operation</v>
          </cell>
          <cell r="FZ332">
            <v>-45877.913100000005</v>
          </cell>
          <cell r="GA332">
            <v>-45877.913100000005</v>
          </cell>
          <cell r="GB332">
            <v>-46493.113017095609</v>
          </cell>
          <cell r="GC332">
            <v>-42974.900744999934</v>
          </cell>
          <cell r="GD332">
            <v>-43551.172715302695</v>
          </cell>
        </row>
        <row r="333">
          <cell r="A333" t="str">
            <v>(PROF)LOSS AT END OF PERIOD</v>
          </cell>
          <cell r="B333">
            <v>0</v>
          </cell>
          <cell r="C333">
            <v>-24318.967000000001</v>
          </cell>
          <cell r="D333">
            <v>0</v>
          </cell>
          <cell r="E333">
            <v>-18208.287</v>
          </cell>
          <cell r="F333">
            <v>0</v>
          </cell>
          <cell r="G333">
            <v>3596.6195138175572</v>
          </cell>
          <cell r="H333">
            <v>0</v>
          </cell>
          <cell r="I333">
            <v>-38930.63448618244</v>
          </cell>
          <cell r="J333">
            <v>0</v>
          </cell>
          <cell r="K333">
            <v>0</v>
          </cell>
          <cell r="L333">
            <v>0</v>
          </cell>
          <cell r="M333">
            <v>-243.03250961538447</v>
          </cell>
          <cell r="N333">
            <v>0</v>
          </cell>
          <cell r="O333">
            <v>-979.5</v>
          </cell>
          <cell r="P333">
            <v>0</v>
          </cell>
          <cell r="Q333">
            <v>-74356.178815384614</v>
          </cell>
          <cell r="R333">
            <v>0</v>
          </cell>
          <cell r="S333">
            <v>202.167</v>
          </cell>
          <cell r="T333">
            <v>0</v>
          </cell>
          <cell r="U333">
            <v>-74154.011815384612</v>
          </cell>
          <cell r="V333">
            <v>0</v>
          </cell>
          <cell r="W333">
            <v>433</v>
          </cell>
          <cell r="X333">
            <v>-432.5</v>
          </cell>
          <cell r="Y333">
            <v>0</v>
          </cell>
          <cell r="Z333">
            <v>-407.24830769230772</v>
          </cell>
          <cell r="AA333">
            <v>0</v>
          </cell>
          <cell r="AB333">
            <v>407</v>
          </cell>
          <cell r="AC333">
            <v>0</v>
          </cell>
          <cell r="AD333">
            <v>-74154.760123076936</v>
          </cell>
          <cell r="AE333">
            <v>0</v>
          </cell>
          <cell r="AF333">
            <v>-8362.9340000000011</v>
          </cell>
          <cell r="AG333">
            <v>0</v>
          </cell>
          <cell r="AH333">
            <v>-2329.5149999999999</v>
          </cell>
          <cell r="AI333">
            <v>0</v>
          </cell>
          <cell r="AJ333">
            <v>-10692.449000000001</v>
          </cell>
          <cell r="AK333">
            <v>0</v>
          </cell>
          <cell r="AL333">
            <v>-16160.913999999997</v>
          </cell>
          <cell r="AM333">
            <v>0</v>
          </cell>
          <cell r="AN333">
            <v>16160.611000000001</v>
          </cell>
          <cell r="AO333">
            <v>0</v>
          </cell>
          <cell r="AP333">
            <v>-10692.751999999997</v>
          </cell>
          <cell r="AQ333">
            <v>0</v>
          </cell>
          <cell r="AR333">
            <v>-1091.8273484162894</v>
          </cell>
          <cell r="AS333">
            <v>0</v>
          </cell>
          <cell r="AT333">
            <v>-126092.50646729108</v>
          </cell>
          <cell r="AU333">
            <v>0</v>
          </cell>
          <cell r="AV333">
            <v>87161.863858031677</v>
          </cell>
          <cell r="AW333">
            <v>0</v>
          </cell>
          <cell r="AX333">
            <v>-38930.642609259361</v>
          </cell>
          <cell r="AZ333">
            <v>0</v>
          </cell>
          <cell r="BA333">
            <v>0</v>
          </cell>
          <cell r="BB333">
            <v>0</v>
          </cell>
          <cell r="BC333">
            <v>2136.7808700000096</v>
          </cell>
          <cell r="BD333">
            <v>0</v>
          </cell>
          <cell r="BE333">
            <v>-67407.641000000003</v>
          </cell>
          <cell r="BF333">
            <v>0</v>
          </cell>
          <cell r="BG333">
            <v>15719.503536415281</v>
          </cell>
          <cell r="BH333">
            <v>0</v>
          </cell>
          <cell r="BI333">
            <v>-49551.356593584715</v>
          </cell>
          <cell r="BJ333">
            <v>0</v>
          </cell>
          <cell r="BK333">
            <v>0</v>
          </cell>
          <cell r="BL333">
            <v>0</v>
          </cell>
          <cell r="BM333">
            <v>-1033.9669999999996</v>
          </cell>
          <cell r="BN333">
            <v>0</v>
          </cell>
          <cell r="BO333">
            <v>-5536.7749999999996</v>
          </cell>
          <cell r="BP333">
            <v>0</v>
          </cell>
          <cell r="BQ333">
            <v>-186130.535</v>
          </cell>
          <cell r="BR333">
            <v>0</v>
          </cell>
          <cell r="BS333">
            <v>0</v>
          </cell>
          <cell r="BT333">
            <v>0</v>
          </cell>
          <cell r="BU333">
            <v>-186130.535</v>
          </cell>
          <cell r="BV333">
            <v>0</v>
          </cell>
          <cell r="BW333">
            <v>-16458.5</v>
          </cell>
          <cell r="BX333">
            <v>16458.5</v>
          </cell>
          <cell r="BY333">
            <v>0</v>
          </cell>
          <cell r="BZ333">
            <v>-762.11900000000117</v>
          </cell>
          <cell r="CA333">
            <v>0</v>
          </cell>
          <cell r="CB333">
            <v>768</v>
          </cell>
          <cell r="CC333">
            <v>0</v>
          </cell>
          <cell r="CD333">
            <v>-186124.65400000001</v>
          </cell>
          <cell r="CE333">
            <v>0</v>
          </cell>
          <cell r="CF333">
            <v>-3803.982</v>
          </cell>
          <cell r="CG333">
            <v>0</v>
          </cell>
          <cell r="CH333">
            <v>-1948.2059999999983</v>
          </cell>
          <cell r="CI333">
            <v>0</v>
          </cell>
          <cell r="CJ333">
            <v>-5752.1879999999983</v>
          </cell>
          <cell r="CK333">
            <v>0</v>
          </cell>
          <cell r="CL333">
            <v>-10176</v>
          </cell>
          <cell r="CM333">
            <v>0</v>
          </cell>
          <cell r="CN333">
            <v>10176.205999999998</v>
          </cell>
          <cell r="CO333">
            <v>0</v>
          </cell>
          <cell r="CP333">
            <v>-5751.9819999999963</v>
          </cell>
          <cell r="CQ333">
            <v>0</v>
          </cell>
          <cell r="CR333">
            <v>9328.08</v>
          </cell>
          <cell r="CS333">
            <v>0</v>
          </cell>
          <cell r="CT333">
            <v>-238670.83659358468</v>
          </cell>
          <cell r="CU333">
            <v>0.18200000000069849</v>
          </cell>
          <cell r="CV333">
            <v>189123.75900000002</v>
          </cell>
          <cell r="CW333">
            <v>0</v>
          </cell>
          <cell r="CX333">
            <v>-49547.077593584647</v>
          </cell>
          <cell r="FC333">
            <v>-94752.620999999999</v>
          </cell>
          <cell r="FD333">
            <v>-67407.860472</v>
          </cell>
          <cell r="FE333">
            <v>22435.880226255285</v>
          </cell>
          <cell r="FF333">
            <v>-139724.60124574471</v>
          </cell>
          <cell r="FG333">
            <v>-1009.8980000000006</v>
          </cell>
          <cell r="FH333">
            <v>-4787</v>
          </cell>
          <cell r="FI333">
            <v>-261042.58099999992</v>
          </cell>
          <cell r="FJ333">
            <v>170</v>
          </cell>
          <cell r="FK333">
            <v>-170</v>
          </cell>
          <cell r="FL333">
            <v>-1403.8139999999994</v>
          </cell>
          <cell r="FM333">
            <v>1404</v>
          </cell>
          <cell r="FN333">
            <v>-261042.39500000002</v>
          </cell>
          <cell r="FO333">
            <v>-45166.071219000005</v>
          </cell>
          <cell r="FP333">
            <v>-68192.262000000002</v>
          </cell>
          <cell r="FQ333">
            <v>68191.595218999995</v>
          </cell>
          <cell r="FR333">
            <v>-45166.738000000012</v>
          </cell>
          <cell r="FS333">
            <v>3145.0630000000001</v>
          </cell>
          <cell r="FT333">
            <v>-448585.56924574461</v>
          </cell>
          <cell r="FU333">
            <v>308861.65149999998</v>
          </cell>
          <cell r="FV333">
            <v>-139723.91774574461</v>
          </cell>
          <cell r="FW333">
            <v>0</v>
          </cell>
          <cell r="FX333">
            <v>-261042.39500000002</v>
          </cell>
          <cell r="FY333">
            <v>-45166.738000000012</v>
          </cell>
          <cell r="FZ333">
            <v>-0.43684500000381377</v>
          </cell>
          <cell r="GA333">
            <v>-306209.56984499993</v>
          </cell>
          <cell r="GB333">
            <v>-310315.6873480326</v>
          </cell>
          <cell r="GC333">
            <v>-139723.91774574463</v>
          </cell>
          <cell r="GD333">
            <v>-141597.54574678498</v>
          </cell>
          <cell r="GE333">
            <v>120607.73899925532</v>
          </cell>
          <cell r="GF333" t="e">
            <v>#DIV/0!</v>
          </cell>
          <cell r="GG333">
            <v>-99017.617549098795</v>
          </cell>
          <cell r="GH333">
            <v>0</v>
          </cell>
        </row>
        <row r="334">
          <cell r="BG334">
            <v>507.01699999999983</v>
          </cell>
          <cell r="BI334">
            <v>1027.0169999999998</v>
          </cell>
          <cell r="BU334">
            <v>-915.53500000001077</v>
          </cell>
          <cell r="CQ334">
            <v>0</v>
          </cell>
          <cell r="CR334">
            <v>4537.8620000000001</v>
          </cell>
          <cell r="CT334">
            <v>0.18199999997159466</v>
          </cell>
        </row>
        <row r="335">
          <cell r="E335" t="str">
            <v xml:space="preserve">     טל"כ=&gt;</v>
          </cell>
          <cell r="I335">
            <v>0</v>
          </cell>
          <cell r="U335">
            <v>0</v>
          </cell>
          <cell r="AD335">
            <v>1.0000000000145519</v>
          </cell>
          <cell r="AJ335">
            <v>0</v>
          </cell>
          <cell r="AP335">
            <v>0</v>
          </cell>
          <cell r="AT335">
            <v>3.2514435588382185E-11</v>
          </cell>
          <cell r="AX335">
            <v>-8.1230769210378639E-3</v>
          </cell>
          <cell r="BE335" t="str">
            <v xml:space="preserve">     טל"כ=&gt;</v>
          </cell>
          <cell r="BG335">
            <v>-16287.686593584715</v>
          </cell>
          <cell r="BK335">
            <v>1033.9590000000001</v>
          </cell>
          <cell r="BU335">
            <v>-146169</v>
          </cell>
          <cell r="BZ335">
            <v>-212.1</v>
          </cell>
          <cell r="CQ335">
            <v>0</v>
          </cell>
          <cell r="CR335" t="str">
            <v xml:space="preserve"> </v>
          </cell>
          <cell r="CX335">
            <v>4.2790000000677537</v>
          </cell>
        </row>
        <row r="336">
          <cell r="B336" t="str">
            <v>{r 4}+{l 4}-{l 2}~{D}{l 4}</v>
          </cell>
          <cell r="M336" t="str">
            <v>\h</v>
          </cell>
          <cell r="U336" t="str">
            <v>/RV{ESC}{R 3}~~{R}/RV{ESC}{R 3}~~{R 2}+{l 3}+{L 6}~{R}+{L 3}+{L 6}~{D}{L 4}</v>
          </cell>
          <cell r="BQ336" t="str">
            <v xml:space="preserve"> </v>
          </cell>
          <cell r="BU336">
            <v>-139155</v>
          </cell>
          <cell r="BZ336">
            <v>4413.1000000000004</v>
          </cell>
          <cell r="CQ336">
            <v>0</v>
          </cell>
          <cell r="CR336" t="str">
            <v xml:space="preserve"> </v>
          </cell>
        </row>
        <row r="423">
          <cell r="A423" t="str">
            <v>RIVON-ALIS MEUCHAD</v>
          </cell>
          <cell r="AL423" t="str">
            <v>RIVON-ALIS</v>
          </cell>
        </row>
        <row r="424">
          <cell r="C424" t="str">
            <v>1-9/98</v>
          </cell>
          <cell r="E424" t="str">
            <v>1-9/98</v>
          </cell>
          <cell r="G424" t="str">
            <v>1-9/98</v>
          </cell>
          <cell r="I424" t="str">
            <v>10-12/97</v>
          </cell>
          <cell r="M424" t="str">
            <v>10-12/97</v>
          </cell>
          <cell r="Q424" t="str">
            <v>10-12/97</v>
          </cell>
          <cell r="S424" t="str">
            <v>10/97-9/98</v>
          </cell>
          <cell r="U424" t="str">
            <v>10/97-9/98</v>
          </cell>
          <cell r="Z424" t="str">
            <v>10/97-9/98</v>
          </cell>
          <cell r="AB424" t="str">
            <v>10/97-9/98</v>
          </cell>
          <cell r="AD424" t="str">
            <v>1-9/98</v>
          </cell>
          <cell r="AF424" t="str">
            <v>10/97-9/98</v>
          </cell>
          <cell r="AH424" t="str">
            <v>10/97-9/98</v>
          </cell>
          <cell r="AJ424" t="str">
            <v>10/97-9/98</v>
          </cell>
          <cell r="AL424" t="str">
            <v>10/97-9/98</v>
          </cell>
          <cell r="AR424" t="str">
            <v>TOTAL      A.L.I.S.</v>
          </cell>
          <cell r="AV424" t="str">
            <v>CONSOLIDATED</v>
          </cell>
        </row>
        <row r="425">
          <cell r="A425">
            <v>36661.599853703701</v>
          </cell>
          <cell r="C425" t="str">
            <v>A.C.T.V.</v>
          </cell>
          <cell r="E425" t="str">
            <v>A.L.I.S</v>
          </cell>
          <cell r="G425" t="str">
            <v>TOTAL</v>
          </cell>
          <cell r="I425" t="str">
            <v>A.C.T.V.</v>
          </cell>
          <cell r="M425" t="str">
            <v>A.L.I.S</v>
          </cell>
          <cell r="Q425" t="str">
            <v>TOTAL</v>
          </cell>
          <cell r="S425" t="str">
            <v>A.C.T.V.</v>
          </cell>
          <cell r="U425" t="str">
            <v>A.L.I.S</v>
          </cell>
          <cell r="Z425" t="str">
            <v>TOTAL</v>
          </cell>
          <cell r="AB425" t="str">
            <v>Pnai Plus</v>
          </cell>
          <cell r="AD425" t="str">
            <v>נטקום</v>
          </cell>
          <cell r="AF425" t="str">
            <v>G.C.&amp; CO.</v>
          </cell>
          <cell r="AH425" t="str">
            <v>S.S.C.</v>
          </cell>
          <cell r="AJ425" t="str">
            <v>MERCAZ</v>
          </cell>
          <cell r="AL425" t="str">
            <v>TOTAL</v>
          </cell>
          <cell r="AN425">
            <v>36661.599853703701</v>
          </cell>
          <cell r="AR425" t="str">
            <v>1-9/98</v>
          </cell>
          <cell r="AT425" t="str">
            <v>10-12/97</v>
          </cell>
          <cell r="AV425" t="str">
            <v>10/97-9/98</v>
          </cell>
          <cell r="AX425" t="str">
            <v>Check</v>
          </cell>
        </row>
        <row r="426">
          <cell r="A426">
            <v>36661.599853703701</v>
          </cell>
          <cell r="AN426">
            <v>36661.599853703701</v>
          </cell>
        </row>
        <row r="427">
          <cell r="A427" t="str">
            <v>INCOME</v>
          </cell>
          <cell r="C427" t="str">
            <v>000$</v>
          </cell>
          <cell r="E427" t="str">
            <v>000$</v>
          </cell>
          <cell r="G427" t="str">
            <v>000$</v>
          </cell>
          <cell r="I427" t="str">
            <v>000$</v>
          </cell>
          <cell r="M427" t="str">
            <v>000$</v>
          </cell>
          <cell r="Q427" t="str">
            <v>000$</v>
          </cell>
          <cell r="S427" t="str">
            <v>000$</v>
          </cell>
          <cell r="U427" t="str">
            <v>000$</v>
          </cell>
          <cell r="Z427" t="str">
            <v>000$</v>
          </cell>
          <cell r="AB427" t="str">
            <v>000$</v>
          </cell>
          <cell r="AD427" t="str">
            <v>000$</v>
          </cell>
          <cell r="AF427" t="str">
            <v>000$</v>
          </cell>
          <cell r="AH427" t="str">
            <v>000$</v>
          </cell>
          <cell r="AJ427" t="str">
            <v>000$</v>
          </cell>
          <cell r="AL427" t="str">
            <v>000$</v>
          </cell>
          <cell r="AN427" t="str">
            <v>INCOME</v>
          </cell>
          <cell r="AR427" t="str">
            <v>000$</v>
          </cell>
          <cell r="AT427" t="str">
            <v>000$</v>
          </cell>
          <cell r="AV427" t="str">
            <v>000$</v>
          </cell>
        </row>
        <row r="428">
          <cell r="A428" t="str">
            <v>subscribership fees</v>
          </cell>
          <cell r="C428">
            <v>0</v>
          </cell>
          <cell r="E428">
            <v>0</v>
          </cell>
          <cell r="G428">
            <v>0</v>
          </cell>
          <cell r="I428">
            <v>0</v>
          </cell>
          <cell r="M428">
            <v>0</v>
          </cell>
          <cell r="Q428">
            <v>0</v>
          </cell>
          <cell r="S428">
            <v>0</v>
          </cell>
          <cell r="U428">
            <v>0</v>
          </cell>
          <cell r="Z428">
            <v>0</v>
          </cell>
          <cell r="AB428">
            <v>0</v>
          </cell>
          <cell r="AD428">
            <v>0</v>
          </cell>
          <cell r="AF428">
            <v>0</v>
          </cell>
          <cell r="AH428">
            <v>0</v>
          </cell>
          <cell r="AJ428">
            <v>0</v>
          </cell>
          <cell r="AL428">
            <v>0</v>
          </cell>
          <cell r="AN428" t="str">
            <v>subscribership fees</v>
          </cell>
          <cell r="AR428">
            <v>-134757.45000000001</v>
          </cell>
          <cell r="AT428">
            <v>-27217</v>
          </cell>
          <cell r="AV428">
            <v>-161974.45000000001</v>
          </cell>
        </row>
        <row r="429">
          <cell r="A429" t="str">
            <v>installation</v>
          </cell>
          <cell r="C429">
            <v>0</v>
          </cell>
          <cell r="E429">
            <v>0</v>
          </cell>
          <cell r="G429">
            <v>0</v>
          </cell>
          <cell r="I429">
            <v>0</v>
          </cell>
          <cell r="M429">
            <v>0</v>
          </cell>
          <cell r="Q429">
            <v>0</v>
          </cell>
          <cell r="S429">
            <v>0</v>
          </cell>
          <cell r="U429">
            <v>0</v>
          </cell>
          <cell r="Z429">
            <v>0</v>
          </cell>
          <cell r="AB429">
            <v>0</v>
          </cell>
          <cell r="AD429">
            <v>0</v>
          </cell>
          <cell r="AF429">
            <v>0</v>
          </cell>
          <cell r="AH429">
            <v>0</v>
          </cell>
          <cell r="AJ429">
            <v>0</v>
          </cell>
          <cell r="AL429">
            <v>0</v>
          </cell>
          <cell r="AN429" t="str">
            <v>installation</v>
          </cell>
          <cell r="AR429">
            <v>-4511.7450000000008</v>
          </cell>
          <cell r="AT429">
            <v>-2388</v>
          </cell>
          <cell r="AV429">
            <v>-6899.7450000000008</v>
          </cell>
        </row>
        <row r="430">
          <cell r="A430" t="str">
            <v>deposits</v>
          </cell>
          <cell r="C430">
            <v>0</v>
          </cell>
          <cell r="E430">
            <v>0</v>
          </cell>
          <cell r="G430">
            <v>0</v>
          </cell>
          <cell r="I430">
            <v>0</v>
          </cell>
          <cell r="M430">
            <v>0</v>
          </cell>
          <cell r="Q430">
            <v>0</v>
          </cell>
          <cell r="S430">
            <v>0</v>
          </cell>
          <cell r="U430">
            <v>0</v>
          </cell>
          <cell r="Z430">
            <v>0</v>
          </cell>
          <cell r="AB430">
            <v>0</v>
          </cell>
          <cell r="AD430">
            <v>0</v>
          </cell>
          <cell r="AF430">
            <v>0</v>
          </cell>
          <cell r="AH430">
            <v>0</v>
          </cell>
          <cell r="AJ430">
            <v>0</v>
          </cell>
          <cell r="AL430">
            <v>0</v>
          </cell>
          <cell r="AN430" t="str">
            <v>deposits</v>
          </cell>
          <cell r="AR430">
            <v>0</v>
          </cell>
          <cell r="AT430">
            <v>-1771</v>
          </cell>
          <cell r="AV430">
            <v>-1771</v>
          </cell>
        </row>
        <row r="431">
          <cell r="A431" t="str">
            <v>management fees-from GC&amp;co</v>
          </cell>
          <cell r="C431">
            <v>-3399.067</v>
          </cell>
          <cell r="E431">
            <v>0</v>
          </cell>
          <cell r="G431">
            <v>-3399.067</v>
          </cell>
          <cell r="I431">
            <v>-639</v>
          </cell>
          <cell r="M431">
            <v>0</v>
          </cell>
          <cell r="Q431">
            <v>-639</v>
          </cell>
          <cell r="S431">
            <v>-4038.067</v>
          </cell>
          <cell r="U431">
            <v>0</v>
          </cell>
          <cell r="Z431">
            <v>-4038.067</v>
          </cell>
          <cell r="AB431">
            <v>0</v>
          </cell>
          <cell r="AD431">
            <v>0</v>
          </cell>
          <cell r="AF431">
            <v>0</v>
          </cell>
          <cell r="AH431">
            <v>0</v>
          </cell>
          <cell r="AJ431">
            <v>0</v>
          </cell>
          <cell r="AL431">
            <v>-4038.067</v>
          </cell>
          <cell r="AN431" t="str">
            <v>management fees</v>
          </cell>
          <cell r="AR431">
            <v>0</v>
          </cell>
          <cell r="AT431">
            <v>0</v>
          </cell>
          <cell r="AV431">
            <v>0</v>
          </cell>
        </row>
        <row r="432">
          <cell r="A432" t="str">
            <v>management fees-from others</v>
          </cell>
          <cell r="C432">
            <v>-909.452</v>
          </cell>
          <cell r="E432">
            <v>-104.727</v>
          </cell>
          <cell r="G432">
            <v>-1014.179</v>
          </cell>
          <cell r="I432">
            <v>-240</v>
          </cell>
          <cell r="M432">
            <v>0</v>
          </cell>
          <cell r="Q432">
            <v>-240</v>
          </cell>
          <cell r="S432">
            <v>-1149.452</v>
          </cell>
          <cell r="U432">
            <v>-104.727</v>
          </cell>
          <cell r="Z432">
            <v>-1254.1790000000001</v>
          </cell>
          <cell r="AB432">
            <v>0</v>
          </cell>
          <cell r="AD432">
            <v>0</v>
          </cell>
          <cell r="AF432">
            <v>0</v>
          </cell>
          <cell r="AH432">
            <v>0</v>
          </cell>
          <cell r="AJ432">
            <v>0</v>
          </cell>
          <cell r="AL432">
            <v>-1254.1790000000001</v>
          </cell>
          <cell r="AN432" t="str">
            <v>management fees</v>
          </cell>
          <cell r="AR432">
            <v>0</v>
          </cell>
          <cell r="AT432">
            <v>0</v>
          </cell>
          <cell r="AV432">
            <v>0</v>
          </cell>
        </row>
        <row r="433">
          <cell r="A433" t="str">
            <v>other</v>
          </cell>
          <cell r="C433">
            <v>0</v>
          </cell>
          <cell r="E433">
            <v>0</v>
          </cell>
          <cell r="G433">
            <v>0</v>
          </cell>
          <cell r="I433">
            <v>0</v>
          </cell>
          <cell r="M433">
            <v>0</v>
          </cell>
          <cell r="Q433">
            <v>0</v>
          </cell>
          <cell r="S433">
            <v>0</v>
          </cell>
          <cell r="U433">
            <v>0</v>
          </cell>
          <cell r="Z433">
            <v>0</v>
          </cell>
          <cell r="AB433">
            <v>0</v>
          </cell>
          <cell r="AD433">
            <v>-12206</v>
          </cell>
          <cell r="AF433">
            <v>0</v>
          </cell>
          <cell r="AH433">
            <v>0</v>
          </cell>
          <cell r="AJ433">
            <v>0</v>
          </cell>
          <cell r="AL433">
            <v>-12206</v>
          </cell>
          <cell r="AN433" t="str">
            <v>other</v>
          </cell>
          <cell r="AR433">
            <v>-12206</v>
          </cell>
          <cell r="AT433">
            <v>-5539</v>
          </cell>
          <cell r="AV433">
            <v>-17745</v>
          </cell>
        </row>
        <row r="434">
          <cell r="A434" t="str">
            <v>other</v>
          </cell>
          <cell r="AD434">
            <v>0</v>
          </cell>
          <cell r="AL434">
            <v>0</v>
          </cell>
          <cell r="AN434" t="str">
            <v>other</v>
          </cell>
          <cell r="AR434">
            <v>-809.81699999999989</v>
          </cell>
          <cell r="AT434">
            <v>-303</v>
          </cell>
          <cell r="AV434">
            <v>-1112.817</v>
          </cell>
        </row>
        <row r="435">
          <cell r="A435" t="str">
            <v>services</v>
          </cell>
          <cell r="C435">
            <v>0</v>
          </cell>
          <cell r="E435">
            <v>0</v>
          </cell>
          <cell r="G435">
            <v>0</v>
          </cell>
          <cell r="I435">
            <v>0</v>
          </cell>
          <cell r="M435">
            <v>-600</v>
          </cell>
          <cell r="Q435">
            <v>-600</v>
          </cell>
          <cell r="S435">
            <v>0</v>
          </cell>
          <cell r="U435">
            <v>-600</v>
          </cell>
          <cell r="Z435">
            <v>-600</v>
          </cell>
          <cell r="AB435">
            <v>0</v>
          </cell>
          <cell r="AD435">
            <v>0</v>
          </cell>
          <cell r="AF435">
            <v>0</v>
          </cell>
          <cell r="AJ435">
            <v>0</v>
          </cell>
          <cell r="AL435">
            <v>-600</v>
          </cell>
          <cell r="AN435" t="str">
            <v>services</v>
          </cell>
          <cell r="AR435">
            <v>-335.60650000000004</v>
          </cell>
          <cell r="AT435">
            <v>-563</v>
          </cell>
          <cell r="AV435">
            <v>-898.6065000000001</v>
          </cell>
        </row>
        <row r="436">
          <cell r="C436">
            <v>-4308.5190000000002</v>
          </cell>
          <cell r="E436">
            <v>-104.727</v>
          </cell>
          <cell r="G436">
            <v>-4413.2460000000001</v>
          </cell>
          <cell r="I436">
            <v>-879</v>
          </cell>
          <cell r="M436">
            <v>-600</v>
          </cell>
          <cell r="Q436">
            <v>-1479</v>
          </cell>
          <cell r="S436">
            <v>-5187.5190000000002</v>
          </cell>
          <cell r="U436">
            <v>-704.72699999999998</v>
          </cell>
          <cell r="Z436">
            <v>-5892.2460000000001</v>
          </cell>
          <cell r="AB436">
            <v>0</v>
          </cell>
          <cell r="AD436">
            <v>-12206</v>
          </cell>
          <cell r="AF436">
            <v>0</v>
          </cell>
          <cell r="AH436">
            <v>0</v>
          </cell>
          <cell r="AJ436">
            <v>0</v>
          </cell>
          <cell r="AL436">
            <v>-18098.245999999999</v>
          </cell>
          <cell r="AR436">
            <v>-155540.94890865387</v>
          </cell>
          <cell r="AT436">
            <v>-37781</v>
          </cell>
          <cell r="AV436">
            <v>-190401.61850000001</v>
          </cell>
          <cell r="AX436">
            <v>-2920.3304086538556</v>
          </cell>
        </row>
        <row r="438">
          <cell r="A438" t="str">
            <v>OPERATING EXP.</v>
          </cell>
          <cell r="AN438" t="str">
            <v>OPERATING EXP.</v>
          </cell>
        </row>
        <row r="439">
          <cell r="A439" t="str">
            <v>salaries</v>
          </cell>
          <cell r="C439">
            <v>0</v>
          </cell>
          <cell r="E439">
            <v>0</v>
          </cell>
          <cell r="G439">
            <v>0</v>
          </cell>
          <cell r="I439">
            <v>0</v>
          </cell>
          <cell r="M439">
            <v>0</v>
          </cell>
          <cell r="Q439">
            <v>0</v>
          </cell>
          <cell r="S439">
            <v>0</v>
          </cell>
          <cell r="U439">
            <v>0</v>
          </cell>
          <cell r="Z439">
            <v>0</v>
          </cell>
          <cell r="AB439">
            <v>0</v>
          </cell>
          <cell r="AD439">
            <v>8538</v>
          </cell>
          <cell r="AF439">
            <v>0</v>
          </cell>
          <cell r="AH439">
            <v>0</v>
          </cell>
          <cell r="AJ439">
            <v>0</v>
          </cell>
          <cell r="AL439">
            <v>8538</v>
          </cell>
          <cell r="AN439" t="str">
            <v>salaries</v>
          </cell>
          <cell r="AR439">
            <v>8593.4211682692294</v>
          </cell>
          <cell r="AT439">
            <v>2098</v>
          </cell>
          <cell r="AV439">
            <v>10691.421168269229</v>
          </cell>
        </row>
        <row r="440">
          <cell r="A440" t="str">
            <v>purchases</v>
          </cell>
          <cell r="AD440">
            <v>0</v>
          </cell>
          <cell r="AL440">
            <v>0</v>
          </cell>
          <cell r="AN440" t="str">
            <v>purchases</v>
          </cell>
          <cell r="AR440">
            <v>8538</v>
          </cell>
          <cell r="AT440">
            <v>4629</v>
          </cell>
          <cell r="AV440">
            <v>13167</v>
          </cell>
        </row>
        <row r="441">
          <cell r="A441" t="str">
            <v>capitalization sal.</v>
          </cell>
          <cell r="C441">
            <v>-9.7430000000000003</v>
          </cell>
          <cell r="E441">
            <v>0</v>
          </cell>
          <cell r="G441">
            <v>-9.7430000000000003</v>
          </cell>
          <cell r="I441">
            <v>-39</v>
          </cell>
          <cell r="M441">
            <v>0</v>
          </cell>
          <cell r="Q441">
            <v>-39</v>
          </cell>
          <cell r="S441">
            <v>-48.743000000000002</v>
          </cell>
          <cell r="U441">
            <v>0</v>
          </cell>
          <cell r="Z441">
            <v>-48.743000000000002</v>
          </cell>
          <cell r="AB441">
            <v>0</v>
          </cell>
          <cell r="AD441">
            <v>0</v>
          </cell>
          <cell r="AF441">
            <v>0</v>
          </cell>
          <cell r="AH441">
            <v>0</v>
          </cell>
          <cell r="AJ441">
            <v>0</v>
          </cell>
          <cell r="AL441">
            <v>-48.743000000000002</v>
          </cell>
          <cell r="AN441" t="str">
            <v>capitalization sal.</v>
          </cell>
          <cell r="AR441">
            <v>-9.7430000000000003</v>
          </cell>
          <cell r="AT441">
            <v>-39</v>
          </cell>
          <cell r="AV441">
            <v>-48.743000000000002</v>
          </cell>
        </row>
        <row r="442">
          <cell r="A442" t="str">
            <v>consulting</v>
          </cell>
          <cell r="C442">
            <v>0</v>
          </cell>
          <cell r="E442">
            <v>0</v>
          </cell>
          <cell r="G442">
            <v>0</v>
          </cell>
          <cell r="I442">
            <v>0</v>
          </cell>
          <cell r="M442">
            <v>0</v>
          </cell>
          <cell r="Q442">
            <v>0</v>
          </cell>
          <cell r="S442">
            <v>0</v>
          </cell>
          <cell r="U442">
            <v>0</v>
          </cell>
          <cell r="Z442">
            <v>0</v>
          </cell>
          <cell r="AB442">
            <v>0</v>
          </cell>
          <cell r="AD442">
            <v>0</v>
          </cell>
          <cell r="AF442">
            <v>0</v>
          </cell>
          <cell r="AH442">
            <v>0</v>
          </cell>
          <cell r="AJ442">
            <v>0</v>
          </cell>
          <cell r="AL442">
            <v>0</v>
          </cell>
          <cell r="AN442" t="str">
            <v>consulting</v>
          </cell>
          <cell r="AR442">
            <v>22.762</v>
          </cell>
          <cell r="AT442">
            <v>11</v>
          </cell>
          <cell r="AV442">
            <v>33.762</v>
          </cell>
        </row>
        <row r="443">
          <cell r="A443" t="str">
            <v>FRANCHISE EXP&amp;ROYALTIES</v>
          </cell>
          <cell r="C443">
            <v>0</v>
          </cell>
          <cell r="E443">
            <v>0</v>
          </cell>
          <cell r="G443">
            <v>0</v>
          </cell>
          <cell r="I443">
            <v>0</v>
          </cell>
          <cell r="M443">
            <v>0</v>
          </cell>
          <cell r="Q443">
            <v>0</v>
          </cell>
          <cell r="S443">
            <v>0</v>
          </cell>
          <cell r="U443">
            <v>0</v>
          </cell>
          <cell r="Z443">
            <v>0</v>
          </cell>
          <cell r="AB443">
            <v>0</v>
          </cell>
          <cell r="AD443">
            <v>0</v>
          </cell>
          <cell r="AF443">
            <v>0</v>
          </cell>
          <cell r="AH443">
            <v>0</v>
          </cell>
          <cell r="AJ443">
            <v>0</v>
          </cell>
          <cell r="AL443">
            <v>0</v>
          </cell>
          <cell r="AN443" t="str">
            <v>bidding</v>
          </cell>
          <cell r="AR443">
            <v>9742.8120000000017</v>
          </cell>
          <cell r="AT443">
            <v>2099</v>
          </cell>
          <cell r="AV443">
            <v>11841.812000000002</v>
          </cell>
        </row>
        <row r="444">
          <cell r="A444" t="str">
            <v>car &amp; travel</v>
          </cell>
          <cell r="C444">
            <v>0</v>
          </cell>
          <cell r="E444">
            <v>0</v>
          </cell>
          <cell r="G444">
            <v>0</v>
          </cell>
          <cell r="I444">
            <v>0</v>
          </cell>
          <cell r="M444">
            <v>0</v>
          </cell>
          <cell r="Q444">
            <v>0</v>
          </cell>
          <cell r="S444">
            <v>0</v>
          </cell>
          <cell r="U444">
            <v>0</v>
          </cell>
          <cell r="Z444">
            <v>0</v>
          </cell>
          <cell r="AB444">
            <v>0</v>
          </cell>
          <cell r="AD444">
            <v>0</v>
          </cell>
          <cell r="AF444">
            <v>0</v>
          </cell>
          <cell r="AH444">
            <v>0</v>
          </cell>
          <cell r="AJ444">
            <v>0</v>
          </cell>
          <cell r="AL444">
            <v>0</v>
          </cell>
          <cell r="AN444" t="str">
            <v>planning</v>
          </cell>
          <cell r="AR444">
            <v>1272.9879999999998</v>
          </cell>
          <cell r="AT444">
            <v>344</v>
          </cell>
          <cell r="AV444">
            <v>1616.9879999999998</v>
          </cell>
        </row>
        <row r="445">
          <cell r="A445" t="str">
            <v>programming</v>
          </cell>
          <cell r="C445">
            <v>0</v>
          </cell>
          <cell r="E445">
            <v>0</v>
          </cell>
          <cell r="G445">
            <v>0</v>
          </cell>
          <cell r="I445">
            <v>0</v>
          </cell>
          <cell r="M445">
            <v>0</v>
          </cell>
          <cell r="Q445">
            <v>0</v>
          </cell>
          <cell r="S445">
            <v>0</v>
          </cell>
          <cell r="U445">
            <v>0</v>
          </cell>
          <cell r="Z445">
            <v>0</v>
          </cell>
          <cell r="AB445">
            <v>0</v>
          </cell>
          <cell r="AD445" t="e">
            <v>#REF!</v>
          </cell>
          <cell r="AF445">
            <v>0</v>
          </cell>
          <cell r="AH445">
            <v>0</v>
          </cell>
          <cell r="AJ445">
            <v>0</v>
          </cell>
          <cell r="AL445" t="e">
            <v>#REF!</v>
          </cell>
          <cell r="AN445" t="str">
            <v>programming</v>
          </cell>
          <cell r="AR445">
            <v>20627.863000000001</v>
          </cell>
          <cell r="AT445">
            <v>3736</v>
          </cell>
          <cell r="AV445">
            <v>24363.863000000001</v>
          </cell>
        </row>
        <row r="446">
          <cell r="AD446">
            <v>0</v>
          </cell>
          <cell r="AL446">
            <v>0</v>
          </cell>
          <cell r="AN446" t="str">
            <v>cost of publication</v>
          </cell>
          <cell r="AT446">
            <v>1907</v>
          </cell>
          <cell r="AV446">
            <v>1907</v>
          </cell>
        </row>
        <row r="447">
          <cell r="A447" t="str">
            <v>rent&amp;maint.-(head-end)</v>
          </cell>
          <cell r="C447">
            <v>0</v>
          </cell>
          <cell r="E447">
            <v>0</v>
          </cell>
          <cell r="G447">
            <v>0</v>
          </cell>
          <cell r="I447">
            <v>0</v>
          </cell>
          <cell r="M447">
            <v>0</v>
          </cell>
          <cell r="Q447">
            <v>0</v>
          </cell>
          <cell r="S447">
            <v>0</v>
          </cell>
          <cell r="U447">
            <v>0</v>
          </cell>
          <cell r="Z447">
            <v>0</v>
          </cell>
          <cell r="AB447">
            <v>0</v>
          </cell>
          <cell r="AD447">
            <v>0</v>
          </cell>
          <cell r="AF447">
            <v>0</v>
          </cell>
          <cell r="AH447">
            <v>0</v>
          </cell>
          <cell r="AJ447">
            <v>0</v>
          </cell>
          <cell r="AL447">
            <v>0</v>
          </cell>
          <cell r="AN447" t="str">
            <v>maintanence (head-end&amp;distr.)</v>
          </cell>
          <cell r="AR447">
            <v>5928.5914999999995</v>
          </cell>
          <cell r="AT447">
            <v>-21</v>
          </cell>
          <cell r="AV447">
            <v>5907.5914999999995</v>
          </cell>
        </row>
        <row r="448">
          <cell r="A448" t="str">
            <v>rent&amp;maint.-(network)</v>
          </cell>
          <cell r="C448">
            <v>0</v>
          </cell>
          <cell r="E448">
            <v>0</v>
          </cell>
          <cell r="G448">
            <v>0</v>
          </cell>
          <cell r="I448">
            <v>0</v>
          </cell>
          <cell r="M448">
            <v>0</v>
          </cell>
          <cell r="Q448">
            <v>0</v>
          </cell>
          <cell r="S448">
            <v>0</v>
          </cell>
          <cell r="U448">
            <v>0</v>
          </cell>
          <cell r="Z448">
            <v>0</v>
          </cell>
          <cell r="AB448">
            <v>0</v>
          </cell>
          <cell r="AD448">
            <v>0</v>
          </cell>
          <cell r="AF448">
            <v>0</v>
          </cell>
          <cell r="AH448">
            <v>0</v>
          </cell>
          <cell r="AJ448">
            <v>0</v>
          </cell>
          <cell r="AL448">
            <v>0</v>
          </cell>
          <cell r="AR448">
            <v>4708.0169999999998</v>
          </cell>
          <cell r="AT448">
            <v>1643</v>
          </cell>
          <cell r="AV448">
            <v>6351.0169999999998</v>
          </cell>
        </row>
        <row r="449">
          <cell r="A449" t="str">
            <v>amortization</v>
          </cell>
          <cell r="C449">
            <v>0</v>
          </cell>
          <cell r="E449">
            <v>0</v>
          </cell>
          <cell r="G449">
            <v>0</v>
          </cell>
          <cell r="I449">
            <v>2</v>
          </cell>
          <cell r="M449">
            <v>0</v>
          </cell>
          <cell r="Q449">
            <v>2</v>
          </cell>
          <cell r="S449">
            <v>2</v>
          </cell>
          <cell r="U449">
            <v>0</v>
          </cell>
          <cell r="Z449">
            <v>2</v>
          </cell>
          <cell r="AB449">
            <v>0</v>
          </cell>
          <cell r="AD449">
            <v>0</v>
          </cell>
          <cell r="AF449">
            <v>0</v>
          </cell>
          <cell r="AH449">
            <v>0</v>
          </cell>
          <cell r="AJ449">
            <v>0</v>
          </cell>
          <cell r="AL449">
            <v>2</v>
          </cell>
          <cell r="AN449" t="str">
            <v>amortization</v>
          </cell>
          <cell r="AR449">
            <v>64.872000000000014</v>
          </cell>
          <cell r="AT449">
            <v>118</v>
          </cell>
          <cell r="AV449">
            <v>182.87200000000001</v>
          </cell>
        </row>
        <row r="450">
          <cell r="A450" t="str">
            <v>depreciation</v>
          </cell>
          <cell r="C450">
            <v>0</v>
          </cell>
          <cell r="E450">
            <v>0</v>
          </cell>
          <cell r="G450">
            <v>0</v>
          </cell>
          <cell r="I450">
            <v>0</v>
          </cell>
          <cell r="M450">
            <v>0</v>
          </cell>
          <cell r="Q450">
            <v>0</v>
          </cell>
          <cell r="S450">
            <v>0</v>
          </cell>
          <cell r="U450">
            <v>0</v>
          </cell>
          <cell r="Z450">
            <v>0</v>
          </cell>
          <cell r="AB450">
            <v>0</v>
          </cell>
          <cell r="AD450">
            <v>0</v>
          </cell>
          <cell r="AF450">
            <v>0</v>
          </cell>
          <cell r="AH450">
            <v>0</v>
          </cell>
          <cell r="AJ450">
            <v>0</v>
          </cell>
          <cell r="AL450">
            <v>0</v>
          </cell>
          <cell r="AN450" t="str">
            <v>depreciation</v>
          </cell>
          <cell r="AR450">
            <v>21122.614000000001</v>
          </cell>
          <cell r="AT450">
            <v>4792</v>
          </cell>
          <cell r="AV450">
            <v>25914.614000000001</v>
          </cell>
        </row>
        <row r="451">
          <cell r="A451" t="str">
            <v>abandonment of subscribers</v>
          </cell>
          <cell r="C451">
            <v>0</v>
          </cell>
          <cell r="E451">
            <v>0</v>
          </cell>
          <cell r="G451">
            <v>0</v>
          </cell>
          <cell r="I451">
            <v>0</v>
          </cell>
          <cell r="M451">
            <v>0</v>
          </cell>
          <cell r="Q451">
            <v>0</v>
          </cell>
          <cell r="S451">
            <v>0</v>
          </cell>
          <cell r="U451">
            <v>0</v>
          </cell>
          <cell r="Z451">
            <v>0</v>
          </cell>
          <cell r="AB451">
            <v>0</v>
          </cell>
          <cell r="AD451">
            <v>0</v>
          </cell>
          <cell r="AF451">
            <v>0</v>
          </cell>
          <cell r="AH451">
            <v>0</v>
          </cell>
          <cell r="AJ451">
            <v>0</v>
          </cell>
          <cell r="AL451">
            <v>0</v>
          </cell>
          <cell r="AN451" t="str">
            <v>abandonment of subscribers</v>
          </cell>
          <cell r="AR451">
            <v>569.93299999999999</v>
          </cell>
          <cell r="AT451">
            <v>639</v>
          </cell>
          <cell r="AV451">
            <v>1208.933</v>
          </cell>
        </row>
        <row r="452">
          <cell r="A452" t="str">
            <v>capit.fraction</v>
          </cell>
          <cell r="C452">
            <v>0</v>
          </cell>
          <cell r="E452">
            <v>0</v>
          </cell>
          <cell r="G452">
            <v>0</v>
          </cell>
          <cell r="I452">
            <v>0</v>
          </cell>
          <cell r="M452">
            <v>0</v>
          </cell>
          <cell r="Q452">
            <v>0</v>
          </cell>
          <cell r="S452">
            <v>0</v>
          </cell>
          <cell r="U452">
            <v>0</v>
          </cell>
          <cell r="Z452">
            <v>0</v>
          </cell>
          <cell r="AB452">
            <v>0</v>
          </cell>
          <cell r="AD452">
            <v>0</v>
          </cell>
          <cell r="AF452">
            <v>0</v>
          </cell>
          <cell r="AH452">
            <v>0</v>
          </cell>
          <cell r="AJ452">
            <v>0</v>
          </cell>
          <cell r="AL452">
            <v>0</v>
          </cell>
          <cell r="AN452" t="str">
            <v>capit.fraction</v>
          </cell>
          <cell r="AR452">
            <v>0</v>
          </cell>
          <cell r="AT452">
            <v>-12</v>
          </cell>
          <cell r="AV452">
            <v>-12</v>
          </cell>
        </row>
        <row r="453">
          <cell r="A453" t="str">
            <v>part.in exp.</v>
          </cell>
          <cell r="C453">
            <v>0</v>
          </cell>
          <cell r="E453">
            <v>0</v>
          </cell>
          <cell r="G453">
            <v>0</v>
          </cell>
          <cell r="I453">
            <v>0</v>
          </cell>
          <cell r="M453">
            <v>0</v>
          </cell>
          <cell r="Q453">
            <v>0</v>
          </cell>
          <cell r="S453">
            <v>0</v>
          </cell>
          <cell r="U453">
            <v>0</v>
          </cell>
          <cell r="Z453">
            <v>0</v>
          </cell>
          <cell r="AB453">
            <v>0</v>
          </cell>
          <cell r="AF453">
            <v>0</v>
          </cell>
          <cell r="AH453">
            <v>0</v>
          </cell>
          <cell r="AJ453">
            <v>0</v>
          </cell>
          <cell r="AL453">
            <v>0</v>
          </cell>
          <cell r="AN453" t="str">
            <v>other</v>
          </cell>
          <cell r="AR453">
            <v>0</v>
          </cell>
          <cell r="AT453">
            <v>0</v>
          </cell>
          <cell r="AV453">
            <v>0</v>
          </cell>
        </row>
        <row r="454">
          <cell r="C454">
            <v>-9.7430000000000003</v>
          </cell>
          <cell r="E454">
            <v>0</v>
          </cell>
          <cell r="G454">
            <v>-9.7430000000000003</v>
          </cell>
          <cell r="I454">
            <v>-37</v>
          </cell>
          <cell r="M454">
            <v>0</v>
          </cell>
          <cell r="Q454">
            <v>-37</v>
          </cell>
          <cell r="S454">
            <v>-46.743000000000002</v>
          </cell>
          <cell r="U454">
            <v>0</v>
          </cell>
          <cell r="Z454">
            <v>-46.743000000000002</v>
          </cell>
          <cell r="AB454">
            <v>0</v>
          </cell>
          <cell r="AD454" t="e">
            <v>#REF!</v>
          </cell>
          <cell r="AF454">
            <v>0</v>
          </cell>
          <cell r="AH454">
            <v>0</v>
          </cell>
          <cell r="AJ454">
            <v>0</v>
          </cell>
          <cell r="AL454" t="e">
            <v>#REF!</v>
          </cell>
          <cell r="AR454">
            <v>81182.130668269252</v>
          </cell>
          <cell r="AT454">
            <v>21944</v>
          </cell>
          <cell r="AV454">
            <v>103126.13066826922</v>
          </cell>
          <cell r="AX454">
            <v>0</v>
          </cell>
        </row>
        <row r="456">
          <cell r="A456" t="str">
            <v>OPER. profit(PROFIT)</v>
          </cell>
          <cell r="C456">
            <v>-4318.2620000000006</v>
          </cell>
          <cell r="E456">
            <v>-104.727</v>
          </cell>
          <cell r="G456">
            <v>-4422.9890000000005</v>
          </cell>
          <cell r="I456">
            <v>-916</v>
          </cell>
          <cell r="M456">
            <v>-600</v>
          </cell>
          <cell r="Q456">
            <v>-1516</v>
          </cell>
          <cell r="S456">
            <v>-5234.2620000000006</v>
          </cell>
          <cell r="U456">
            <v>-704.72699999999998</v>
          </cell>
          <cell r="Z456">
            <v>-5938.9890000000005</v>
          </cell>
          <cell r="AB456">
            <v>0</v>
          </cell>
          <cell r="AD456" t="e">
            <v>#REF!</v>
          </cell>
          <cell r="AF456">
            <v>0</v>
          </cell>
          <cell r="AH456">
            <v>0</v>
          </cell>
          <cell r="AJ456">
            <v>0</v>
          </cell>
          <cell r="AL456" t="e">
            <v>#REF!</v>
          </cell>
          <cell r="AN456" t="str">
            <v>OPER. LOSS(PROFIT)</v>
          </cell>
          <cell r="AR456">
            <v>-74358.818240384615</v>
          </cell>
          <cell r="AT456">
            <v>-15837</v>
          </cell>
          <cell r="AV456">
            <v>-87275.487831730788</v>
          </cell>
        </row>
        <row r="458">
          <cell r="A458" t="str">
            <v>MARKETING</v>
          </cell>
          <cell r="AN458" t="str">
            <v>MARKETING</v>
          </cell>
        </row>
        <row r="459">
          <cell r="A459" t="str">
            <v>salaries</v>
          </cell>
          <cell r="C459">
            <v>0</v>
          </cell>
          <cell r="E459">
            <v>0</v>
          </cell>
          <cell r="G459">
            <v>0</v>
          </cell>
          <cell r="I459">
            <v>-85</v>
          </cell>
          <cell r="M459">
            <v>392</v>
          </cell>
          <cell r="Q459">
            <v>307</v>
          </cell>
          <cell r="S459">
            <v>-85</v>
          </cell>
          <cell r="U459">
            <v>392</v>
          </cell>
          <cell r="Z459">
            <v>307</v>
          </cell>
          <cell r="AB459">
            <v>0</v>
          </cell>
          <cell r="AD459">
            <v>1387</v>
          </cell>
          <cell r="AF459">
            <v>0</v>
          </cell>
          <cell r="AH459">
            <v>0</v>
          </cell>
          <cell r="AJ459">
            <v>0</v>
          </cell>
          <cell r="AL459">
            <v>1694</v>
          </cell>
          <cell r="AN459" t="str">
            <v>salaries</v>
          </cell>
          <cell r="AR459">
            <v>5330.4089999999997</v>
          </cell>
          <cell r="AT459">
            <v>1421</v>
          </cell>
          <cell r="AV459">
            <v>6751.4089999999997</v>
          </cell>
        </row>
        <row r="460">
          <cell r="A460" t="str">
            <v>part.in exp.</v>
          </cell>
          <cell r="C460">
            <v>0</v>
          </cell>
          <cell r="E460">
            <v>0</v>
          </cell>
          <cell r="G460">
            <v>0</v>
          </cell>
          <cell r="I460">
            <v>0</v>
          </cell>
          <cell r="M460">
            <v>0</v>
          </cell>
          <cell r="Q460">
            <v>0</v>
          </cell>
          <cell r="S460">
            <v>0</v>
          </cell>
          <cell r="U460">
            <v>0</v>
          </cell>
          <cell r="Z460">
            <v>0</v>
          </cell>
          <cell r="AB460">
            <v>0</v>
          </cell>
          <cell r="AD460">
            <v>0</v>
          </cell>
          <cell r="AF460">
            <v>0</v>
          </cell>
          <cell r="AH460">
            <v>0</v>
          </cell>
          <cell r="AJ460">
            <v>0</v>
          </cell>
          <cell r="AL460">
            <v>0</v>
          </cell>
          <cell r="AN460" t="str">
            <v>part.in exp.</v>
          </cell>
          <cell r="AR460">
            <v>0</v>
          </cell>
          <cell r="AT460">
            <v>0</v>
          </cell>
          <cell r="AV460">
            <v>0</v>
          </cell>
        </row>
        <row r="461">
          <cell r="A461" t="str">
            <v>bad debts</v>
          </cell>
          <cell r="C461">
            <v>0</v>
          </cell>
          <cell r="E461">
            <v>0</v>
          </cell>
          <cell r="G461">
            <v>0</v>
          </cell>
          <cell r="I461">
            <v>0</v>
          </cell>
          <cell r="M461">
            <v>0</v>
          </cell>
          <cell r="Q461">
            <v>0</v>
          </cell>
          <cell r="S461">
            <v>0</v>
          </cell>
          <cell r="U461">
            <v>0</v>
          </cell>
          <cell r="Z461">
            <v>0</v>
          </cell>
          <cell r="AB461">
            <v>0</v>
          </cell>
          <cell r="AD461">
            <v>0</v>
          </cell>
          <cell r="AF461">
            <v>0</v>
          </cell>
          <cell r="AH461">
            <v>0</v>
          </cell>
          <cell r="AJ461">
            <v>0</v>
          </cell>
          <cell r="AL461">
            <v>0</v>
          </cell>
          <cell r="AN461" t="str">
            <v>bad debts</v>
          </cell>
          <cell r="AR461">
            <v>608.56181730769231</v>
          </cell>
          <cell r="AT461">
            <v>92</v>
          </cell>
          <cell r="AV461">
            <v>700.56181730769231</v>
          </cell>
        </row>
        <row r="462">
          <cell r="A462" t="str">
            <v>office maint.</v>
          </cell>
          <cell r="C462">
            <v>0</v>
          </cell>
          <cell r="E462">
            <v>0</v>
          </cell>
          <cell r="G462">
            <v>0</v>
          </cell>
          <cell r="I462">
            <v>0</v>
          </cell>
          <cell r="M462">
            <v>80</v>
          </cell>
          <cell r="Q462">
            <v>80</v>
          </cell>
          <cell r="S462">
            <v>0</v>
          </cell>
          <cell r="U462">
            <v>80</v>
          </cell>
          <cell r="Z462">
            <v>80</v>
          </cell>
          <cell r="AB462">
            <v>0</v>
          </cell>
          <cell r="AD462">
            <v>0</v>
          </cell>
          <cell r="AF462">
            <v>0</v>
          </cell>
          <cell r="AH462">
            <v>0</v>
          </cell>
          <cell r="AJ462">
            <v>0</v>
          </cell>
          <cell r="AL462">
            <v>80</v>
          </cell>
          <cell r="AN462" t="str">
            <v>office maint.</v>
          </cell>
          <cell r="AR462">
            <v>90.584999999999994</v>
          </cell>
          <cell r="AT462">
            <v>268</v>
          </cell>
          <cell r="AV462">
            <v>358.58499999999998</v>
          </cell>
        </row>
        <row r="463">
          <cell r="A463" t="str">
            <v>car &amp; travel</v>
          </cell>
          <cell r="C463">
            <v>0</v>
          </cell>
          <cell r="E463">
            <v>0</v>
          </cell>
          <cell r="G463">
            <v>0</v>
          </cell>
          <cell r="I463">
            <v>85</v>
          </cell>
          <cell r="M463">
            <v>-55</v>
          </cell>
          <cell r="Q463">
            <v>30</v>
          </cell>
          <cell r="S463">
            <v>85</v>
          </cell>
          <cell r="U463">
            <v>-55</v>
          </cell>
          <cell r="Z463">
            <v>30</v>
          </cell>
          <cell r="AB463">
            <v>0</v>
          </cell>
          <cell r="AD463">
            <v>126.5</v>
          </cell>
          <cell r="AF463">
            <v>0</v>
          </cell>
          <cell r="AH463">
            <v>0</v>
          </cell>
          <cell r="AJ463">
            <v>0</v>
          </cell>
          <cell r="AL463">
            <v>156.5</v>
          </cell>
          <cell r="AN463" t="str">
            <v>car &amp; travel</v>
          </cell>
          <cell r="AR463">
            <v>174.1</v>
          </cell>
          <cell r="AT463">
            <v>87</v>
          </cell>
          <cell r="AV463">
            <v>261.10000000000002</v>
          </cell>
        </row>
        <row r="464">
          <cell r="A464" t="str">
            <v>amortization</v>
          </cell>
          <cell r="C464">
            <v>0</v>
          </cell>
          <cell r="E464">
            <v>0</v>
          </cell>
          <cell r="G464">
            <v>0</v>
          </cell>
          <cell r="I464">
            <v>0</v>
          </cell>
          <cell r="M464">
            <v>0</v>
          </cell>
          <cell r="Q464">
            <v>0</v>
          </cell>
          <cell r="S464">
            <v>0</v>
          </cell>
          <cell r="U464">
            <v>0</v>
          </cell>
          <cell r="Z464">
            <v>0</v>
          </cell>
          <cell r="AB464">
            <v>0</v>
          </cell>
          <cell r="AD464">
            <v>0</v>
          </cell>
          <cell r="AF464">
            <v>0</v>
          </cell>
          <cell r="AH464">
            <v>0</v>
          </cell>
          <cell r="AJ464">
            <v>0</v>
          </cell>
          <cell r="AL464">
            <v>0</v>
          </cell>
          <cell r="AN464" t="str">
            <v>amortization</v>
          </cell>
          <cell r="AR464">
            <v>0.89900000000000002</v>
          </cell>
          <cell r="AT464">
            <v>5</v>
          </cell>
          <cell r="AV464">
            <v>5.899</v>
          </cell>
        </row>
        <row r="465">
          <cell r="A465" t="str">
            <v>advertizment</v>
          </cell>
          <cell r="C465">
            <v>0.67900000000000005</v>
          </cell>
          <cell r="E465">
            <v>0</v>
          </cell>
          <cell r="G465">
            <v>0.67900000000000005</v>
          </cell>
          <cell r="I465">
            <v>0</v>
          </cell>
          <cell r="M465">
            <v>25</v>
          </cell>
          <cell r="Q465">
            <v>25</v>
          </cell>
          <cell r="S465">
            <v>0.67900000000000005</v>
          </cell>
          <cell r="U465">
            <v>25</v>
          </cell>
          <cell r="Z465">
            <v>25.678999999999998</v>
          </cell>
          <cell r="AB465">
            <v>0</v>
          </cell>
          <cell r="AD465">
            <v>231.5</v>
          </cell>
          <cell r="AF465">
            <v>0</v>
          </cell>
          <cell r="AH465">
            <v>0</v>
          </cell>
          <cell r="AJ465">
            <v>0</v>
          </cell>
          <cell r="AL465">
            <v>257.17899999999997</v>
          </cell>
          <cell r="AN465" t="str">
            <v>advertizment</v>
          </cell>
          <cell r="AR465">
            <v>1567.4035624999999</v>
          </cell>
          <cell r="AT465">
            <v>35</v>
          </cell>
          <cell r="AV465">
            <v>1602.4035624999999</v>
          </cell>
        </row>
        <row r="466">
          <cell r="C466">
            <v>0.67900000000000005</v>
          </cell>
          <cell r="E466">
            <v>0</v>
          </cell>
          <cell r="G466">
            <v>0.67900000000000005</v>
          </cell>
          <cell r="I466">
            <v>0</v>
          </cell>
          <cell r="M466">
            <v>442</v>
          </cell>
          <cell r="Q466">
            <v>442</v>
          </cell>
          <cell r="S466">
            <v>0.67900000000000005</v>
          </cell>
          <cell r="U466">
            <v>442</v>
          </cell>
          <cell r="Z466">
            <v>442.67899999999997</v>
          </cell>
          <cell r="AB466">
            <v>0</v>
          </cell>
          <cell r="AD466">
            <v>1745</v>
          </cell>
          <cell r="AF466">
            <v>0</v>
          </cell>
          <cell r="AH466">
            <v>0</v>
          </cell>
          <cell r="AJ466">
            <v>0</v>
          </cell>
          <cell r="AL466">
            <v>2187.6790000000001</v>
          </cell>
          <cell r="AR466">
            <v>7771.9583798076928</v>
          </cell>
          <cell r="AT466">
            <v>1908</v>
          </cell>
          <cell r="AV466">
            <v>9679.9583798076928</v>
          </cell>
          <cell r="AX466">
            <v>0</v>
          </cell>
        </row>
        <row r="468">
          <cell r="A468" t="str">
            <v>ADM. &amp;GENERAL</v>
          </cell>
          <cell r="AN468" t="str">
            <v>ADM. &amp;GENERAL</v>
          </cell>
        </row>
        <row r="469">
          <cell r="A469" t="str">
            <v>salaries</v>
          </cell>
          <cell r="C469">
            <v>0</v>
          </cell>
          <cell r="E469">
            <v>0</v>
          </cell>
          <cell r="G469">
            <v>0</v>
          </cell>
          <cell r="I469">
            <v>0</v>
          </cell>
          <cell r="M469">
            <v>0</v>
          </cell>
          <cell r="Q469">
            <v>0</v>
          </cell>
          <cell r="S469">
            <v>0</v>
          </cell>
          <cell r="U469">
            <v>0</v>
          </cell>
          <cell r="Z469">
            <v>0</v>
          </cell>
          <cell r="AB469">
            <v>0</v>
          </cell>
          <cell r="AD469">
            <v>434.5</v>
          </cell>
          <cell r="AF469">
            <v>0</v>
          </cell>
          <cell r="AH469">
            <v>0</v>
          </cell>
          <cell r="AJ469">
            <v>0</v>
          </cell>
          <cell r="AL469">
            <v>434.5</v>
          </cell>
          <cell r="AN469" t="str">
            <v>salaries</v>
          </cell>
          <cell r="AR469">
            <v>3719.9182403846157</v>
          </cell>
          <cell r="AT469">
            <v>1460</v>
          </cell>
          <cell r="AV469">
            <v>5179.9182403846153</v>
          </cell>
        </row>
        <row r="470">
          <cell r="A470" t="str">
            <v>management fees</v>
          </cell>
          <cell r="C470">
            <v>2000</v>
          </cell>
          <cell r="E470">
            <v>0</v>
          </cell>
          <cell r="G470">
            <v>2000</v>
          </cell>
          <cell r="I470">
            <v>500</v>
          </cell>
          <cell r="M470">
            <v>0</v>
          </cell>
          <cell r="Q470">
            <v>500</v>
          </cell>
          <cell r="S470">
            <v>2500</v>
          </cell>
          <cell r="U470">
            <v>0</v>
          </cell>
          <cell r="Z470">
            <v>2500</v>
          </cell>
          <cell r="AB470">
            <v>0</v>
          </cell>
          <cell r="AD470">
            <v>0</v>
          </cell>
          <cell r="AF470">
            <v>0</v>
          </cell>
          <cell r="AH470">
            <v>0</v>
          </cell>
          <cell r="AJ470">
            <v>0</v>
          </cell>
          <cell r="AL470">
            <v>2500</v>
          </cell>
          <cell r="AN470" t="str">
            <v>management fees</v>
          </cell>
          <cell r="AR470">
            <v>4190.3710000000001</v>
          </cell>
          <cell r="AT470">
            <v>1056</v>
          </cell>
          <cell r="AV470">
            <v>5246.3710000000001</v>
          </cell>
        </row>
        <row r="471">
          <cell r="A471" t="str">
            <v>part.in exp.</v>
          </cell>
          <cell r="C471">
            <v>0</v>
          </cell>
          <cell r="E471">
            <v>0</v>
          </cell>
          <cell r="G471">
            <v>0</v>
          </cell>
          <cell r="I471">
            <v>0</v>
          </cell>
          <cell r="M471">
            <v>0</v>
          </cell>
          <cell r="Q471">
            <v>0</v>
          </cell>
          <cell r="S471">
            <v>0</v>
          </cell>
          <cell r="U471">
            <v>0</v>
          </cell>
          <cell r="Z471">
            <v>0</v>
          </cell>
          <cell r="AB471">
            <v>0</v>
          </cell>
          <cell r="AD471">
            <v>0</v>
          </cell>
          <cell r="AF471">
            <v>0</v>
          </cell>
          <cell r="AH471">
            <v>0</v>
          </cell>
          <cell r="AJ471">
            <v>0</v>
          </cell>
          <cell r="AL471">
            <v>0</v>
          </cell>
          <cell r="AN471" t="str">
            <v>part.in exp.</v>
          </cell>
          <cell r="AR471">
            <v>-0.20800000000008367</v>
          </cell>
          <cell r="AT471">
            <v>0</v>
          </cell>
          <cell r="AV471">
            <v>-0.20800000000008367</v>
          </cell>
        </row>
        <row r="472">
          <cell r="A472" t="str">
            <v>computer&amp;bookkeeping</v>
          </cell>
          <cell r="C472">
            <v>16.603999999999999</v>
          </cell>
          <cell r="E472">
            <v>0</v>
          </cell>
          <cell r="G472">
            <v>16.603999999999999</v>
          </cell>
          <cell r="I472">
            <v>0</v>
          </cell>
          <cell r="M472">
            <v>0</v>
          </cell>
          <cell r="Q472">
            <v>0</v>
          </cell>
          <cell r="S472">
            <v>16.603999999999999</v>
          </cell>
          <cell r="U472">
            <v>0</v>
          </cell>
          <cell r="Z472">
            <v>16.603999999999999</v>
          </cell>
          <cell r="AB472">
            <v>0</v>
          </cell>
          <cell r="AD472">
            <v>0</v>
          </cell>
          <cell r="AF472">
            <v>0</v>
          </cell>
          <cell r="AH472">
            <v>0</v>
          </cell>
          <cell r="AJ472">
            <v>0</v>
          </cell>
          <cell r="AL472">
            <v>16.603999999999999</v>
          </cell>
          <cell r="AN472" t="str">
            <v>computer&amp;bookkeeping</v>
          </cell>
          <cell r="AR472">
            <v>584.14300000000003</v>
          </cell>
          <cell r="AT472">
            <v>96</v>
          </cell>
          <cell r="AV472">
            <v>680.14300000000003</v>
          </cell>
        </row>
        <row r="473">
          <cell r="A473" t="str">
            <v>office maint.&amp;other</v>
          </cell>
          <cell r="C473" t="e">
            <v>#REF!</v>
          </cell>
          <cell r="E473">
            <v>0</v>
          </cell>
          <cell r="G473" t="e">
            <v>#REF!</v>
          </cell>
          <cell r="I473">
            <v>0</v>
          </cell>
          <cell r="M473">
            <v>0</v>
          </cell>
          <cell r="Q473">
            <v>0</v>
          </cell>
          <cell r="S473" t="e">
            <v>#REF!</v>
          </cell>
          <cell r="U473">
            <v>0</v>
          </cell>
          <cell r="Z473" t="e">
            <v>#REF!</v>
          </cell>
          <cell r="AB473">
            <v>0</v>
          </cell>
          <cell r="AD473">
            <v>304</v>
          </cell>
          <cell r="AF473">
            <v>0</v>
          </cell>
          <cell r="AH473">
            <v>0</v>
          </cell>
          <cell r="AJ473">
            <v>0</v>
          </cell>
          <cell r="AL473" t="e">
            <v>#REF!</v>
          </cell>
          <cell r="AN473" t="str">
            <v>office maint.&amp;other</v>
          </cell>
          <cell r="AR473">
            <v>2814.3020144230773</v>
          </cell>
          <cell r="AT473">
            <v>712</v>
          </cell>
          <cell r="AV473">
            <v>3526.3020144230773</v>
          </cell>
        </row>
        <row r="474">
          <cell r="A474" t="str">
            <v>car &amp; travel</v>
          </cell>
          <cell r="C474">
            <v>13.955</v>
          </cell>
          <cell r="E474">
            <v>0</v>
          </cell>
          <cell r="G474">
            <v>13.955</v>
          </cell>
          <cell r="I474">
            <v>0</v>
          </cell>
          <cell r="M474">
            <v>0</v>
          </cell>
          <cell r="Q474">
            <v>0</v>
          </cell>
          <cell r="S474">
            <v>13.955</v>
          </cell>
          <cell r="U474">
            <v>0</v>
          </cell>
          <cell r="Z474">
            <v>13.955</v>
          </cell>
          <cell r="AB474">
            <v>0</v>
          </cell>
          <cell r="AD474">
            <v>41</v>
          </cell>
          <cell r="AF474">
            <v>0</v>
          </cell>
          <cell r="AH474">
            <v>0</v>
          </cell>
          <cell r="AJ474">
            <v>0</v>
          </cell>
          <cell r="AL474">
            <v>54.954999999999998</v>
          </cell>
          <cell r="AN474" t="str">
            <v>car &amp; travel</v>
          </cell>
          <cell r="AR474">
            <v>380.77140865384615</v>
          </cell>
          <cell r="AT474">
            <v>161</v>
          </cell>
          <cell r="AV474">
            <v>541.77140865384615</v>
          </cell>
        </row>
        <row r="475">
          <cell r="A475" t="str">
            <v>amortization</v>
          </cell>
          <cell r="C475">
            <v>3.0120000000000005</v>
          </cell>
          <cell r="E475">
            <v>0</v>
          </cell>
          <cell r="G475">
            <v>3.0120000000000005</v>
          </cell>
          <cell r="I475">
            <v>68</v>
          </cell>
          <cell r="M475">
            <v>0</v>
          </cell>
          <cell r="Q475">
            <v>68</v>
          </cell>
          <cell r="S475">
            <v>71.012</v>
          </cell>
          <cell r="U475">
            <v>0</v>
          </cell>
          <cell r="Z475">
            <v>71.012</v>
          </cell>
          <cell r="AB475">
            <v>0</v>
          </cell>
          <cell r="AD475">
            <v>0</v>
          </cell>
          <cell r="AF475">
            <v>0</v>
          </cell>
          <cell r="AH475">
            <v>0</v>
          </cell>
          <cell r="AJ475">
            <v>0</v>
          </cell>
          <cell r="AL475">
            <v>71.012</v>
          </cell>
          <cell r="AN475" t="str">
            <v>amortization</v>
          </cell>
          <cell r="AR475">
            <v>3526.3830000000007</v>
          </cell>
          <cell r="AT475">
            <v>131</v>
          </cell>
          <cell r="AV475">
            <v>3657.3830000000007</v>
          </cell>
        </row>
        <row r="476">
          <cell r="A476" t="str">
            <v>depreciation</v>
          </cell>
          <cell r="C476">
            <v>0</v>
          </cell>
          <cell r="E476">
            <v>0</v>
          </cell>
          <cell r="G476">
            <v>0</v>
          </cell>
          <cell r="I476">
            <v>0</v>
          </cell>
          <cell r="M476">
            <v>1</v>
          </cell>
          <cell r="Q476">
            <v>1</v>
          </cell>
          <cell r="S476">
            <v>0</v>
          </cell>
          <cell r="U476">
            <v>1</v>
          </cell>
          <cell r="Z476">
            <v>1</v>
          </cell>
          <cell r="AB476">
            <v>0</v>
          </cell>
          <cell r="AD476">
            <v>193</v>
          </cell>
          <cell r="AF476">
            <v>0</v>
          </cell>
          <cell r="AH476">
            <v>0</v>
          </cell>
          <cell r="AJ476">
            <v>0</v>
          </cell>
          <cell r="AL476">
            <v>194</v>
          </cell>
          <cell r="AN476" t="str">
            <v>depreciation</v>
          </cell>
          <cell r="AR476">
            <v>959.93616346153851</v>
          </cell>
          <cell r="AT476">
            <v>233</v>
          </cell>
          <cell r="AV476">
            <v>1192.9361634615384</v>
          </cell>
        </row>
        <row r="477">
          <cell r="A477" t="str">
            <v>professional fees</v>
          </cell>
          <cell r="C477">
            <v>141.12100000000001</v>
          </cell>
          <cell r="E477">
            <v>0</v>
          </cell>
          <cell r="G477">
            <v>141.12100000000001</v>
          </cell>
          <cell r="I477">
            <v>11</v>
          </cell>
          <cell r="M477">
            <v>4</v>
          </cell>
          <cell r="Q477">
            <v>15</v>
          </cell>
          <cell r="S477">
            <v>152.12100000000001</v>
          </cell>
          <cell r="U477">
            <v>4</v>
          </cell>
          <cell r="Z477">
            <v>156.12100000000001</v>
          </cell>
          <cell r="AB477">
            <v>0</v>
          </cell>
          <cell r="AD477">
            <v>113.5</v>
          </cell>
          <cell r="AF477">
            <v>0</v>
          </cell>
          <cell r="AH477">
            <v>0</v>
          </cell>
          <cell r="AJ477">
            <v>0</v>
          </cell>
          <cell r="AL477">
            <v>269.62099999999998</v>
          </cell>
          <cell r="AN477" t="str">
            <v>professional fees</v>
          </cell>
          <cell r="AR477">
            <v>1544.1325240384617</v>
          </cell>
          <cell r="AT477">
            <v>248</v>
          </cell>
          <cell r="AV477">
            <v>1792.1325240384617</v>
          </cell>
        </row>
        <row r="478">
          <cell r="A478" t="str">
            <v>other</v>
          </cell>
          <cell r="C478">
            <v>50</v>
          </cell>
          <cell r="E478">
            <v>0</v>
          </cell>
          <cell r="G478">
            <v>50</v>
          </cell>
          <cell r="I478">
            <v>0</v>
          </cell>
          <cell r="M478">
            <v>0</v>
          </cell>
          <cell r="Q478">
            <v>0</v>
          </cell>
          <cell r="S478">
            <v>50</v>
          </cell>
          <cell r="U478">
            <v>0</v>
          </cell>
          <cell r="Z478">
            <v>50</v>
          </cell>
          <cell r="AB478">
            <v>0</v>
          </cell>
          <cell r="AD478">
            <v>274</v>
          </cell>
          <cell r="AF478">
            <v>0</v>
          </cell>
          <cell r="AH478">
            <v>0</v>
          </cell>
          <cell r="AJ478">
            <v>0</v>
          </cell>
          <cell r="AL478">
            <v>324</v>
          </cell>
          <cell r="AN478" t="str">
            <v>other</v>
          </cell>
          <cell r="AR478">
            <v>0</v>
          </cell>
          <cell r="AT478">
            <v>151</v>
          </cell>
          <cell r="AV478">
            <v>151</v>
          </cell>
        </row>
        <row r="479">
          <cell r="A479" t="str">
            <v>part.in exp. others</v>
          </cell>
          <cell r="C479">
            <v>0</v>
          </cell>
          <cell r="E479">
            <v>0</v>
          </cell>
          <cell r="G479">
            <v>0</v>
          </cell>
          <cell r="I479">
            <v>0</v>
          </cell>
          <cell r="M479">
            <v>0</v>
          </cell>
          <cell r="Q479">
            <v>0</v>
          </cell>
          <cell r="S479">
            <v>0</v>
          </cell>
          <cell r="U479">
            <v>0</v>
          </cell>
          <cell r="Z479">
            <v>0</v>
          </cell>
          <cell r="AB479">
            <v>0</v>
          </cell>
          <cell r="AD479">
            <v>0</v>
          </cell>
          <cell r="AF479">
            <v>0</v>
          </cell>
          <cell r="AH479">
            <v>0</v>
          </cell>
          <cell r="AJ479">
            <v>0</v>
          </cell>
          <cell r="AL479">
            <v>0</v>
          </cell>
          <cell r="AN479" t="str">
            <v>part.in exp. others</v>
          </cell>
          <cell r="AR479">
            <v>-778.33799999999928</v>
          </cell>
          <cell r="AT479">
            <v>0</v>
          </cell>
          <cell r="AV479">
            <v>-778.33799999999928</v>
          </cell>
        </row>
        <row r="480">
          <cell r="C480" t="e">
            <v>#REF!</v>
          </cell>
          <cell r="E480">
            <v>0</v>
          </cell>
          <cell r="G480" t="e">
            <v>#REF!</v>
          </cell>
          <cell r="I480">
            <v>579</v>
          </cell>
          <cell r="M480">
            <v>5</v>
          </cell>
          <cell r="Q480">
            <v>584</v>
          </cell>
          <cell r="S480" t="e">
            <v>#REF!</v>
          </cell>
          <cell r="U480">
            <v>5</v>
          </cell>
          <cell r="Z480" t="e">
            <v>#REF!</v>
          </cell>
          <cell r="AB480">
            <v>0</v>
          </cell>
          <cell r="AD480">
            <v>1360</v>
          </cell>
          <cell r="AF480">
            <v>0</v>
          </cell>
          <cell r="AH480">
            <v>0</v>
          </cell>
          <cell r="AJ480">
            <v>0</v>
          </cell>
          <cell r="AL480" t="e">
            <v>#REF!</v>
          </cell>
          <cell r="AR480">
            <v>16941.411350961538</v>
          </cell>
          <cell r="AT480">
            <v>4248</v>
          </cell>
          <cell r="AV480">
            <v>21189.411350961538</v>
          </cell>
          <cell r="AX480">
            <v>0</v>
          </cell>
        </row>
        <row r="482">
          <cell r="A482" t="str">
            <v>FINANCING</v>
          </cell>
          <cell r="AN482" t="str">
            <v>FINANCING</v>
          </cell>
        </row>
        <row r="483">
          <cell r="A483" t="str">
            <v>income(bezek&amp;other)</v>
          </cell>
          <cell r="C483">
            <v>0</v>
          </cell>
          <cell r="E483">
            <v>0</v>
          </cell>
          <cell r="G483">
            <v>0</v>
          </cell>
          <cell r="I483">
            <v>0</v>
          </cell>
          <cell r="M483">
            <v>0</v>
          </cell>
          <cell r="Q483">
            <v>0</v>
          </cell>
          <cell r="S483">
            <v>0</v>
          </cell>
          <cell r="U483">
            <v>0</v>
          </cell>
          <cell r="Z483">
            <v>0</v>
          </cell>
          <cell r="AB483">
            <v>0</v>
          </cell>
          <cell r="AD483">
            <v>0</v>
          </cell>
          <cell r="AF483">
            <v>0</v>
          </cell>
          <cell r="AH483">
            <v>0</v>
          </cell>
          <cell r="AJ483">
            <v>0</v>
          </cell>
          <cell r="AL483">
            <v>0</v>
          </cell>
          <cell r="AN483" t="str">
            <v>income(bezek&amp;other)</v>
          </cell>
          <cell r="AR483">
            <v>-159.00400000000002</v>
          </cell>
          <cell r="AT483">
            <v>213</v>
          </cell>
          <cell r="AV483">
            <v>53.995999999999981</v>
          </cell>
        </row>
        <row r="484">
          <cell r="A484" t="str">
            <v>Affiliated(I.C.P.)</v>
          </cell>
          <cell r="C484">
            <v>0</v>
          </cell>
          <cell r="E484">
            <v>0</v>
          </cell>
          <cell r="G484">
            <v>0</v>
          </cell>
          <cell r="I484">
            <v>-5</v>
          </cell>
          <cell r="M484">
            <v>0</v>
          </cell>
          <cell r="Q484">
            <v>-5</v>
          </cell>
          <cell r="S484">
            <v>-5</v>
          </cell>
          <cell r="U484">
            <v>0</v>
          </cell>
          <cell r="Z484">
            <v>-5</v>
          </cell>
          <cell r="AB484">
            <v>0</v>
          </cell>
          <cell r="AD484">
            <v>0</v>
          </cell>
          <cell r="AF484">
            <v>0</v>
          </cell>
          <cell r="AH484">
            <v>0</v>
          </cell>
          <cell r="AJ484">
            <v>0</v>
          </cell>
          <cell r="AL484">
            <v>-5</v>
          </cell>
          <cell r="AN484" t="str">
            <v>susidiaries(icp&amp;telem)</v>
          </cell>
          <cell r="AR484">
            <v>-24.128</v>
          </cell>
          <cell r="AT484">
            <v>25</v>
          </cell>
          <cell r="AV484">
            <v>0.87199999999999989</v>
          </cell>
        </row>
        <row r="485">
          <cell r="A485" t="str">
            <v>income tax</v>
          </cell>
          <cell r="C485">
            <v>43.103577527963786</v>
          </cell>
          <cell r="E485">
            <v>0</v>
          </cell>
          <cell r="G485">
            <v>43.103577527963786</v>
          </cell>
          <cell r="I485">
            <v>-9</v>
          </cell>
          <cell r="M485">
            <v>0</v>
          </cell>
          <cell r="Q485">
            <v>-9</v>
          </cell>
          <cell r="S485">
            <v>34.103577527963786</v>
          </cell>
          <cell r="U485">
            <v>0</v>
          </cell>
          <cell r="Z485">
            <v>34.103577527963786</v>
          </cell>
          <cell r="AB485">
            <v>0</v>
          </cell>
          <cell r="AD485">
            <v>0</v>
          </cell>
          <cell r="AF485">
            <v>0</v>
          </cell>
          <cell r="AH485">
            <v>0</v>
          </cell>
          <cell r="AJ485">
            <v>0</v>
          </cell>
          <cell r="AL485">
            <v>34.103577527963786</v>
          </cell>
          <cell r="AN485" t="str">
            <v>income tax</v>
          </cell>
          <cell r="AR485">
            <v>-7.8964224720362139</v>
          </cell>
          <cell r="AT485">
            <v>36</v>
          </cell>
          <cell r="AV485">
            <v>28.103577527963786</v>
          </cell>
        </row>
        <row r="486">
          <cell r="A486" t="str">
            <v>capital notes/loans</v>
          </cell>
          <cell r="C486">
            <v>0</v>
          </cell>
          <cell r="E486">
            <v>0</v>
          </cell>
          <cell r="G486">
            <v>0</v>
          </cell>
          <cell r="I486">
            <v>0</v>
          </cell>
          <cell r="M486">
            <v>0</v>
          </cell>
          <cell r="Q486">
            <v>0</v>
          </cell>
          <cell r="S486">
            <v>0</v>
          </cell>
          <cell r="U486">
            <v>0</v>
          </cell>
          <cell r="Z486">
            <v>0</v>
          </cell>
          <cell r="AB486">
            <v>0</v>
          </cell>
          <cell r="AD486">
            <v>0</v>
          </cell>
          <cell r="AF486">
            <v>0</v>
          </cell>
          <cell r="AH486">
            <v>0</v>
          </cell>
          <cell r="AJ486">
            <v>0</v>
          </cell>
          <cell r="AL486">
            <v>0</v>
          </cell>
          <cell r="AN486" t="str">
            <v>capital notes/loans</v>
          </cell>
          <cell r="AR486">
            <v>-1749</v>
          </cell>
          <cell r="AT486">
            <v>131</v>
          </cell>
          <cell r="AV486">
            <v>-1618</v>
          </cell>
        </row>
        <row r="487">
          <cell r="A487" t="str">
            <v>aurec\stlm\dapim+other</v>
          </cell>
          <cell r="C487">
            <v>-1566.48794</v>
          </cell>
          <cell r="E487">
            <v>-794.78599999999994</v>
          </cell>
          <cell r="G487">
            <v>-2361.27394</v>
          </cell>
          <cell r="I487">
            <v>-969</v>
          </cell>
          <cell r="M487">
            <v>163</v>
          </cell>
          <cell r="Q487">
            <v>-806</v>
          </cell>
          <cell r="S487">
            <v>-2535.48794</v>
          </cell>
          <cell r="U487">
            <v>-631.78599999999994</v>
          </cell>
          <cell r="Z487">
            <v>-3167.27394</v>
          </cell>
          <cell r="AB487">
            <v>0</v>
          </cell>
          <cell r="AD487">
            <v>0</v>
          </cell>
          <cell r="AF487">
            <v>0</v>
          </cell>
          <cell r="AH487">
            <v>0</v>
          </cell>
          <cell r="AJ487">
            <v>0</v>
          </cell>
          <cell r="AL487">
            <v>-3167.27394</v>
          </cell>
          <cell r="AN487" t="str">
            <v>aurec\stlm\dapim+other</v>
          </cell>
          <cell r="AR487">
            <v>-3068.6519400000002</v>
          </cell>
          <cell r="AT487">
            <v>-436</v>
          </cell>
          <cell r="AV487">
            <v>-3504.6519400000002</v>
          </cell>
        </row>
        <row r="488">
          <cell r="A488" t="str">
            <v>capitalization</v>
          </cell>
          <cell r="C488">
            <v>0</v>
          </cell>
          <cell r="E488">
            <v>0</v>
          </cell>
          <cell r="G488">
            <v>0</v>
          </cell>
          <cell r="I488">
            <v>0</v>
          </cell>
          <cell r="M488">
            <v>0</v>
          </cell>
          <cell r="Q488">
            <v>0</v>
          </cell>
          <cell r="S488">
            <v>0</v>
          </cell>
          <cell r="U488">
            <v>0</v>
          </cell>
          <cell r="Z488">
            <v>0</v>
          </cell>
          <cell r="AB488">
            <v>0</v>
          </cell>
          <cell r="AD488">
            <v>0</v>
          </cell>
          <cell r="AF488">
            <v>0</v>
          </cell>
          <cell r="AH488">
            <v>0</v>
          </cell>
          <cell r="AJ488">
            <v>0</v>
          </cell>
          <cell r="AL488">
            <v>0</v>
          </cell>
          <cell r="AN488" t="str">
            <v>capitalization</v>
          </cell>
          <cell r="AR488">
            <v>0</v>
          </cell>
          <cell r="AT488">
            <v>0</v>
          </cell>
          <cell r="AV488">
            <v>0</v>
          </cell>
        </row>
        <row r="489">
          <cell r="A489" t="str">
            <v>expenses(customs&amp;other</v>
          </cell>
          <cell r="C489">
            <v>0</v>
          </cell>
          <cell r="E489">
            <v>0</v>
          </cell>
          <cell r="G489">
            <v>0</v>
          </cell>
          <cell r="I489">
            <v>-12</v>
          </cell>
          <cell r="M489">
            <v>-1</v>
          </cell>
          <cell r="Q489">
            <v>-13</v>
          </cell>
          <cell r="S489">
            <v>-12</v>
          </cell>
          <cell r="U489">
            <v>-1</v>
          </cell>
          <cell r="Z489">
            <v>-13</v>
          </cell>
          <cell r="AB489">
            <v>0</v>
          </cell>
          <cell r="AD489">
            <v>469.5</v>
          </cell>
          <cell r="AF489">
            <v>0</v>
          </cell>
          <cell r="AH489">
            <v>0</v>
          </cell>
          <cell r="AJ489">
            <v>0</v>
          </cell>
          <cell r="AL489">
            <v>456.5</v>
          </cell>
          <cell r="AN489" t="str">
            <v>expenses(customs&amp;other</v>
          </cell>
          <cell r="AR489">
            <v>82.066000000000003</v>
          </cell>
          <cell r="AT489">
            <v>-424</v>
          </cell>
          <cell r="AV489">
            <v>-341.93399999999997</v>
          </cell>
        </row>
        <row r="490">
          <cell r="A490" t="str">
            <v>expenses-banks,net</v>
          </cell>
          <cell r="C490">
            <v>-372.26099999999997</v>
          </cell>
          <cell r="E490">
            <v>0</v>
          </cell>
          <cell r="G490">
            <v>-372.26099999999997</v>
          </cell>
          <cell r="I490">
            <v>93</v>
          </cell>
          <cell r="M490">
            <v>0</v>
          </cell>
          <cell r="Q490">
            <v>93</v>
          </cell>
          <cell r="S490">
            <v>-279.26099999999997</v>
          </cell>
          <cell r="U490">
            <v>0</v>
          </cell>
          <cell r="Z490">
            <v>-279.26099999999997</v>
          </cell>
          <cell r="AB490">
            <v>0</v>
          </cell>
          <cell r="AF490">
            <v>0</v>
          </cell>
          <cell r="AH490">
            <v>0</v>
          </cell>
          <cell r="AJ490">
            <v>0</v>
          </cell>
          <cell r="AL490">
            <v>-279.26099999999997</v>
          </cell>
          <cell r="AN490" t="str">
            <v>expenses-banks,net</v>
          </cell>
          <cell r="AR490">
            <v>-713.21100000000001</v>
          </cell>
          <cell r="AT490">
            <v>261</v>
          </cell>
          <cell r="AV490">
            <v>-452.21100000000001</v>
          </cell>
        </row>
        <row r="491">
          <cell r="C491">
            <v>-1895.6453624720361</v>
          </cell>
          <cell r="E491">
            <v>-794.78599999999994</v>
          </cell>
          <cell r="G491">
            <v>-2690.4313624720362</v>
          </cell>
          <cell r="I491">
            <v>-902</v>
          </cell>
          <cell r="M491">
            <v>162</v>
          </cell>
          <cell r="Q491">
            <v>-740</v>
          </cell>
          <cell r="S491">
            <v>-2797.6453624720361</v>
          </cell>
          <cell r="U491">
            <v>-632.78599999999994</v>
          </cell>
          <cell r="Z491">
            <v>-3430.4313624720362</v>
          </cell>
          <cell r="AB491">
            <v>0</v>
          </cell>
          <cell r="AD491">
            <v>469.5</v>
          </cell>
          <cell r="AF491">
            <v>0</v>
          </cell>
          <cell r="AH491">
            <v>0</v>
          </cell>
          <cell r="AJ491">
            <v>0</v>
          </cell>
          <cell r="AL491">
            <v>-2960.9313624720362</v>
          </cell>
          <cell r="AR491">
            <v>-5639.8253624720364</v>
          </cell>
          <cell r="AT491">
            <v>-194</v>
          </cell>
          <cell r="AV491">
            <v>-5833.8253624720364</v>
          </cell>
          <cell r="AX491">
            <v>0</v>
          </cell>
        </row>
        <row r="493">
          <cell r="A493" t="str">
            <v>CAPITAL GAINS</v>
          </cell>
          <cell r="C493">
            <v>0</v>
          </cell>
          <cell r="E493">
            <v>-0.75</v>
          </cell>
          <cell r="G493">
            <v>-0.75</v>
          </cell>
          <cell r="I493">
            <v>0</v>
          </cell>
          <cell r="M493">
            <v>-3</v>
          </cell>
          <cell r="Q493">
            <v>-3</v>
          </cell>
          <cell r="S493">
            <v>0</v>
          </cell>
          <cell r="U493">
            <v>-3.75</v>
          </cell>
          <cell r="Z493">
            <v>-3.75</v>
          </cell>
          <cell r="AB493">
            <v>0</v>
          </cell>
          <cell r="AF493">
            <v>0</v>
          </cell>
          <cell r="AH493">
            <v>0</v>
          </cell>
          <cell r="AJ493">
            <v>0</v>
          </cell>
          <cell r="AL493">
            <v>-3.75</v>
          </cell>
          <cell r="AN493" t="str">
            <v>capital gains</v>
          </cell>
          <cell r="AR493">
            <v>-30.624000000000006</v>
          </cell>
          <cell r="AT493">
            <v>18</v>
          </cell>
          <cell r="AV493">
            <v>-12.624000000000006</v>
          </cell>
        </row>
        <row r="494">
          <cell r="A494" t="str">
            <v>other income</v>
          </cell>
          <cell r="AD494">
            <v>0</v>
          </cell>
          <cell r="AF494">
            <v>0</v>
          </cell>
          <cell r="AL494">
            <v>0</v>
          </cell>
          <cell r="AN494" t="str">
            <v>other income</v>
          </cell>
          <cell r="AR494">
            <v>0</v>
          </cell>
          <cell r="AT494">
            <v>0</v>
          </cell>
          <cell r="AV494">
            <v>0</v>
          </cell>
          <cell r="BB494" t="str">
            <v>GC&amp;Co.</v>
          </cell>
          <cell r="BC494">
            <v>0.3</v>
          </cell>
          <cell r="BE494">
            <v>0.7</v>
          </cell>
          <cell r="BG494" t="str">
            <v>part of</v>
          </cell>
        </row>
        <row r="495">
          <cell r="A495" t="str">
            <v>profit BEF. TAXES</v>
          </cell>
          <cell r="C495" t="e">
            <v>#REF!</v>
          </cell>
          <cell r="E495">
            <v>-900.26299999999992</v>
          </cell>
          <cell r="G495" t="e">
            <v>#REF!</v>
          </cell>
          <cell r="I495">
            <v>-1239</v>
          </cell>
          <cell r="M495">
            <v>6</v>
          </cell>
          <cell r="Q495">
            <v>-1233</v>
          </cell>
          <cell r="S495" t="e">
            <v>#REF!</v>
          </cell>
          <cell r="U495">
            <v>-894.26299999999992</v>
          </cell>
          <cell r="Z495" t="e">
            <v>#REF!</v>
          </cell>
          <cell r="AB495">
            <v>0</v>
          </cell>
          <cell r="AD495" t="e">
            <v>#REF!</v>
          </cell>
          <cell r="AF495">
            <v>0</v>
          </cell>
          <cell r="AH495">
            <v>0</v>
          </cell>
          <cell r="AJ495">
            <v>0</v>
          </cell>
          <cell r="AL495" t="e">
            <v>#REF!</v>
          </cell>
          <cell r="AN495" t="str">
            <v>profit BEF. TAXES</v>
          </cell>
          <cell r="AR495">
            <v>-55315.897872087422</v>
          </cell>
          <cell r="AT495">
            <v>-9857</v>
          </cell>
          <cell r="AV495">
            <v>-65172.897872087422</v>
          </cell>
          <cell r="BB495" t="str">
            <v>Total</v>
          </cell>
          <cell r="BC495" t="str">
            <v>Iediot</v>
          </cell>
          <cell r="BE495" t="str">
            <v>Special</v>
          </cell>
          <cell r="BG495" t="str">
            <v>Alis</v>
          </cell>
        </row>
        <row r="496">
          <cell r="BA496" t="str">
            <v>30.9.97</v>
          </cell>
          <cell r="BB496">
            <v>0</v>
          </cell>
          <cell r="BC496">
            <v>0</v>
          </cell>
          <cell r="BE496">
            <v>428.75</v>
          </cell>
          <cell r="BG496">
            <v>428.75</v>
          </cell>
        </row>
        <row r="497">
          <cell r="A497" t="str">
            <v>TAXES</v>
          </cell>
          <cell r="C497">
            <v>6731.6253859049775</v>
          </cell>
          <cell r="E497">
            <v>0</v>
          </cell>
          <cell r="G497">
            <v>6731.6253859049775</v>
          </cell>
          <cell r="I497">
            <v>1922</v>
          </cell>
          <cell r="M497">
            <v>0</v>
          </cell>
          <cell r="Q497">
            <v>1922</v>
          </cell>
          <cell r="S497">
            <v>8653.6253859049775</v>
          </cell>
          <cell r="U497">
            <v>0</v>
          </cell>
          <cell r="Z497">
            <v>8653.6253859049775</v>
          </cell>
          <cell r="AB497">
            <v>0</v>
          </cell>
          <cell r="AD497">
            <v>138.5</v>
          </cell>
          <cell r="AF497">
            <v>0</v>
          </cell>
          <cell r="AH497">
            <v>0</v>
          </cell>
          <cell r="AJ497">
            <v>0</v>
          </cell>
          <cell r="AL497">
            <v>8792.1253859049775</v>
          </cell>
          <cell r="AN497" t="str">
            <v>TAXES</v>
          </cell>
          <cell r="AR497">
            <v>16034.403078212672</v>
          </cell>
          <cell r="AT497">
            <v>2346</v>
          </cell>
          <cell r="AV497">
            <v>18380.403078212672</v>
          </cell>
          <cell r="BA497" t="str">
            <v>10-12/97</v>
          </cell>
          <cell r="BB497">
            <v>0</v>
          </cell>
          <cell r="BC497">
            <v>0</v>
          </cell>
          <cell r="BE497">
            <v>61.25</v>
          </cell>
          <cell r="BG497">
            <v>61.25</v>
          </cell>
        </row>
        <row r="499">
          <cell r="A499" t="str">
            <v xml:space="preserve">MIN.INT.IN P.RESULTS </v>
          </cell>
          <cell r="C499">
            <v>0</v>
          </cell>
          <cell r="E499">
            <v>0</v>
          </cell>
          <cell r="G499">
            <v>0</v>
          </cell>
          <cell r="I499">
            <v>0</v>
          </cell>
          <cell r="M499">
            <v>0</v>
          </cell>
          <cell r="Q499">
            <v>0</v>
          </cell>
          <cell r="S499">
            <v>0</v>
          </cell>
          <cell r="U499">
            <v>0</v>
          </cell>
          <cell r="Z499">
            <v>0</v>
          </cell>
          <cell r="AB499">
            <v>0</v>
          </cell>
          <cell r="AF499">
            <v>0</v>
          </cell>
          <cell r="AH499">
            <v>0</v>
          </cell>
          <cell r="AJ499">
            <v>0</v>
          </cell>
          <cell r="AL499">
            <v>0</v>
          </cell>
          <cell r="AN499" t="str">
            <v xml:space="preserve">MIN.INT.IN P.RESULTS </v>
          </cell>
          <cell r="AR499">
            <v>14149</v>
          </cell>
          <cell r="AT499">
            <v>3384</v>
          </cell>
          <cell r="AV499">
            <v>17533</v>
          </cell>
          <cell r="BA499" t="str">
            <v>1-9/97</v>
          </cell>
          <cell r="BB499">
            <v>0</v>
          </cell>
          <cell r="BC499">
            <v>0</v>
          </cell>
          <cell r="BE499">
            <v>245</v>
          </cell>
          <cell r="BG499">
            <v>245</v>
          </cell>
        </row>
        <row r="500">
          <cell r="A500" t="str">
            <v>PROVISION for losses on other investments</v>
          </cell>
          <cell r="C500">
            <v>0</v>
          </cell>
          <cell r="E500">
            <v>0</v>
          </cell>
          <cell r="G500">
            <v>0</v>
          </cell>
          <cell r="I500">
            <v>-4930</v>
          </cell>
          <cell r="Q500">
            <v>-4930</v>
          </cell>
          <cell r="S500">
            <v>-4930</v>
          </cell>
          <cell r="U500">
            <v>0</v>
          </cell>
          <cell r="Z500">
            <v>-4930</v>
          </cell>
          <cell r="AL500">
            <v>-4930</v>
          </cell>
          <cell r="AN500" t="str">
            <v>PROVISION for losses on other investments</v>
          </cell>
          <cell r="AR500">
            <v>0</v>
          </cell>
          <cell r="AT500">
            <v>-5172</v>
          </cell>
          <cell r="AV500">
            <v>-5172</v>
          </cell>
          <cell r="BB500">
            <v>0</v>
          </cell>
          <cell r="BC500">
            <v>0</v>
          </cell>
          <cell r="BE500">
            <v>735</v>
          </cell>
          <cell r="BG500">
            <v>735</v>
          </cell>
        </row>
        <row r="501">
          <cell r="A501" t="str">
            <v>EQUITY profit</v>
          </cell>
          <cell r="C501">
            <v>-18980.634509615382</v>
          </cell>
          <cell r="E501">
            <v>0</v>
          </cell>
          <cell r="G501">
            <v>-18980.634509615382</v>
          </cell>
          <cell r="I501">
            <v>-2060</v>
          </cell>
          <cell r="M501">
            <v>0</v>
          </cell>
          <cell r="Q501">
            <v>-2060</v>
          </cell>
          <cell r="S501">
            <v>-21040.634509615382</v>
          </cell>
          <cell r="U501">
            <v>0</v>
          </cell>
          <cell r="Z501">
            <v>-21040.634509615382</v>
          </cell>
          <cell r="AB501">
            <v>0</v>
          </cell>
          <cell r="AF501">
            <v>0</v>
          </cell>
          <cell r="AH501">
            <v>0</v>
          </cell>
          <cell r="AJ501">
            <v>0</v>
          </cell>
          <cell r="AL501">
            <v>-21040.634509615382</v>
          </cell>
          <cell r="AN501" t="str">
            <v>EQUITY profit</v>
          </cell>
          <cell r="AR501">
            <v>5671.7831846153858</v>
          </cell>
          <cell r="AT501">
            <v>3003</v>
          </cell>
          <cell r="AV501">
            <v>8674.7831846153858</v>
          </cell>
          <cell r="BB501">
            <v>74154.011815384612</v>
          </cell>
          <cell r="BC501">
            <v>735</v>
          </cell>
          <cell r="BG501">
            <v>735</v>
          </cell>
        </row>
        <row r="502">
          <cell r="A502" t="str">
            <v>S. profit to IEDIOT</v>
          </cell>
          <cell r="AB502">
            <v>0</v>
          </cell>
          <cell r="AF502">
            <v>0</v>
          </cell>
          <cell r="AL502">
            <v>0</v>
          </cell>
        </row>
        <row r="503">
          <cell r="A503" t="str">
            <v>profit FOR THE PERIOD</v>
          </cell>
          <cell r="C503" t="e">
            <v>#REF!</v>
          </cell>
          <cell r="G503" t="e">
            <v>#REF!</v>
          </cell>
          <cell r="I503">
            <v>-6307</v>
          </cell>
          <cell r="M503">
            <v>6</v>
          </cell>
          <cell r="Q503">
            <v>-6301</v>
          </cell>
          <cell r="S503" t="e">
            <v>#REF!</v>
          </cell>
          <cell r="U503">
            <v>-6</v>
          </cell>
          <cell r="Z503" t="e">
            <v>#REF!</v>
          </cell>
          <cell r="AB503">
            <v>0</v>
          </cell>
          <cell r="AD503" t="e">
            <v>#REF!</v>
          </cell>
          <cell r="AF503">
            <v>0</v>
          </cell>
          <cell r="AH503">
            <v>0</v>
          </cell>
          <cell r="AJ503">
            <v>0</v>
          </cell>
          <cell r="AL503" t="e">
            <v>#REF!</v>
          </cell>
          <cell r="AN503" t="str">
            <v>profit FOR THE PERIOD</v>
          </cell>
          <cell r="AR503">
            <v>-19460.711609259364</v>
          </cell>
          <cell r="AT503">
            <v>-6296</v>
          </cell>
          <cell r="AV503">
            <v>-25756.711609259364</v>
          </cell>
          <cell r="AX503">
            <v>0</v>
          </cell>
        </row>
        <row r="504">
          <cell r="A504" t="str">
            <v>S. profit to IEDIOT OB</v>
          </cell>
          <cell r="AB504">
            <v>0</v>
          </cell>
          <cell r="AF504">
            <v>0</v>
          </cell>
          <cell r="AL504">
            <v>0</v>
          </cell>
        </row>
        <row r="505">
          <cell r="A505" t="str">
            <v>profit AT BEG.OF PERIOD</v>
          </cell>
          <cell r="C505">
            <v>-4484.8019999999997</v>
          </cell>
          <cell r="E505">
            <v>-17308.024000000001</v>
          </cell>
          <cell r="G505">
            <v>-21792.826000000001</v>
          </cell>
          <cell r="I505">
            <v>-6907</v>
          </cell>
          <cell r="M505">
            <v>-17315</v>
          </cell>
          <cell r="Q505">
            <v>-24222</v>
          </cell>
          <cell r="S505">
            <v>-11391.802</v>
          </cell>
          <cell r="U505">
            <v>-34623.024000000005</v>
          </cell>
          <cell r="Z505">
            <v>-25491.826000000001</v>
          </cell>
          <cell r="AB505">
            <v>0</v>
          </cell>
          <cell r="AD505">
            <v>-1047</v>
          </cell>
          <cell r="AF505">
            <v>0</v>
          </cell>
          <cell r="AH505">
            <v>0</v>
          </cell>
          <cell r="AJ505">
            <v>0</v>
          </cell>
          <cell r="AL505">
            <v>-26538.826000000001</v>
          </cell>
          <cell r="AN505" t="str">
            <v>profit AT BEG.OF PERIOD</v>
          </cell>
          <cell r="AR505">
            <v>-21792</v>
          </cell>
          <cell r="AT505">
            <v>-25497</v>
          </cell>
          <cell r="AV505">
            <v>-25496</v>
          </cell>
          <cell r="AX505">
            <v>1042.8260000000009</v>
          </cell>
        </row>
        <row r="506">
          <cell r="A506" t="str">
            <v>DIVIDEND</v>
          </cell>
          <cell r="C506">
            <v>0</v>
          </cell>
          <cell r="G506">
            <v>0</v>
          </cell>
          <cell r="I506">
            <v>10000</v>
          </cell>
          <cell r="M506">
            <v>0</v>
          </cell>
          <cell r="Q506">
            <v>10000</v>
          </cell>
          <cell r="S506">
            <v>10000</v>
          </cell>
          <cell r="U506">
            <v>0</v>
          </cell>
          <cell r="Z506">
            <v>10000</v>
          </cell>
          <cell r="AB506">
            <v>0</v>
          </cell>
          <cell r="AF506">
            <v>0</v>
          </cell>
          <cell r="AH506">
            <v>0</v>
          </cell>
          <cell r="AJ506">
            <v>0</v>
          </cell>
          <cell r="AL506">
            <v>10000</v>
          </cell>
          <cell r="AN506" t="str">
            <v>DIVIDEND</v>
          </cell>
          <cell r="AR506">
            <v>0</v>
          </cell>
          <cell r="AT506">
            <v>10000</v>
          </cell>
          <cell r="AV506">
            <v>10000</v>
          </cell>
        </row>
        <row r="508">
          <cell r="A508" t="str">
            <v>BAL.OF profit AT END OF PERIOD</v>
          </cell>
          <cell r="C508" t="e">
            <v>#REF!</v>
          </cell>
          <cell r="E508">
            <v>-17308.024000000001</v>
          </cell>
          <cell r="G508" t="e">
            <v>#REF!</v>
          </cell>
          <cell r="I508">
            <v>-3214</v>
          </cell>
          <cell r="M508">
            <v>-17309</v>
          </cell>
          <cell r="Q508">
            <v>-20523</v>
          </cell>
          <cell r="S508" t="e">
            <v>#REF!</v>
          </cell>
          <cell r="U508">
            <v>-34629.024000000005</v>
          </cell>
          <cell r="Z508" t="e">
            <v>#REF!</v>
          </cell>
          <cell r="AB508">
            <v>0</v>
          </cell>
          <cell r="AD508" t="e">
            <v>#REF!</v>
          </cell>
          <cell r="AF508">
            <v>0</v>
          </cell>
          <cell r="AH508">
            <v>0</v>
          </cell>
          <cell r="AJ508">
            <v>0</v>
          </cell>
          <cell r="AL508" t="e">
            <v>#REF!</v>
          </cell>
          <cell r="AN508" t="str">
            <v>BAL.OF profit AT END OF PERIOD</v>
          </cell>
          <cell r="AR508">
            <v>-41252.711609259364</v>
          </cell>
          <cell r="AT508">
            <v>-21793</v>
          </cell>
          <cell r="AV508">
            <v>-41252.711609259364</v>
          </cell>
          <cell r="AX508" t="e">
            <v>#REF!</v>
          </cell>
        </row>
        <row r="509">
          <cell r="AP509">
            <v>-2322.9031230769251</v>
          </cell>
          <cell r="AR509">
            <v>-0.17399999999906868</v>
          </cell>
          <cell r="AT509">
            <v>-2322.0690000000031</v>
          </cell>
        </row>
      </sheetData>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אזן חברה "/>
      <sheetName val="VESTING"/>
      <sheetName val="FAS 123"/>
      <sheetName val="תזרים"/>
      <sheetName val="בדיקת גיליון"/>
      <sheetName val="אחוד"/>
      <sheetName val="פקודות נוספות"/>
      <sheetName val="הון מניות"/>
      <sheetName val="מיסים נדחים"/>
      <sheetName val="U-SOFT"/>
      <sheetName val="השקעה - IPEX"/>
      <sheetName val="השקעה - קומפרו"/>
      <sheetName val="השקעה  - ISI"/>
      <sheetName val="גלעד"/>
      <sheetName val="השקעה - usa"/>
      <sheetName val="SOLU"/>
      <sheetName val="השקעה  בנס ATL"/>
      <sheetName val="USA"/>
      <sheetName val="NESS MATAH"/>
      <sheetName val="מעגלים"/>
      <sheetName val="K1 - Fixed Assets"/>
    </sheetNames>
    <sheetDataSet>
      <sheetData sheetId="0"/>
      <sheetData sheetId="1"/>
      <sheetData sheetId="2"/>
      <sheetData sheetId="3"/>
      <sheetData sheetId="4"/>
      <sheetData sheetId="5"/>
      <sheetData sheetId="6"/>
      <sheetData sheetId="7"/>
      <sheetData sheetId="8"/>
      <sheetData sheetId="9">
        <row r="1">
          <cell r="A1" t="str">
            <v>COMPANY NAME:</v>
          </cell>
          <cell r="B1" t="str">
            <v>USOFT</v>
          </cell>
        </row>
        <row r="4">
          <cell r="C4" t="str">
            <v>NIS</v>
          </cell>
        </row>
        <row r="5">
          <cell r="C5" t="str">
            <v>NLG</v>
          </cell>
          <cell r="D5" t="str">
            <v>NIS</v>
          </cell>
        </row>
        <row r="7">
          <cell r="A7" t="str">
            <v>CASH</v>
          </cell>
          <cell r="B7" t="str">
            <v>Cash and Cash equivalents</v>
          </cell>
          <cell r="D7">
            <v>0</v>
          </cell>
        </row>
        <row r="8">
          <cell r="B8" t="str">
            <v>Deposits</v>
          </cell>
          <cell r="D8">
            <v>0</v>
          </cell>
        </row>
        <row r="9">
          <cell r="B9" t="str">
            <v>Total</v>
          </cell>
          <cell r="C9">
            <v>0</v>
          </cell>
          <cell r="D9">
            <v>0</v>
          </cell>
        </row>
        <row r="10">
          <cell r="D10">
            <v>0</v>
          </cell>
        </row>
        <row r="11">
          <cell r="A11" t="str">
            <v>SHORT TERM</v>
          </cell>
          <cell r="B11" t="str">
            <v>Short term deposits</v>
          </cell>
          <cell r="D11">
            <v>0</v>
          </cell>
        </row>
        <row r="12">
          <cell r="B12" t="str">
            <v>Total</v>
          </cell>
          <cell r="C12">
            <v>0</v>
          </cell>
          <cell r="D12">
            <v>0</v>
          </cell>
        </row>
        <row r="14">
          <cell r="A14" t="str">
            <v>MARKETABLE SECURITIES</v>
          </cell>
          <cell r="B14" t="str">
            <v>Equity</v>
          </cell>
          <cell r="D14">
            <v>0</v>
          </cell>
        </row>
        <row r="15">
          <cell r="B15" t="str">
            <v>Debentures</v>
          </cell>
          <cell r="D15">
            <v>0</v>
          </cell>
        </row>
        <row r="16">
          <cell r="B16" t="str">
            <v>Total</v>
          </cell>
          <cell r="C16">
            <v>0</v>
          </cell>
          <cell r="D16">
            <v>0</v>
          </cell>
        </row>
        <row r="18">
          <cell r="A18" t="str">
            <v>TRADE RECEIVABLES</v>
          </cell>
          <cell r="B18" t="str">
            <v>Trade receivables-Israeli</v>
          </cell>
          <cell r="D18">
            <v>0</v>
          </cell>
        </row>
        <row r="19">
          <cell r="B19" t="str">
            <v>Trade receivables-non Israeli</v>
          </cell>
          <cell r="C19">
            <v>3498</v>
          </cell>
          <cell r="D19">
            <v>5600</v>
          </cell>
        </row>
        <row r="20">
          <cell r="B20" t="str">
            <v>Allowance for doubtful accounts</v>
          </cell>
          <cell r="D20">
            <v>0</v>
          </cell>
        </row>
        <row r="21">
          <cell r="B21" t="str">
            <v>Unbilled receivables</v>
          </cell>
          <cell r="C21">
            <v>150</v>
          </cell>
          <cell r="D21">
            <v>240</v>
          </cell>
        </row>
        <row r="22">
          <cell r="B22" t="str">
            <v>Total</v>
          </cell>
          <cell r="C22">
            <v>3648</v>
          </cell>
          <cell r="D22">
            <v>5840</v>
          </cell>
        </row>
        <row r="24">
          <cell r="A24" t="str">
            <v>WORK IN PROGRESS</v>
          </cell>
          <cell r="B24" t="str">
            <v>Work in progress</v>
          </cell>
          <cell r="D24">
            <v>0</v>
          </cell>
        </row>
        <row r="25">
          <cell r="B25" t="str">
            <v>Total</v>
          </cell>
          <cell r="C25">
            <v>0</v>
          </cell>
          <cell r="D25">
            <v>0</v>
          </cell>
        </row>
        <row r="27">
          <cell r="A27" t="str">
            <v>INVENTORIES</v>
          </cell>
          <cell r="B27" t="str">
            <v>Inventories</v>
          </cell>
          <cell r="D27">
            <v>0</v>
          </cell>
        </row>
        <row r="28">
          <cell r="B28" t="str">
            <v>Total</v>
          </cell>
          <cell r="C28">
            <v>0</v>
          </cell>
          <cell r="D28">
            <v>0</v>
          </cell>
        </row>
        <row r="30">
          <cell r="A30" t="str">
            <v>OTHER ACCOUNTS RECEIVABLES</v>
          </cell>
          <cell r="B30" t="str">
            <v>Government authorities</v>
          </cell>
          <cell r="C30">
            <v>457</v>
          </cell>
          <cell r="D30">
            <v>732</v>
          </cell>
        </row>
        <row r="31">
          <cell r="B31" t="str">
            <v>Advances - suppliers</v>
          </cell>
          <cell r="D31">
            <v>0</v>
          </cell>
        </row>
        <row r="32">
          <cell r="B32" t="str">
            <v>Employees</v>
          </cell>
          <cell r="C32">
            <v>37</v>
          </cell>
          <cell r="D32">
            <v>59</v>
          </cell>
        </row>
        <row r="33">
          <cell r="B33" t="str">
            <v>Prepaid expenses</v>
          </cell>
          <cell r="C33">
            <v>708</v>
          </cell>
          <cell r="D33">
            <v>1134</v>
          </cell>
        </row>
        <row r="34">
          <cell r="B34" t="str">
            <v>Deferred taxes</v>
          </cell>
          <cell r="D34">
            <v>0</v>
          </cell>
        </row>
        <row r="35">
          <cell r="B35" t="str">
            <v>Others</v>
          </cell>
          <cell r="D35">
            <v>0</v>
          </cell>
        </row>
        <row r="36">
          <cell r="B36" t="str">
            <v>Total</v>
          </cell>
          <cell r="C36">
            <v>1202</v>
          </cell>
          <cell r="D36">
            <v>1925</v>
          </cell>
        </row>
        <row r="38">
          <cell r="A38" t="str">
            <v xml:space="preserve"> HIZ SUB</v>
          </cell>
          <cell r="B38" t="str">
            <v xml:space="preserve"> NESS Subsidiaries</v>
          </cell>
          <cell r="C38">
            <v>-2842</v>
          </cell>
          <cell r="D38">
            <v>-4550</v>
          </cell>
        </row>
        <row r="39">
          <cell r="B39" t="str">
            <v>Total</v>
          </cell>
          <cell r="C39">
            <v>-2842</v>
          </cell>
          <cell r="D39">
            <v>-4550</v>
          </cell>
        </row>
        <row r="41">
          <cell r="A41" t="str">
            <v>RELATED PARTIES</v>
          </cell>
          <cell r="B41" t="str">
            <v>Related parties, Net</v>
          </cell>
          <cell r="D41">
            <v>0</v>
          </cell>
        </row>
        <row r="42">
          <cell r="B42" t="str">
            <v>Total</v>
          </cell>
          <cell r="C42">
            <v>0</v>
          </cell>
          <cell r="D42">
            <v>0</v>
          </cell>
        </row>
        <row r="44">
          <cell r="A44" t="str">
            <v>INV IN SUB</v>
          </cell>
          <cell r="B44" t="str">
            <v>Affiliates</v>
          </cell>
          <cell r="D44">
            <v>0</v>
          </cell>
        </row>
        <row r="45">
          <cell r="B45" t="str">
            <v>Total</v>
          </cell>
          <cell r="C45">
            <v>0</v>
          </cell>
          <cell r="D45">
            <v>0</v>
          </cell>
        </row>
        <row r="47">
          <cell r="A47" t="str">
            <v>LONG TERM RECEIVABLES</v>
          </cell>
          <cell r="B47" t="str">
            <v>Deposits in respect of lease</v>
          </cell>
          <cell r="C47">
            <v>112</v>
          </cell>
          <cell r="D47">
            <v>179</v>
          </cell>
        </row>
        <row r="48">
          <cell r="B48" t="str">
            <v>Trade receivables</v>
          </cell>
          <cell r="D48">
            <v>0</v>
          </cell>
        </row>
        <row r="49">
          <cell r="B49" t="str">
            <v>Prepaid expensesand deposits</v>
          </cell>
          <cell r="D49">
            <v>0</v>
          </cell>
        </row>
        <row r="50">
          <cell r="B50" t="str">
            <v>Loans</v>
          </cell>
          <cell r="D50">
            <v>0</v>
          </cell>
        </row>
        <row r="51">
          <cell r="B51" t="str">
            <v>Severance pay fund</v>
          </cell>
          <cell r="D51">
            <v>0</v>
          </cell>
        </row>
        <row r="52">
          <cell r="B52" t="str">
            <v>Marketable securities</v>
          </cell>
          <cell r="D52">
            <v>0</v>
          </cell>
        </row>
        <row r="53">
          <cell r="B53" t="str">
            <v>Defered Tax</v>
          </cell>
          <cell r="D53">
            <v>0</v>
          </cell>
        </row>
        <row r="54">
          <cell r="B54" t="str">
            <v>Total</v>
          </cell>
          <cell r="C54">
            <v>112</v>
          </cell>
          <cell r="D54">
            <v>179</v>
          </cell>
        </row>
        <row r="56">
          <cell r="A56" t="str">
            <v>FIXED ASSETS - COST</v>
          </cell>
          <cell r="B56" t="str">
            <v>Computers &amp; Peripheral Device</v>
          </cell>
          <cell r="C56">
            <v>3781</v>
          </cell>
          <cell r="D56">
            <v>6053</v>
          </cell>
        </row>
        <row r="57">
          <cell r="B57" t="str">
            <v>Office Equipment</v>
          </cell>
          <cell r="C57">
            <v>881</v>
          </cell>
          <cell r="D57">
            <v>1410</v>
          </cell>
        </row>
        <row r="58">
          <cell r="B58" t="str">
            <v>vehicles</v>
          </cell>
          <cell r="C58">
            <v>21</v>
          </cell>
          <cell r="D58">
            <v>34</v>
          </cell>
        </row>
        <row r="59">
          <cell r="B59" t="str">
            <v>Improvement in rented equipment</v>
          </cell>
          <cell r="C59">
            <v>1442</v>
          </cell>
          <cell r="D59">
            <v>2309</v>
          </cell>
        </row>
        <row r="60">
          <cell r="B60" t="str">
            <v>Total</v>
          </cell>
          <cell r="C60">
            <v>6125</v>
          </cell>
          <cell r="D60">
            <v>9806</v>
          </cell>
        </row>
        <row r="62">
          <cell r="A62" t="str">
            <v>ACCUMULATED DEPRECIATION</v>
          </cell>
          <cell r="B62" t="str">
            <v>Computers &amp; Peripheral Device</v>
          </cell>
          <cell r="C62">
            <v>-2993</v>
          </cell>
          <cell r="D62">
            <v>-4792</v>
          </cell>
        </row>
        <row r="63">
          <cell r="B63" t="str">
            <v>Office Equipment</v>
          </cell>
          <cell r="C63">
            <v>-851</v>
          </cell>
          <cell r="D63">
            <v>-1362</v>
          </cell>
        </row>
        <row r="64">
          <cell r="B64" t="str">
            <v>vehicles</v>
          </cell>
          <cell r="C64">
            <v>-14</v>
          </cell>
          <cell r="D64">
            <v>-22</v>
          </cell>
        </row>
        <row r="65">
          <cell r="B65" t="str">
            <v>Improvement in rented equipment</v>
          </cell>
          <cell r="C65">
            <v>-1280</v>
          </cell>
          <cell r="D65">
            <v>-2049</v>
          </cell>
        </row>
        <row r="66">
          <cell r="B66" t="str">
            <v>Total</v>
          </cell>
          <cell r="C66">
            <v>-5138</v>
          </cell>
          <cell r="D66">
            <v>-8225</v>
          </cell>
        </row>
        <row r="68">
          <cell r="A68" t="str">
            <v>OTHER ASSETS</v>
          </cell>
          <cell r="B68" t="str">
            <v>Goodwill - Cost</v>
          </cell>
          <cell r="D68">
            <v>0</v>
          </cell>
        </row>
        <row r="69">
          <cell r="B69" t="str">
            <v>Goodwill - Amortization</v>
          </cell>
          <cell r="D69">
            <v>0</v>
          </cell>
        </row>
        <row r="70">
          <cell r="B70" t="str">
            <v>Others</v>
          </cell>
          <cell r="D70">
            <v>0</v>
          </cell>
        </row>
        <row r="71">
          <cell r="B71" t="str">
            <v>Total</v>
          </cell>
          <cell r="C71">
            <v>0</v>
          </cell>
          <cell r="D71">
            <v>0</v>
          </cell>
        </row>
        <row r="73">
          <cell r="A73" t="str">
            <v>SHORT TERM DEBTS</v>
          </cell>
          <cell r="B73" t="str">
            <v>Loans from banks</v>
          </cell>
          <cell r="D73">
            <v>0</v>
          </cell>
        </row>
        <row r="74">
          <cell r="B74" t="str">
            <v>Bank credit</v>
          </cell>
          <cell r="C74">
            <v>-1960</v>
          </cell>
          <cell r="D74">
            <v>-3138</v>
          </cell>
        </row>
        <row r="75">
          <cell r="B75" t="str">
            <v>Others</v>
          </cell>
          <cell r="D75">
            <v>0</v>
          </cell>
        </row>
        <row r="76">
          <cell r="B76" t="str">
            <v>Total</v>
          </cell>
          <cell r="C76">
            <v>-1960</v>
          </cell>
          <cell r="D76">
            <v>-3138</v>
          </cell>
        </row>
        <row r="78">
          <cell r="A78" t="str">
            <v>CURRENT MATURITIES</v>
          </cell>
          <cell r="B78" t="str">
            <v>Current maturities</v>
          </cell>
          <cell r="D78">
            <v>0</v>
          </cell>
        </row>
        <row r="79">
          <cell r="B79" t="str">
            <v>Total</v>
          </cell>
          <cell r="C79">
            <v>0</v>
          </cell>
          <cell r="D79">
            <v>0</v>
          </cell>
        </row>
        <row r="81">
          <cell r="A81" t="str">
            <v>TRADE PAYABLES</v>
          </cell>
          <cell r="B81" t="str">
            <v>Trade payables-Israeli</v>
          </cell>
          <cell r="D81">
            <v>0</v>
          </cell>
        </row>
        <row r="82">
          <cell r="B82" t="str">
            <v>Trade payables-non Israeli</v>
          </cell>
          <cell r="C82">
            <v>-1821</v>
          </cell>
          <cell r="D82">
            <v>-2915</v>
          </cell>
        </row>
        <row r="83">
          <cell r="B83" t="str">
            <v>Total</v>
          </cell>
          <cell r="C83">
            <v>-1821</v>
          </cell>
          <cell r="D83">
            <v>-2915</v>
          </cell>
        </row>
        <row r="85">
          <cell r="A85" t="str">
            <v>CUSTOMER ADVANCES</v>
          </cell>
          <cell r="B85" t="str">
            <v>Customer advances</v>
          </cell>
          <cell r="D85">
            <v>0</v>
          </cell>
        </row>
        <row r="86">
          <cell r="B86" t="str">
            <v>Total</v>
          </cell>
          <cell r="C86">
            <v>0</v>
          </cell>
          <cell r="D86">
            <v>0</v>
          </cell>
        </row>
        <row r="88">
          <cell r="A88" t="str">
            <v>OTHER ACCOUNTS PAYABLES</v>
          </cell>
          <cell r="B88" t="str">
            <v>Employees</v>
          </cell>
          <cell r="C88">
            <v>-177</v>
          </cell>
          <cell r="D88">
            <v>-283</v>
          </cell>
        </row>
        <row r="89">
          <cell r="B89" t="str">
            <v>Accrued vacation and employee benefits</v>
          </cell>
          <cell r="D89">
            <v>0</v>
          </cell>
        </row>
        <row r="90">
          <cell r="B90" t="str">
            <v>Government authorities</v>
          </cell>
          <cell r="C90">
            <v>-513</v>
          </cell>
          <cell r="D90">
            <v>-821</v>
          </cell>
        </row>
        <row r="91">
          <cell r="B91" t="str">
            <v>Accrued expenses</v>
          </cell>
          <cell r="C91">
            <v>-885</v>
          </cell>
          <cell r="D91">
            <v>-1417</v>
          </cell>
        </row>
        <row r="92">
          <cell r="B92" t="str">
            <v>Warrenty provision</v>
          </cell>
          <cell r="D92">
            <v>0</v>
          </cell>
        </row>
        <row r="93">
          <cell r="B93" t="str">
            <v>Deferred income</v>
          </cell>
          <cell r="C93">
            <v>-2868</v>
          </cell>
          <cell r="D93">
            <v>-4592</v>
          </cell>
        </row>
        <row r="94">
          <cell r="B94" t="str">
            <v>Deferred tax liabilities</v>
          </cell>
          <cell r="D94">
            <v>0</v>
          </cell>
        </row>
        <row r="95">
          <cell r="B95" t="str">
            <v xml:space="preserve">Dividend to pay </v>
          </cell>
          <cell r="D95">
            <v>0</v>
          </cell>
        </row>
        <row r="96">
          <cell r="B96" t="str">
            <v>Others</v>
          </cell>
          <cell r="C96">
            <v>-11</v>
          </cell>
          <cell r="D96">
            <v>-18</v>
          </cell>
        </row>
        <row r="97">
          <cell r="B97" t="str">
            <v>Total</v>
          </cell>
          <cell r="C97">
            <v>-4454</v>
          </cell>
          <cell r="D97">
            <v>-7131</v>
          </cell>
        </row>
        <row r="99">
          <cell r="A99" t="str">
            <v>LONG TERM LOANS</v>
          </cell>
          <cell r="B99" t="str">
            <v>Bank loans - Nis</v>
          </cell>
          <cell r="D99">
            <v>0</v>
          </cell>
        </row>
        <row r="100">
          <cell r="B100" t="str">
            <v>Bank loans - $</v>
          </cell>
          <cell r="D100">
            <v>0</v>
          </cell>
        </row>
        <row r="101">
          <cell r="B101" t="str">
            <v>Capital note</v>
          </cell>
          <cell r="D101">
            <v>0</v>
          </cell>
        </row>
        <row r="102">
          <cell r="B102" t="str">
            <v>Other loans</v>
          </cell>
          <cell r="D102">
            <v>0</v>
          </cell>
        </row>
        <row r="103">
          <cell r="B103" t="str">
            <v>Total</v>
          </cell>
          <cell r="C103">
            <v>0</v>
          </cell>
          <cell r="D103">
            <v>0</v>
          </cell>
        </row>
        <row r="105">
          <cell r="A105" t="str">
            <v>LONG TERM LIABILITIES</v>
          </cell>
          <cell r="B105" t="str">
            <v>Accrued severance pay</v>
          </cell>
          <cell r="C105">
            <v>-200</v>
          </cell>
          <cell r="D105">
            <v>-320</v>
          </cell>
        </row>
        <row r="106">
          <cell r="B106" t="str">
            <v>Deferred tax liabilities</v>
          </cell>
          <cell r="D106">
            <v>0</v>
          </cell>
        </row>
        <row r="107">
          <cell r="B107" t="str">
            <v>Total</v>
          </cell>
          <cell r="C107">
            <v>-200</v>
          </cell>
          <cell r="D107">
            <v>-320</v>
          </cell>
        </row>
        <row r="109">
          <cell r="A109" t="str">
            <v>MINORITY INTEREST</v>
          </cell>
          <cell r="B109" t="str">
            <v>Minority Interest</v>
          </cell>
          <cell r="D109">
            <v>0</v>
          </cell>
        </row>
        <row r="110">
          <cell r="B110" t="str">
            <v>Total</v>
          </cell>
        </row>
        <row r="112">
          <cell r="A112" t="str">
            <v>SHAREHOLDERS EQUITY</v>
          </cell>
          <cell r="B112" t="str">
            <v>Shares</v>
          </cell>
          <cell r="C112">
            <v>-46</v>
          </cell>
        </row>
        <row r="113">
          <cell r="B113" t="str">
            <v>Additional paid in capital</v>
          </cell>
          <cell r="C113">
            <v>-35595</v>
          </cell>
        </row>
        <row r="114">
          <cell r="B114" t="str">
            <v>Deferred Compensation</v>
          </cell>
          <cell r="D114">
            <v>0</v>
          </cell>
        </row>
        <row r="115">
          <cell r="B115" t="str">
            <v>Other Capital Reserve</v>
          </cell>
          <cell r="D115">
            <v>0</v>
          </cell>
        </row>
        <row r="116">
          <cell r="B116" t="str">
            <v>Translation adjastments</v>
          </cell>
          <cell r="C116">
            <v>-44</v>
          </cell>
          <cell r="D116">
            <v>-874</v>
          </cell>
        </row>
        <row r="117">
          <cell r="B117" t="str">
            <v>Unrealized gains - marketable securities</v>
          </cell>
          <cell r="D117">
            <v>0</v>
          </cell>
        </row>
        <row r="118">
          <cell r="B118" t="str">
            <v xml:space="preserve">Accumulated deficit </v>
          </cell>
          <cell r="C118">
            <v>40353</v>
          </cell>
          <cell r="D118">
            <v>8287</v>
          </cell>
        </row>
        <row r="119">
          <cell r="B119" t="str">
            <v>Accumulated deficit - for the period</v>
          </cell>
          <cell r="C119">
            <v>660</v>
          </cell>
          <cell r="D119">
            <v>1116</v>
          </cell>
        </row>
        <row r="120">
          <cell r="B120" t="str">
            <v>Total</v>
          </cell>
          <cell r="C120">
            <v>5328</v>
          </cell>
          <cell r="D120">
            <v>8529</v>
          </cell>
        </row>
        <row r="122">
          <cell r="B122" t="str">
            <v>Check</v>
          </cell>
          <cell r="C122">
            <v>0</v>
          </cell>
          <cell r="D122">
            <v>0</v>
          </cell>
        </row>
        <row r="127">
          <cell r="B127" t="str">
            <v>Sales</v>
          </cell>
        </row>
        <row r="128">
          <cell r="A128" t="str">
            <v>REVENUES</v>
          </cell>
          <cell r="B128" t="str">
            <v>Revenues from IT services</v>
          </cell>
          <cell r="C128">
            <v>-8494</v>
          </cell>
          <cell r="D128">
            <v>-11865</v>
          </cell>
        </row>
        <row r="129">
          <cell r="B129" t="str">
            <v>Revenues from marketing of software products</v>
          </cell>
          <cell r="C129">
            <v>-935</v>
          </cell>
          <cell r="D129">
            <v>-1580</v>
          </cell>
        </row>
        <row r="130">
          <cell r="B130" t="str">
            <v>Revenues from software</v>
          </cell>
        </row>
        <row r="131">
          <cell r="B131" t="str">
            <v>Related parties</v>
          </cell>
          <cell r="D131">
            <v>-2489</v>
          </cell>
        </row>
        <row r="132">
          <cell r="B132" t="str">
            <v>Total</v>
          </cell>
          <cell r="C132">
            <v>-9429</v>
          </cell>
          <cell r="D132">
            <v>-15934</v>
          </cell>
        </row>
        <row r="133">
          <cell r="B133" t="str">
            <v>COGS</v>
          </cell>
        </row>
        <row r="134">
          <cell r="A134" t="str">
            <v>COST OF REVENUES</v>
          </cell>
          <cell r="B134" t="str">
            <v>Salaries and related expenses</v>
          </cell>
          <cell r="C134">
            <v>3579</v>
          </cell>
          <cell r="D134">
            <v>6048</v>
          </cell>
        </row>
        <row r="135">
          <cell r="B135" t="str">
            <v>Cars rental</v>
          </cell>
          <cell r="D135">
            <v>0</v>
          </cell>
        </row>
        <row r="136">
          <cell r="B136" t="str">
            <v>Related parties</v>
          </cell>
          <cell r="D136">
            <v>0</v>
          </cell>
        </row>
        <row r="137">
          <cell r="B137" t="str">
            <v>Building rental and maintenance</v>
          </cell>
          <cell r="C137">
            <v>396</v>
          </cell>
          <cell r="D137">
            <v>669</v>
          </cell>
        </row>
        <row r="138">
          <cell r="B138" t="str">
            <v>Depreciation</v>
          </cell>
          <cell r="C138">
            <v>353</v>
          </cell>
          <cell r="D138">
            <v>597</v>
          </cell>
        </row>
        <row r="139">
          <cell r="B139" t="str">
            <v>Materials</v>
          </cell>
          <cell r="C139">
            <v>30</v>
          </cell>
          <cell r="D139">
            <v>51</v>
          </cell>
        </row>
        <row r="140">
          <cell r="B140" t="str">
            <v>Subcontractors</v>
          </cell>
          <cell r="D140">
            <v>0</v>
          </cell>
        </row>
        <row r="141">
          <cell r="B141" t="str">
            <v>Work in progress</v>
          </cell>
          <cell r="D141">
            <v>0</v>
          </cell>
        </row>
        <row r="142">
          <cell r="B142" t="str">
            <v>Others</v>
          </cell>
          <cell r="C142">
            <v>44</v>
          </cell>
          <cell r="D142">
            <v>74</v>
          </cell>
        </row>
        <row r="143">
          <cell r="B143" t="str">
            <v>Total</v>
          </cell>
          <cell r="C143">
            <v>4402</v>
          </cell>
          <cell r="D143">
            <v>7439</v>
          </cell>
        </row>
        <row r="145">
          <cell r="A145" t="str">
            <v>GP</v>
          </cell>
          <cell r="B145" t="str">
            <v>GP</v>
          </cell>
          <cell r="C145">
            <v>-5027</v>
          </cell>
          <cell r="D145">
            <v>-8495</v>
          </cell>
        </row>
        <row r="146">
          <cell r="C146">
            <v>0.53314243291971575</v>
          </cell>
          <cell r="D146">
            <v>0.53313668884147103</v>
          </cell>
        </row>
        <row r="147">
          <cell r="B147" t="str">
            <v>R&amp;D</v>
          </cell>
        </row>
        <row r="148">
          <cell r="A148" t="str">
            <v>R&amp;D</v>
          </cell>
          <cell r="B148" t="str">
            <v>Salaries and related expenses</v>
          </cell>
          <cell r="C148">
            <v>1188</v>
          </cell>
          <cell r="D148">
            <v>2008</v>
          </cell>
        </row>
        <row r="149">
          <cell r="B149" t="str">
            <v>Subcontractors</v>
          </cell>
          <cell r="D149">
            <v>0</v>
          </cell>
        </row>
        <row r="150">
          <cell r="B150" t="str">
            <v>Depreciation</v>
          </cell>
          <cell r="D150">
            <v>0</v>
          </cell>
        </row>
        <row r="151">
          <cell r="B151" t="str">
            <v>Consultation</v>
          </cell>
          <cell r="D151">
            <v>0</v>
          </cell>
        </row>
        <row r="152">
          <cell r="B152" t="str">
            <v>Others</v>
          </cell>
          <cell r="C152">
            <v>66</v>
          </cell>
          <cell r="D152">
            <v>112</v>
          </cell>
        </row>
        <row r="153">
          <cell r="B153" t="str">
            <v>Less - OCS Participation</v>
          </cell>
          <cell r="D153">
            <v>0</v>
          </cell>
        </row>
        <row r="154">
          <cell r="B154" t="str">
            <v>Total</v>
          </cell>
          <cell r="C154">
            <v>1254</v>
          </cell>
          <cell r="D154">
            <v>2120</v>
          </cell>
        </row>
        <row r="155">
          <cell r="D155">
            <v>-0.13304882640893687</v>
          </cell>
        </row>
        <row r="156">
          <cell r="A156" t="str">
            <v>S&amp;M</v>
          </cell>
          <cell r="B156" t="str">
            <v>Salaries and related expenses</v>
          </cell>
          <cell r="C156">
            <v>1009</v>
          </cell>
          <cell r="D156">
            <v>1705</v>
          </cell>
        </row>
        <row r="157">
          <cell r="B157" t="str">
            <v>Depreciation</v>
          </cell>
          <cell r="D157">
            <v>0</v>
          </cell>
        </row>
        <row r="158">
          <cell r="B158" t="str">
            <v>Traveling Abroad</v>
          </cell>
          <cell r="C158">
            <v>228</v>
          </cell>
          <cell r="D158">
            <v>385</v>
          </cell>
        </row>
        <row r="159">
          <cell r="B159" t="str">
            <v>Advertisment</v>
          </cell>
          <cell r="C159">
            <v>65</v>
          </cell>
          <cell r="D159">
            <v>110</v>
          </cell>
        </row>
        <row r="160">
          <cell r="B160" t="str">
            <v>Others</v>
          </cell>
          <cell r="C160">
            <v>486</v>
          </cell>
          <cell r="D160">
            <v>821</v>
          </cell>
        </row>
        <row r="161">
          <cell r="B161" t="str">
            <v>Less - Government Marketing Participation</v>
          </cell>
          <cell r="D161">
            <v>0</v>
          </cell>
        </row>
        <row r="162">
          <cell r="B162" t="str">
            <v>Total</v>
          </cell>
          <cell r="C162">
            <v>1788</v>
          </cell>
          <cell r="D162">
            <v>3021</v>
          </cell>
        </row>
        <row r="164">
          <cell r="A164" t="str">
            <v>G&amp;A</v>
          </cell>
          <cell r="B164" t="str">
            <v>Salaries and related expenses</v>
          </cell>
          <cell r="C164">
            <v>832</v>
          </cell>
          <cell r="D164">
            <v>1406</v>
          </cell>
        </row>
        <row r="165">
          <cell r="B165" t="str">
            <v>Cars rental</v>
          </cell>
          <cell r="D165">
            <v>0</v>
          </cell>
        </row>
        <row r="166">
          <cell r="B166" t="str">
            <v>Equipment Maintenance</v>
          </cell>
          <cell r="C166">
            <v>449</v>
          </cell>
          <cell r="D166">
            <v>759</v>
          </cell>
        </row>
        <row r="167">
          <cell r="B167" t="str">
            <v>Traveling Abroad</v>
          </cell>
          <cell r="C167">
            <v>98</v>
          </cell>
          <cell r="D167">
            <v>166</v>
          </cell>
        </row>
        <row r="168">
          <cell r="B168" t="str">
            <v>Depreciation</v>
          </cell>
          <cell r="D168">
            <v>0</v>
          </cell>
        </row>
        <row r="169">
          <cell r="B169" t="str">
            <v>Part in the par com</v>
          </cell>
          <cell r="D169">
            <v>0</v>
          </cell>
        </row>
        <row r="170">
          <cell r="B170" t="str">
            <v>Management Fee</v>
          </cell>
          <cell r="D170">
            <v>0</v>
          </cell>
        </row>
        <row r="171">
          <cell r="B171" t="str">
            <v>Doubtful Debt Provision Expenses</v>
          </cell>
          <cell r="D171">
            <v>0</v>
          </cell>
        </row>
        <row r="172">
          <cell r="B172" t="str">
            <v>Others</v>
          </cell>
          <cell r="C172">
            <v>1037</v>
          </cell>
          <cell r="D172">
            <v>1752</v>
          </cell>
        </row>
        <row r="173">
          <cell r="B173" t="str">
            <v>Total</v>
          </cell>
          <cell r="C173">
            <v>2416</v>
          </cell>
          <cell r="D173">
            <v>4083</v>
          </cell>
        </row>
        <row r="174">
          <cell r="D174">
            <v>-0.2562445085979666</v>
          </cell>
        </row>
        <row r="175">
          <cell r="A175" t="str">
            <v>GOODWILL AMORTIZATION</v>
          </cell>
          <cell r="B175" t="str">
            <v>Goodwill amortization</v>
          </cell>
          <cell r="D175">
            <v>0</v>
          </cell>
        </row>
        <row r="176">
          <cell r="B176" t="str">
            <v>Total</v>
          </cell>
          <cell r="C176">
            <v>0</v>
          </cell>
          <cell r="D176">
            <v>0</v>
          </cell>
        </row>
        <row r="178">
          <cell r="B178" t="str">
            <v xml:space="preserve"> O.I</v>
          </cell>
          <cell r="C178">
            <v>431</v>
          </cell>
          <cell r="D178">
            <v>729</v>
          </cell>
        </row>
        <row r="180">
          <cell r="A180" t="str">
            <v>FINANCE EXPENSES/INCOME</v>
          </cell>
          <cell r="B180" t="str">
            <v>Finance expenses/income</v>
          </cell>
          <cell r="C180">
            <v>229</v>
          </cell>
          <cell r="D180">
            <v>387</v>
          </cell>
        </row>
        <row r="181">
          <cell r="B181" t="str">
            <v>Total</v>
          </cell>
          <cell r="C181">
            <v>229</v>
          </cell>
          <cell r="D181">
            <v>387</v>
          </cell>
        </row>
        <row r="183">
          <cell r="A183" t="str">
            <v>OTHER INCOME</v>
          </cell>
          <cell r="B183" t="str">
            <v>Other income</v>
          </cell>
          <cell r="D183">
            <v>0</v>
          </cell>
        </row>
        <row r="184">
          <cell r="B184" t="str">
            <v>Total</v>
          </cell>
          <cell r="C184">
            <v>0</v>
          </cell>
          <cell r="D184">
            <v>0</v>
          </cell>
        </row>
        <row r="186">
          <cell r="B186" t="str">
            <v>CurrentTax</v>
          </cell>
          <cell r="D186">
            <v>0</v>
          </cell>
        </row>
        <row r="187">
          <cell r="B187" t="str">
            <v>Defferd Tax</v>
          </cell>
          <cell r="D187">
            <v>0</v>
          </cell>
        </row>
        <row r="188">
          <cell r="A188" t="str">
            <v>TAX</v>
          </cell>
          <cell r="B188" t="str">
            <v>Others</v>
          </cell>
          <cell r="D188">
            <v>0</v>
          </cell>
        </row>
        <row r="189">
          <cell r="B189" t="str">
            <v>Total</v>
          </cell>
          <cell r="C189">
            <v>0</v>
          </cell>
          <cell r="D189">
            <v>0</v>
          </cell>
        </row>
        <row r="191">
          <cell r="A191" t="str">
            <v>EQUITY EARNINGS</v>
          </cell>
          <cell r="B191" t="str">
            <v>Equity earnings</v>
          </cell>
          <cell r="D191">
            <v>0</v>
          </cell>
        </row>
        <row r="192">
          <cell r="B192" t="str">
            <v>Total</v>
          </cell>
          <cell r="C192">
            <v>0</v>
          </cell>
          <cell r="D192">
            <v>0</v>
          </cell>
        </row>
        <row r="194">
          <cell r="A194" t="str">
            <v>MINORITY INTEREST</v>
          </cell>
          <cell r="B194" t="str">
            <v>Minority interest</v>
          </cell>
          <cell r="D194">
            <v>0</v>
          </cell>
        </row>
        <row r="195">
          <cell r="B195" t="str">
            <v>Total</v>
          </cell>
        </row>
        <row r="197">
          <cell r="B197" t="str">
            <v>NI</v>
          </cell>
          <cell r="C197">
            <v>660</v>
          </cell>
          <cell r="D197">
            <v>1116</v>
          </cell>
        </row>
      </sheetData>
      <sheetData sheetId="10"/>
      <sheetData sheetId="11"/>
      <sheetData sheetId="12"/>
      <sheetData sheetId="13"/>
      <sheetData sheetId="14"/>
      <sheetData sheetId="15"/>
      <sheetData sheetId="16"/>
      <sheetData sheetId="17"/>
      <sheetData sheetId="18"/>
      <sheetData sheetId="19">
        <row r="1">
          <cell r="A1" t="str">
            <v>נס מטח</v>
          </cell>
          <cell r="B1" t="str">
            <v xml:space="preserve">מחשבים </v>
          </cell>
          <cell r="C1" t="str">
            <v xml:space="preserve">ריהוט </v>
          </cell>
          <cell r="E1" t="str">
            <v xml:space="preserve">שיפורים </v>
          </cell>
          <cell r="G1" t="str">
            <v xml:space="preserve">נס ישראל </v>
          </cell>
          <cell r="H1" t="str">
            <v xml:space="preserve">מחשבים </v>
          </cell>
          <cell r="I1" t="str">
            <v xml:space="preserve">ריהוט </v>
          </cell>
          <cell r="K1" t="str">
            <v xml:space="preserve">שיפורים </v>
          </cell>
          <cell r="M1" t="str">
            <v>נס AT</v>
          </cell>
          <cell r="N1" t="str">
            <v xml:space="preserve">מחשבים </v>
          </cell>
          <cell r="O1" t="str">
            <v xml:space="preserve">ריהוט </v>
          </cell>
          <cell r="Q1" t="str">
            <v xml:space="preserve">שיפורים </v>
          </cell>
          <cell r="Y1" t="str">
            <v>BSG נס</v>
          </cell>
          <cell r="Z1" t="str">
            <v xml:space="preserve">מחשבים </v>
          </cell>
          <cell r="AA1" t="str">
            <v xml:space="preserve">ריהוט </v>
          </cell>
          <cell r="AC1" t="str">
            <v xml:space="preserve">שיפורים </v>
          </cell>
          <cell r="AE1" t="str">
            <v>VEN</v>
          </cell>
          <cell r="AF1" t="str">
            <v xml:space="preserve">מחשבים </v>
          </cell>
          <cell r="AG1" t="str">
            <v xml:space="preserve">ריהוט </v>
          </cell>
          <cell r="AI1" t="str">
            <v xml:space="preserve">שיפורים </v>
          </cell>
          <cell r="AK1" t="str">
            <v>U-SOFT</v>
          </cell>
          <cell r="AL1" t="str">
            <v xml:space="preserve">מחשבים </v>
          </cell>
          <cell r="AM1" t="str">
            <v xml:space="preserve">ריהוט </v>
          </cell>
          <cell r="AO1" t="str">
            <v xml:space="preserve">שיפורים </v>
          </cell>
          <cell r="AQ1" t="str">
            <v>ISI</v>
          </cell>
          <cell r="AR1" t="str">
            <v xml:space="preserve">מחשבים </v>
          </cell>
          <cell r="AS1" t="str">
            <v xml:space="preserve">ריהוט </v>
          </cell>
          <cell r="AU1" t="str">
            <v xml:space="preserve">שיפורים </v>
          </cell>
          <cell r="AW1" t="str">
            <v>ING</v>
          </cell>
          <cell r="AX1" t="str">
            <v xml:space="preserve">מחשבים </v>
          </cell>
          <cell r="AY1" t="str">
            <v xml:space="preserve">ריהוט </v>
          </cell>
          <cell r="BA1" t="str">
            <v xml:space="preserve">שיפורים </v>
          </cell>
          <cell r="BC1" t="str">
            <v>סה"כ</v>
          </cell>
          <cell r="BD1" t="str">
            <v xml:space="preserve">מחשבים </v>
          </cell>
          <cell r="BE1" t="str">
            <v xml:space="preserve">ריהוט </v>
          </cell>
          <cell r="BG1" t="str">
            <v xml:space="preserve">שיפורים </v>
          </cell>
          <cell r="BH1" t="str">
            <v xml:space="preserve">שיפורים </v>
          </cell>
          <cell r="BI1" t="str">
            <v xml:space="preserve">בנין </v>
          </cell>
        </row>
        <row r="2">
          <cell r="B2" t="str">
            <v>וציוד היקפי</v>
          </cell>
          <cell r="C2" t="str">
            <v>וציוד משרדי</v>
          </cell>
          <cell r="D2" t="str">
            <v>כלי רכב</v>
          </cell>
          <cell r="E2" t="str">
            <v>במושכר</v>
          </cell>
          <cell r="F2" t="str">
            <v>סה"כ</v>
          </cell>
          <cell r="H2" t="str">
            <v>וציוד היקפי</v>
          </cell>
          <cell r="I2" t="str">
            <v>וציוד משרדי</v>
          </cell>
          <cell r="J2" t="str">
            <v>כלי רכב</v>
          </cell>
          <cell r="K2" t="str">
            <v>במושכר</v>
          </cell>
          <cell r="L2" t="str">
            <v>סה"כ</v>
          </cell>
          <cell r="N2" t="str">
            <v>וציוד היקפי</v>
          </cell>
          <cell r="O2" t="str">
            <v>וציוד משרדי</v>
          </cell>
          <cell r="P2" t="str">
            <v>כלי רכב</v>
          </cell>
          <cell r="Q2" t="str">
            <v>במושכר</v>
          </cell>
          <cell r="R2" t="str">
            <v>סה"כ</v>
          </cell>
          <cell r="Z2" t="str">
            <v>וציוד היקפי</v>
          </cell>
          <cell r="AA2" t="str">
            <v>וציוד משרדי</v>
          </cell>
          <cell r="AB2" t="str">
            <v>כלי רכב</v>
          </cell>
          <cell r="AC2" t="str">
            <v>במושכר</v>
          </cell>
          <cell r="AD2" t="str">
            <v>סה"כ</v>
          </cell>
          <cell r="AF2" t="str">
            <v>וציוד היקפי</v>
          </cell>
          <cell r="AG2" t="str">
            <v>וציוד משרדי</v>
          </cell>
          <cell r="AH2" t="str">
            <v>כלי רכב</v>
          </cell>
          <cell r="AI2" t="str">
            <v>במושכר</v>
          </cell>
          <cell r="AJ2" t="str">
            <v>סה"כ</v>
          </cell>
          <cell r="AL2" t="str">
            <v>וציוד היקפי</v>
          </cell>
          <cell r="AM2" t="str">
            <v>וציוד משרדי</v>
          </cell>
          <cell r="AN2" t="str">
            <v>כלי רכב</v>
          </cell>
          <cell r="AO2" t="str">
            <v>במושכר</v>
          </cell>
          <cell r="AP2" t="str">
            <v>סה"כ</v>
          </cell>
          <cell r="AR2" t="str">
            <v>וציוד היקפי</v>
          </cell>
          <cell r="AS2" t="str">
            <v>וציוד משרדי</v>
          </cell>
          <cell r="AT2" t="str">
            <v>כלי רכב</v>
          </cell>
          <cell r="AU2" t="str">
            <v>במושכר</v>
          </cell>
          <cell r="AV2" t="str">
            <v>סה"כ</v>
          </cell>
          <cell r="AX2" t="str">
            <v>וציוד היקפי</v>
          </cell>
          <cell r="AY2" t="str">
            <v>וציוד משרדי</v>
          </cell>
          <cell r="AZ2" t="str">
            <v>כלי רכב</v>
          </cell>
          <cell r="BA2" t="str">
            <v>במושכר</v>
          </cell>
          <cell r="BB2" t="str">
            <v>סה"כ</v>
          </cell>
          <cell r="BD2" t="str">
            <v>וציוד היקפי</v>
          </cell>
          <cell r="BE2" t="str">
            <v>וציוד משרדי</v>
          </cell>
          <cell r="BF2" t="str">
            <v>כלי רכב</v>
          </cell>
          <cell r="BG2" t="str">
            <v>במושכר</v>
          </cell>
          <cell r="BH2" t="str">
            <v xml:space="preserve">במושכר </v>
          </cell>
          <cell r="BI2">
            <v>1</v>
          </cell>
          <cell r="BJ2" t="str">
            <v>סה"כ</v>
          </cell>
        </row>
        <row r="4">
          <cell r="A4" t="str">
            <v>עלות</v>
          </cell>
          <cell r="G4" t="str">
            <v>עלות</v>
          </cell>
          <cell r="M4" t="str">
            <v>עלות</v>
          </cell>
          <cell r="Y4" t="str">
            <v>עלות</v>
          </cell>
          <cell r="AE4" t="str">
            <v>עלות</v>
          </cell>
          <cell r="AK4" t="str">
            <v>עלות</v>
          </cell>
          <cell r="AQ4" t="str">
            <v>עלות</v>
          </cell>
          <cell r="AW4" t="str">
            <v>עלות</v>
          </cell>
          <cell r="BC4" t="str">
            <v>עלות</v>
          </cell>
          <cell r="BJ4">
            <v>0</v>
          </cell>
        </row>
        <row r="5">
          <cell r="A5" t="str">
            <v>עלות לתחילת התקופה</v>
          </cell>
          <cell r="B5">
            <v>440</v>
          </cell>
          <cell r="C5">
            <v>313</v>
          </cell>
          <cell r="D5">
            <v>0</v>
          </cell>
          <cell r="E5">
            <v>886</v>
          </cell>
          <cell r="F5">
            <v>1639</v>
          </cell>
          <cell r="G5" t="str">
            <v>עלות לתחילת התקופה</v>
          </cell>
          <cell r="H5">
            <v>1686</v>
          </cell>
          <cell r="I5">
            <v>961</v>
          </cell>
          <cell r="J5">
            <v>935</v>
          </cell>
          <cell r="K5">
            <v>2374</v>
          </cell>
          <cell r="L5">
            <v>5956</v>
          </cell>
          <cell r="M5" t="str">
            <v>עלות לתחילת התקופה</v>
          </cell>
          <cell r="N5">
            <v>14454</v>
          </cell>
          <cell r="O5">
            <v>4028</v>
          </cell>
          <cell r="P5">
            <v>20981</v>
          </cell>
          <cell r="Q5">
            <v>7080</v>
          </cell>
          <cell r="R5">
            <v>46543</v>
          </cell>
          <cell r="Y5" t="str">
            <v>עלות לתחילת התקופה</v>
          </cell>
          <cell r="Z5">
            <v>8181</v>
          </cell>
          <cell r="AA5">
            <v>3669</v>
          </cell>
          <cell r="AB5">
            <v>14843</v>
          </cell>
          <cell r="AC5">
            <v>3391</v>
          </cell>
          <cell r="AD5">
            <v>30084</v>
          </cell>
          <cell r="AE5" t="str">
            <v>עלות לתחילת התקופה</v>
          </cell>
          <cell r="AF5">
            <v>979</v>
          </cell>
          <cell r="AG5">
            <v>97</v>
          </cell>
          <cell r="AH5">
            <v>98</v>
          </cell>
          <cell r="AJ5">
            <v>1174</v>
          </cell>
          <cell r="AK5" t="str">
            <v>עלות לתחילת התקופה</v>
          </cell>
          <cell r="AL5">
            <v>8471</v>
          </cell>
          <cell r="AM5">
            <v>1479</v>
          </cell>
          <cell r="AN5">
            <v>36</v>
          </cell>
          <cell r="AO5">
            <v>2430</v>
          </cell>
          <cell r="AP5">
            <v>12416</v>
          </cell>
          <cell r="AQ5" t="str">
            <v>עלות לתחילת התקופה</v>
          </cell>
          <cell r="AR5">
            <v>2202</v>
          </cell>
          <cell r="AS5">
            <v>878</v>
          </cell>
          <cell r="AU5">
            <v>663</v>
          </cell>
          <cell r="AV5">
            <v>3743</v>
          </cell>
          <cell r="AW5" t="str">
            <v>עלות לתחילת התקופה</v>
          </cell>
          <cell r="AX5">
            <v>9144</v>
          </cell>
          <cell r="AY5">
            <v>1750</v>
          </cell>
          <cell r="AZ5">
            <v>769</v>
          </cell>
          <cell r="BA5">
            <v>217</v>
          </cell>
          <cell r="BB5">
            <v>11880</v>
          </cell>
          <cell r="BC5" t="str">
            <v>עלות לתחילת התקופה</v>
          </cell>
          <cell r="BD5">
            <v>46004</v>
          </cell>
          <cell r="BE5">
            <v>13235</v>
          </cell>
          <cell r="BF5">
            <v>37662</v>
          </cell>
          <cell r="BG5">
            <v>17041</v>
          </cell>
          <cell r="BH5">
            <v>405</v>
          </cell>
          <cell r="BI5">
            <v>-64</v>
          </cell>
          <cell r="BJ5">
            <v>114283</v>
          </cell>
        </row>
        <row r="6">
          <cell r="A6" t="str">
            <v>תוספות בתקופה</v>
          </cell>
          <cell r="B6">
            <v>74</v>
          </cell>
          <cell r="C6">
            <v>10</v>
          </cell>
          <cell r="F6">
            <v>84</v>
          </cell>
          <cell r="G6" t="str">
            <v>תוספות בתקופה</v>
          </cell>
          <cell r="H6">
            <v>1799</v>
          </cell>
          <cell r="I6">
            <v>216</v>
          </cell>
          <cell r="K6">
            <v>2039</v>
          </cell>
          <cell r="L6">
            <v>4054</v>
          </cell>
          <cell r="M6" t="str">
            <v>תוספות בתקופה</v>
          </cell>
          <cell r="N6">
            <v>1601</v>
          </cell>
          <cell r="O6">
            <v>559</v>
          </cell>
          <cell r="P6">
            <v>0</v>
          </cell>
          <cell r="Q6">
            <v>4681</v>
          </cell>
          <cell r="R6">
            <v>6841</v>
          </cell>
          <cell r="Y6" t="str">
            <v>תוספות בתקופה</v>
          </cell>
          <cell r="Z6">
            <v>538</v>
          </cell>
          <cell r="AA6">
            <v>135</v>
          </cell>
          <cell r="AC6">
            <v>660</v>
          </cell>
          <cell r="AD6">
            <v>1333</v>
          </cell>
          <cell r="AE6" t="str">
            <v>תוספות בתקופה</v>
          </cell>
          <cell r="AF6">
            <v>78</v>
          </cell>
          <cell r="AG6">
            <v>12</v>
          </cell>
          <cell r="AJ6">
            <v>90</v>
          </cell>
          <cell r="AK6" t="str">
            <v>תוספות בתקופה</v>
          </cell>
          <cell r="AL6">
            <v>466</v>
          </cell>
          <cell r="AM6">
            <v>10</v>
          </cell>
          <cell r="AN6">
            <v>0</v>
          </cell>
          <cell r="AO6">
            <v>25</v>
          </cell>
          <cell r="AP6">
            <v>501</v>
          </cell>
          <cell r="AQ6" t="str">
            <v>תוספות בתקופה</v>
          </cell>
          <cell r="AR6">
            <v>373</v>
          </cell>
          <cell r="AS6">
            <v>201</v>
          </cell>
          <cell r="AU6">
            <v>381</v>
          </cell>
          <cell r="AV6">
            <v>955</v>
          </cell>
          <cell r="AW6" t="str">
            <v>תוספות בתקופה</v>
          </cell>
          <cell r="AX6">
            <v>721</v>
          </cell>
          <cell r="AY6">
            <v>30</v>
          </cell>
          <cell r="BA6">
            <v>16</v>
          </cell>
          <cell r="BB6">
            <v>767</v>
          </cell>
          <cell r="BC6" t="str">
            <v>תוספות בתקופה</v>
          </cell>
          <cell r="BD6">
            <v>5650</v>
          </cell>
          <cell r="BE6">
            <v>1173</v>
          </cell>
          <cell r="BF6">
            <v>0</v>
          </cell>
          <cell r="BG6">
            <v>7802</v>
          </cell>
          <cell r="BJ6">
            <v>14625</v>
          </cell>
        </row>
        <row r="7">
          <cell r="A7" t="str">
            <v>גריעות בתקופה</v>
          </cell>
          <cell r="F7">
            <v>0</v>
          </cell>
          <cell r="G7" t="str">
            <v>גריעות בתקופה</v>
          </cell>
          <cell r="I7">
            <v>-314</v>
          </cell>
          <cell r="K7">
            <v>-841</v>
          </cell>
          <cell r="L7">
            <v>-1155</v>
          </cell>
          <cell r="M7" t="str">
            <v>גריעות בתקופה</v>
          </cell>
          <cell r="N7">
            <v>-186</v>
          </cell>
          <cell r="O7">
            <v>-65</v>
          </cell>
          <cell r="P7">
            <v>-3848</v>
          </cell>
          <cell r="Q7">
            <v>-116</v>
          </cell>
          <cell r="R7">
            <v>-4215</v>
          </cell>
          <cell r="Y7" t="str">
            <v>גריעות בתקופה</v>
          </cell>
          <cell r="Z7">
            <v>-856</v>
          </cell>
          <cell r="AA7">
            <v>-1314</v>
          </cell>
          <cell r="AB7">
            <v>-2530</v>
          </cell>
          <cell r="AC7">
            <v>-1177</v>
          </cell>
          <cell r="AD7">
            <v>-5877</v>
          </cell>
          <cell r="AE7" t="str">
            <v>גריעות בתקופה</v>
          </cell>
          <cell r="AH7">
            <v>-87</v>
          </cell>
          <cell r="AJ7">
            <v>-87</v>
          </cell>
          <cell r="AK7" t="str">
            <v>גריעות בתקופה</v>
          </cell>
          <cell r="AL7">
            <v>-2504</v>
          </cell>
          <cell r="AM7">
            <v>0</v>
          </cell>
          <cell r="AN7">
            <v>0</v>
          </cell>
          <cell r="AO7">
            <v>0</v>
          </cell>
          <cell r="AP7">
            <v>-2504</v>
          </cell>
          <cell r="AQ7" t="str">
            <v>גריעות בתקופה</v>
          </cell>
          <cell r="AR7">
            <v>-16</v>
          </cell>
          <cell r="AS7">
            <v>-4</v>
          </cell>
          <cell r="AV7">
            <v>-20</v>
          </cell>
          <cell r="AW7" t="str">
            <v>גריעות בתקופה</v>
          </cell>
          <cell r="AX7">
            <v>-4</v>
          </cell>
          <cell r="AY7">
            <v>-173</v>
          </cell>
          <cell r="AZ7">
            <v>-74</v>
          </cell>
          <cell r="BB7">
            <v>-251</v>
          </cell>
          <cell r="BC7" t="str">
            <v>גריעות בתקופה</v>
          </cell>
          <cell r="BD7">
            <v>-3566</v>
          </cell>
          <cell r="BE7">
            <v>-1870</v>
          </cell>
          <cell r="BF7">
            <v>-6539</v>
          </cell>
          <cell r="BG7">
            <v>-2134</v>
          </cell>
          <cell r="BJ7">
            <v>-14109</v>
          </cell>
        </row>
        <row r="8">
          <cell r="A8" t="str">
            <v>יתרה לסוף התקופה</v>
          </cell>
          <cell r="B8">
            <v>514</v>
          </cell>
          <cell r="C8">
            <v>323</v>
          </cell>
          <cell r="D8">
            <v>0</v>
          </cell>
          <cell r="E8">
            <v>886</v>
          </cell>
          <cell r="F8">
            <v>1723</v>
          </cell>
          <cell r="G8" t="str">
            <v>יתרה לסוף התקופה</v>
          </cell>
          <cell r="H8">
            <v>3485</v>
          </cell>
          <cell r="I8">
            <v>863</v>
          </cell>
          <cell r="J8">
            <v>935</v>
          </cell>
          <cell r="K8">
            <v>3572</v>
          </cell>
          <cell r="L8">
            <v>8855</v>
          </cell>
          <cell r="M8" t="str">
            <v>יתרה לסוף התקופה</v>
          </cell>
          <cell r="N8">
            <v>15869</v>
          </cell>
          <cell r="O8">
            <v>4522</v>
          </cell>
          <cell r="P8">
            <v>17133</v>
          </cell>
          <cell r="Q8">
            <v>11645</v>
          </cell>
          <cell r="R8">
            <v>49169</v>
          </cell>
          <cell r="Y8" t="str">
            <v>יתרה לסוף התקופה</v>
          </cell>
          <cell r="Z8">
            <v>7863</v>
          </cell>
          <cell r="AA8">
            <v>2490</v>
          </cell>
          <cell r="AB8">
            <v>12313</v>
          </cell>
          <cell r="AC8">
            <v>2874</v>
          </cell>
          <cell r="AD8">
            <v>25540</v>
          </cell>
          <cell r="AE8" t="str">
            <v>יתרה לסוף התקופה</v>
          </cell>
          <cell r="AF8">
            <v>1057</v>
          </cell>
          <cell r="AG8">
            <v>109</v>
          </cell>
          <cell r="AH8">
            <v>11</v>
          </cell>
          <cell r="AI8">
            <v>0</v>
          </cell>
          <cell r="AJ8">
            <v>1177</v>
          </cell>
          <cell r="AK8" t="str">
            <v>יתרה לסוף התקופה</v>
          </cell>
          <cell r="AL8">
            <v>6433</v>
          </cell>
          <cell r="AM8">
            <v>1489</v>
          </cell>
          <cell r="AN8">
            <v>36</v>
          </cell>
          <cell r="AO8">
            <v>2455</v>
          </cell>
          <cell r="AP8">
            <v>10413</v>
          </cell>
          <cell r="AQ8" t="str">
            <v>יתרה לסוף התקופה</v>
          </cell>
          <cell r="AR8">
            <v>2559</v>
          </cell>
          <cell r="AS8">
            <v>1075</v>
          </cell>
          <cell r="AT8">
            <v>0</v>
          </cell>
          <cell r="AU8">
            <v>1044</v>
          </cell>
          <cell r="AV8">
            <v>4678</v>
          </cell>
          <cell r="AW8" t="str">
            <v>יתרה לסוף התקופה</v>
          </cell>
          <cell r="AX8">
            <v>9861</v>
          </cell>
          <cell r="AY8">
            <v>1607</v>
          </cell>
          <cell r="AZ8">
            <v>695</v>
          </cell>
          <cell r="BA8">
            <v>233</v>
          </cell>
          <cell r="BB8">
            <v>12396</v>
          </cell>
          <cell r="BC8" t="str">
            <v>יתרה לסוף התקופה</v>
          </cell>
          <cell r="BD8">
            <v>48088</v>
          </cell>
          <cell r="BE8">
            <v>12538</v>
          </cell>
          <cell r="BF8">
            <v>31123</v>
          </cell>
          <cell r="BG8">
            <v>22709</v>
          </cell>
          <cell r="BH8">
            <v>405</v>
          </cell>
          <cell r="BI8">
            <v>-64</v>
          </cell>
          <cell r="BJ8">
            <v>114799</v>
          </cell>
        </row>
        <row r="9">
          <cell r="BB9">
            <v>12398</v>
          </cell>
        </row>
        <row r="11">
          <cell r="A11" t="str">
            <v>פחת שנצבר</v>
          </cell>
          <cell r="G11" t="str">
            <v>פחת שנצבר</v>
          </cell>
          <cell r="M11" t="str">
            <v>פחת שנצבר</v>
          </cell>
          <cell r="Y11" t="str">
            <v>פחת שנצבר</v>
          </cell>
          <cell r="AE11" t="str">
            <v>פחת שנצבר</v>
          </cell>
          <cell r="AK11" t="str">
            <v>פחת שנצבר</v>
          </cell>
          <cell r="AQ11" t="str">
            <v>פחת שנצבר</v>
          </cell>
          <cell r="AW11" t="str">
            <v>פחת שנצבר</v>
          </cell>
          <cell r="BC11" t="str">
            <v>פחת שנצבר</v>
          </cell>
        </row>
        <row r="12">
          <cell r="A12" t="str">
            <v>פחת שנצבר לתחילת התקופה</v>
          </cell>
          <cell r="B12">
            <v>-63</v>
          </cell>
          <cell r="C12">
            <v>-14</v>
          </cell>
          <cell r="E12">
            <v>-52</v>
          </cell>
          <cell r="F12">
            <v>-129</v>
          </cell>
          <cell r="G12" t="str">
            <v>פחת שנצבר לתחילת התקופה</v>
          </cell>
          <cell r="H12">
            <v>-295</v>
          </cell>
          <cell r="I12">
            <v>-60</v>
          </cell>
          <cell r="J12">
            <v>-155</v>
          </cell>
          <cell r="K12">
            <v>-126</v>
          </cell>
          <cell r="L12">
            <v>-636</v>
          </cell>
          <cell r="M12" t="str">
            <v>פחת שנצבר לתחילת התקופה</v>
          </cell>
          <cell r="N12">
            <v>-8613</v>
          </cell>
          <cell r="O12">
            <v>-1689</v>
          </cell>
          <cell r="P12">
            <v>-8506</v>
          </cell>
          <cell r="Q12">
            <v>-1534</v>
          </cell>
          <cell r="R12">
            <v>-20342</v>
          </cell>
          <cell r="Y12" t="str">
            <v>פחת שנצבר לתחילת התקופה</v>
          </cell>
          <cell r="Z12">
            <v>-4456</v>
          </cell>
          <cell r="AA12">
            <v>-661</v>
          </cell>
          <cell r="AB12">
            <v>-5626</v>
          </cell>
          <cell r="AC12">
            <v>-661</v>
          </cell>
          <cell r="AD12">
            <v>-11404</v>
          </cell>
          <cell r="AE12" t="str">
            <v>פחת שנצבר לתחילת התקופה</v>
          </cell>
          <cell r="AF12">
            <v>-52</v>
          </cell>
          <cell r="AG12">
            <v>-3</v>
          </cell>
          <cell r="AH12">
            <v>-46</v>
          </cell>
          <cell r="AJ12">
            <v>-101</v>
          </cell>
          <cell r="AK12" t="str">
            <v>פחת שנצבר לתחילת התקופה</v>
          </cell>
          <cell r="AL12">
            <v>-7243</v>
          </cell>
          <cell r="AM12">
            <v>-1429</v>
          </cell>
          <cell r="AN12">
            <v>-19</v>
          </cell>
          <cell r="AO12">
            <v>-1979</v>
          </cell>
          <cell r="AP12">
            <v>-10670</v>
          </cell>
          <cell r="AQ12" t="str">
            <v>פחת שנצבר לתחילת התקופה</v>
          </cell>
          <cell r="AR12">
            <v>-1176</v>
          </cell>
          <cell r="AS12">
            <v>-106</v>
          </cell>
          <cell r="AU12">
            <v>-77</v>
          </cell>
          <cell r="AV12">
            <v>-1359</v>
          </cell>
          <cell r="AW12" t="str">
            <v>פחת שנצבר לתחילת התקופה</v>
          </cell>
          <cell r="AX12">
            <v>-4135</v>
          </cell>
          <cell r="AY12">
            <v>-444</v>
          </cell>
          <cell r="AZ12">
            <v>-251</v>
          </cell>
          <cell r="BA12">
            <v>-217</v>
          </cell>
          <cell r="BB12">
            <v>-5047</v>
          </cell>
          <cell r="BC12" t="str">
            <v>פחת שנצבר לתחילת התקופה</v>
          </cell>
          <cell r="BD12">
            <v>-26422</v>
          </cell>
          <cell r="BE12">
            <v>-4421</v>
          </cell>
          <cell r="BF12">
            <v>-14603</v>
          </cell>
          <cell r="BG12">
            <v>-4646</v>
          </cell>
          <cell r="BJ12">
            <v>-50092</v>
          </cell>
        </row>
        <row r="13">
          <cell r="A13" t="str">
            <v>תוספות בתקופה</v>
          </cell>
          <cell r="B13">
            <v>-69</v>
          </cell>
          <cell r="C13">
            <v>-10</v>
          </cell>
          <cell r="E13">
            <v>-44</v>
          </cell>
          <cell r="F13">
            <v>-123</v>
          </cell>
          <cell r="G13" t="str">
            <v>תוספות בתקופה</v>
          </cell>
          <cell r="H13">
            <v>-348</v>
          </cell>
          <cell r="I13">
            <v>-39</v>
          </cell>
          <cell r="J13">
            <v>-70</v>
          </cell>
          <cell r="K13">
            <v>-108</v>
          </cell>
          <cell r="L13">
            <v>-565</v>
          </cell>
          <cell r="M13" t="str">
            <v>תוספות בתקופה</v>
          </cell>
          <cell r="N13">
            <v>-1345</v>
          </cell>
          <cell r="O13">
            <v>-168</v>
          </cell>
          <cell r="P13">
            <v>-1383</v>
          </cell>
          <cell r="Q13">
            <v>-410</v>
          </cell>
          <cell r="R13">
            <v>-3306</v>
          </cell>
          <cell r="Y13" t="str">
            <v>תוספות בתקופה</v>
          </cell>
          <cell r="Z13">
            <v>-733</v>
          </cell>
          <cell r="AA13">
            <v>-102</v>
          </cell>
          <cell r="AB13">
            <v>-1036</v>
          </cell>
          <cell r="AC13">
            <v>-141</v>
          </cell>
          <cell r="AD13">
            <v>-2012</v>
          </cell>
          <cell r="AE13" t="str">
            <v>תוספות בתקופה</v>
          </cell>
          <cell r="AF13">
            <v>-126</v>
          </cell>
          <cell r="AG13">
            <v>-6</v>
          </cell>
          <cell r="AH13">
            <v>-2</v>
          </cell>
          <cell r="AJ13">
            <v>-134</v>
          </cell>
          <cell r="AK13" t="str">
            <v>תוספות בתקופה</v>
          </cell>
          <cell r="AL13">
            <v>-341</v>
          </cell>
          <cell r="AM13">
            <v>-15</v>
          </cell>
          <cell r="AN13">
            <v>-5</v>
          </cell>
          <cell r="AO13">
            <v>-196</v>
          </cell>
          <cell r="AP13">
            <v>-557</v>
          </cell>
          <cell r="AQ13" t="str">
            <v>תוספות בתקופה</v>
          </cell>
          <cell r="AR13">
            <v>-225</v>
          </cell>
          <cell r="AS13">
            <v>-47</v>
          </cell>
          <cell r="AU13">
            <v>-45</v>
          </cell>
          <cell r="AV13">
            <v>-317</v>
          </cell>
          <cell r="AW13" t="str">
            <v>תוספות בתקופה</v>
          </cell>
          <cell r="AX13">
            <v>-1043</v>
          </cell>
          <cell r="AY13">
            <v>-96</v>
          </cell>
          <cell r="AZ13">
            <v>-56</v>
          </cell>
          <cell r="BB13">
            <v>-1195</v>
          </cell>
          <cell r="BC13" t="str">
            <v>תוספות בתקופה</v>
          </cell>
          <cell r="BD13">
            <v>-4262</v>
          </cell>
          <cell r="BE13">
            <v>-485</v>
          </cell>
          <cell r="BF13">
            <v>-2552</v>
          </cell>
          <cell r="BG13">
            <v>-944</v>
          </cell>
          <cell r="BJ13">
            <v>-8243</v>
          </cell>
        </row>
        <row r="14">
          <cell r="A14" t="str">
            <v>גריעות בתקופה</v>
          </cell>
          <cell r="F14">
            <v>0</v>
          </cell>
          <cell r="G14" t="str">
            <v>גריעות בתקופה</v>
          </cell>
          <cell r="I14">
            <v>36</v>
          </cell>
          <cell r="K14">
            <v>69</v>
          </cell>
          <cell r="L14">
            <v>105</v>
          </cell>
          <cell r="M14" t="str">
            <v>גריעות בתקופה</v>
          </cell>
          <cell r="N14">
            <v>139</v>
          </cell>
          <cell r="O14">
            <v>46</v>
          </cell>
          <cell r="P14">
            <v>2615</v>
          </cell>
          <cell r="Q14">
            <v>36</v>
          </cell>
          <cell r="R14">
            <v>2836</v>
          </cell>
          <cell r="Y14" t="str">
            <v>גריעות בתקופה</v>
          </cell>
          <cell r="Z14">
            <v>303</v>
          </cell>
          <cell r="AA14">
            <v>182</v>
          </cell>
          <cell r="AB14">
            <v>1701</v>
          </cell>
          <cell r="AC14">
            <v>132</v>
          </cell>
          <cell r="AD14">
            <v>2318</v>
          </cell>
          <cell r="AE14" t="str">
            <v>גריעות בתקופה</v>
          </cell>
          <cell r="AH14">
            <v>44</v>
          </cell>
          <cell r="AJ14">
            <v>44</v>
          </cell>
          <cell r="AK14" t="str">
            <v>גריעות בתקופה</v>
          </cell>
          <cell r="AL14">
            <v>2504</v>
          </cell>
          <cell r="AM14">
            <v>0</v>
          </cell>
          <cell r="AN14">
            <v>0</v>
          </cell>
          <cell r="AO14">
            <v>0</v>
          </cell>
          <cell r="AP14">
            <v>2504</v>
          </cell>
          <cell r="AQ14" t="str">
            <v>גריעות בתקופה</v>
          </cell>
          <cell r="AR14">
            <v>9</v>
          </cell>
          <cell r="AV14">
            <v>9</v>
          </cell>
          <cell r="AW14" t="str">
            <v>גריעות בתקופה</v>
          </cell>
          <cell r="AY14">
            <v>49</v>
          </cell>
          <cell r="AZ14">
            <v>35</v>
          </cell>
          <cell r="BB14">
            <v>84</v>
          </cell>
          <cell r="BC14" t="str">
            <v>גריעות בתקופה</v>
          </cell>
          <cell r="BD14">
            <v>2955</v>
          </cell>
          <cell r="BE14">
            <v>313</v>
          </cell>
          <cell r="BF14">
            <v>4395</v>
          </cell>
          <cell r="BG14">
            <v>237</v>
          </cell>
          <cell r="BJ14">
            <v>7900</v>
          </cell>
        </row>
        <row r="15">
          <cell r="A15" t="str">
            <v>יתרה לסוף התקופה</v>
          </cell>
          <cell r="B15">
            <v>-132</v>
          </cell>
          <cell r="C15">
            <v>-24</v>
          </cell>
          <cell r="D15">
            <v>0</v>
          </cell>
          <cell r="E15">
            <v>-96</v>
          </cell>
          <cell r="F15">
            <v>-252</v>
          </cell>
          <cell r="G15" t="str">
            <v>יתרה לסוף התקופה</v>
          </cell>
          <cell r="H15">
            <v>-643</v>
          </cell>
          <cell r="I15">
            <v>-63</v>
          </cell>
          <cell r="J15">
            <v>-225</v>
          </cell>
          <cell r="K15">
            <v>-165</v>
          </cell>
          <cell r="L15">
            <v>-1096</v>
          </cell>
          <cell r="M15" t="str">
            <v>יתרה לסוף התקופה</v>
          </cell>
          <cell r="N15">
            <v>-9819</v>
          </cell>
          <cell r="O15">
            <v>-1811</v>
          </cell>
          <cell r="P15">
            <v>-7274</v>
          </cell>
          <cell r="Q15">
            <v>-1908</v>
          </cell>
          <cell r="R15">
            <v>-20812</v>
          </cell>
          <cell r="Y15" t="str">
            <v>יתרה לסוף התקופה</v>
          </cell>
          <cell r="Z15">
            <v>-4886</v>
          </cell>
          <cell r="AA15">
            <v>-581</v>
          </cell>
          <cell r="AB15">
            <v>-4961</v>
          </cell>
          <cell r="AC15">
            <v>-670</v>
          </cell>
          <cell r="AD15">
            <v>-11098</v>
          </cell>
          <cell r="AE15" t="str">
            <v>יתרה לסוף התקופה</v>
          </cell>
          <cell r="AF15">
            <v>-178</v>
          </cell>
          <cell r="AG15">
            <v>-9</v>
          </cell>
          <cell r="AH15">
            <v>-4</v>
          </cell>
          <cell r="AI15">
            <v>0</v>
          </cell>
          <cell r="AJ15">
            <v>-191</v>
          </cell>
          <cell r="AK15" t="str">
            <v>יתרה לסוף התקופה</v>
          </cell>
          <cell r="AL15">
            <v>-5080</v>
          </cell>
          <cell r="AM15">
            <v>-1444</v>
          </cell>
          <cell r="AN15">
            <v>-24</v>
          </cell>
          <cell r="AO15">
            <v>-2175</v>
          </cell>
          <cell r="AP15">
            <v>-8723</v>
          </cell>
          <cell r="AQ15" t="str">
            <v>יתרה לסוף התקופה</v>
          </cell>
          <cell r="AR15">
            <v>-1392</v>
          </cell>
          <cell r="AS15">
            <v>-153</v>
          </cell>
          <cell r="AT15">
            <v>0</v>
          </cell>
          <cell r="AU15">
            <v>-122</v>
          </cell>
          <cell r="AV15">
            <v>-1667</v>
          </cell>
          <cell r="AW15" t="str">
            <v>יתרה לסוף התקופה</v>
          </cell>
          <cell r="AX15">
            <v>-5178</v>
          </cell>
          <cell r="AY15">
            <v>-491</v>
          </cell>
          <cell r="AZ15">
            <v>-272</v>
          </cell>
          <cell r="BA15">
            <v>-217</v>
          </cell>
          <cell r="BB15">
            <v>-6158</v>
          </cell>
          <cell r="BC15" t="str">
            <v>יתרה לסוף התקופה</v>
          </cell>
          <cell r="BD15">
            <v>-27729</v>
          </cell>
          <cell r="BE15">
            <v>-4593</v>
          </cell>
          <cell r="BF15">
            <v>-12760</v>
          </cell>
          <cell r="BG15">
            <v>-5353</v>
          </cell>
          <cell r="BJ15">
            <v>-50435</v>
          </cell>
        </row>
        <row r="16">
          <cell r="AK16" t="str">
            <v xml:space="preserve">קרן  הון </v>
          </cell>
          <cell r="AP16">
            <v>-106.61100000000079</v>
          </cell>
        </row>
        <row r="18">
          <cell r="A18" t="str">
            <v>עלות מופחתת</v>
          </cell>
          <cell r="B18">
            <v>382</v>
          </cell>
          <cell r="C18">
            <v>299</v>
          </cell>
          <cell r="D18">
            <v>0</v>
          </cell>
          <cell r="E18">
            <v>790</v>
          </cell>
          <cell r="F18">
            <v>1471</v>
          </cell>
          <cell r="G18" t="str">
            <v>עלות מופחתת</v>
          </cell>
          <cell r="H18">
            <v>2842</v>
          </cell>
          <cell r="I18">
            <v>800</v>
          </cell>
          <cell r="J18">
            <v>710</v>
          </cell>
          <cell r="K18">
            <v>3407</v>
          </cell>
          <cell r="L18">
            <v>7759</v>
          </cell>
          <cell r="M18" t="str">
            <v>עלות מופחתת</v>
          </cell>
          <cell r="N18">
            <v>6050</v>
          </cell>
          <cell r="O18">
            <v>2711</v>
          </cell>
          <cell r="P18">
            <v>9859</v>
          </cell>
          <cell r="Q18">
            <v>9737</v>
          </cell>
          <cell r="R18">
            <v>28357</v>
          </cell>
          <cell r="Y18" t="str">
            <v>עלות מופחתת</v>
          </cell>
          <cell r="Z18">
            <v>2977</v>
          </cell>
          <cell r="AA18">
            <v>1909</v>
          </cell>
          <cell r="AB18">
            <v>7352</v>
          </cell>
          <cell r="AC18">
            <v>2204</v>
          </cell>
          <cell r="AD18">
            <v>14442</v>
          </cell>
          <cell r="AE18" t="str">
            <v>עלות מופחתת</v>
          </cell>
          <cell r="AF18">
            <v>879</v>
          </cell>
          <cell r="AG18">
            <v>100</v>
          </cell>
          <cell r="AH18">
            <v>7</v>
          </cell>
          <cell r="AI18">
            <v>0</v>
          </cell>
          <cell r="AJ18">
            <v>986</v>
          </cell>
          <cell r="AK18" t="str">
            <v>עלות מופחתת</v>
          </cell>
          <cell r="AL18">
            <v>1353</v>
          </cell>
          <cell r="AM18">
            <v>45</v>
          </cell>
          <cell r="AN18">
            <v>12</v>
          </cell>
          <cell r="AO18">
            <v>280</v>
          </cell>
          <cell r="AP18">
            <v>1583.3889999999992</v>
          </cell>
          <cell r="AQ18" t="str">
            <v>עלות מופחתת</v>
          </cell>
          <cell r="AR18">
            <v>1167</v>
          </cell>
          <cell r="AS18">
            <v>922</v>
          </cell>
          <cell r="AT18">
            <v>0</v>
          </cell>
          <cell r="AU18">
            <v>922</v>
          </cell>
          <cell r="AV18">
            <v>3011</v>
          </cell>
          <cell r="AW18" t="str">
            <v>עלות מופחתת</v>
          </cell>
          <cell r="AX18">
            <v>4683</v>
          </cell>
          <cell r="AY18">
            <v>1116</v>
          </cell>
          <cell r="AZ18">
            <v>423</v>
          </cell>
          <cell r="BA18">
            <v>16</v>
          </cell>
          <cell r="BB18">
            <v>6238</v>
          </cell>
          <cell r="BC18" t="str">
            <v>עלות מופחתת</v>
          </cell>
          <cell r="BD18">
            <v>20359</v>
          </cell>
          <cell r="BE18">
            <v>7945</v>
          </cell>
          <cell r="BF18">
            <v>18363</v>
          </cell>
          <cell r="BG18">
            <v>17356</v>
          </cell>
          <cell r="BI18">
            <v>-64</v>
          </cell>
          <cell r="BJ18">
            <v>64364</v>
          </cell>
        </row>
      </sheetData>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100000"/>
      <sheetName val="200000"/>
      <sheetName val="גיליון1"/>
      <sheetName val="הסברים "/>
      <sheetName val="מאזני הרכבה(לא לשמוש)"/>
      <sheetName val="תזרים  הרכבה+מעגלים"/>
      <sheetName val="גיליון ההרכבה "/>
      <sheetName val="הוצאותמראש לשלם "/>
      <sheetName val="פנ (לא לשמוש)"/>
      <sheetName val="הון מניות ודיבידנד"/>
      <sheetName val="מדדים ושע&quot;ח"/>
      <sheetName val="השקעה בחברה בת"/>
      <sheetName val="רכוש קבוע"/>
      <sheetName val="גיליון2"/>
      <sheetName val="רווח הון"/>
      <sheetName val="מס צפוי2000"/>
      <sheetName val="חוזים בינחברתיים "/>
      <sheetName val="עסקאות בינחברתיות "/>
      <sheetName val="סבירות מימון"/>
      <sheetName val="Module2"/>
    </sheetNames>
    <sheetDataSet>
      <sheetData sheetId="0"/>
      <sheetData sheetId="1"/>
      <sheetData sheetId="2"/>
      <sheetData sheetId="3"/>
      <sheetData sheetId="4"/>
      <sheetData sheetId="5"/>
      <sheetData sheetId="6"/>
      <sheetData sheetId="7"/>
      <sheetData sheetId="8"/>
      <sheetData sheetId="9"/>
      <sheetData sheetId="10"/>
      <sheetData sheetId="11">
        <row r="22">
          <cell r="C22">
            <v>4.1920000000000002</v>
          </cell>
        </row>
      </sheetData>
      <sheetData sheetId="12"/>
      <sheetData sheetId="13"/>
      <sheetData sheetId="14"/>
      <sheetData sheetId="15"/>
      <sheetData sheetId="16"/>
      <sheetData sheetId="17"/>
      <sheetData sheetId="18"/>
      <sheetData sheetId="19"/>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s number"/>
      <sheetName val="Sheet2"/>
      <sheetName val="הקצאות מימושים ופקיעות"/>
      <sheetName val="Oracle"/>
    </sheetNames>
    <sheetDataSet>
      <sheetData sheetId="0" refreshError="1"/>
      <sheetData sheetId="1" refreshError="1"/>
      <sheetData sheetId="2"/>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 99"/>
      <sheetName val="שמ&quot;מ מ&quot;ה"/>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 99"/>
      <sheetName val="שמ&quot;מ מ&quot;ה"/>
    </sheetNames>
    <sheetDataSet>
      <sheetData sheetId="0"/>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נאי+טלפאואר"/>
      <sheetName val="ני&quot;ע"/>
      <sheetName val="ני&quot;ע 2"/>
      <sheetName val="ער&quot;ז דוח מס (2)"/>
      <sheetName val="טורים"/>
      <sheetName val="ער&quot;ז דוח מס"/>
      <sheetName val="שמ&quot;מ מ&quot;ה"/>
      <sheetName val="שמ&quot;מ נומינלי"/>
      <sheetName val="מיעוט"/>
      <sheetName val="Current"/>
      <sheetName val="ני&quot;ע_2"/>
      <sheetName val="ער&quot;ז_דוח_מס_(2)"/>
      <sheetName val="ער&quot;ז_דוח_מס"/>
      <sheetName val="שמ&quot;מ_מ&quot;ה"/>
      <sheetName val="שמ&quot;מ_נומינלי"/>
      <sheetName val="ני&quot;ע_21"/>
      <sheetName val="ער&quot;ז_דוח_מס_(2)1"/>
      <sheetName val="ער&quot;ז_דוח_מס1"/>
      <sheetName val="שמ&quot;מ_מ&quot;ה1"/>
      <sheetName val="שמ&quot;מ_נומינלי1"/>
      <sheetName val="ני&quot;ע_25"/>
      <sheetName val="ער&quot;ז_דוח_מס_(2)5"/>
      <sheetName val="ער&quot;ז_דוח_מס5"/>
      <sheetName val="שמ&quot;מ_מ&quot;ה5"/>
      <sheetName val="שמ&quot;מ_נומינלי5"/>
      <sheetName val="ני&quot;ע_22"/>
      <sheetName val="ער&quot;ז_דוח_מס_(2)2"/>
      <sheetName val="ער&quot;ז_דוח_מס2"/>
      <sheetName val="שמ&quot;מ_מ&quot;ה2"/>
      <sheetName val="שמ&quot;מ_נומינלי2"/>
      <sheetName val="ני&quot;ע_23"/>
      <sheetName val="ער&quot;ז_דוח_מס_(2)3"/>
      <sheetName val="ער&quot;ז_דוח_מס3"/>
      <sheetName val="שמ&quot;מ_מ&quot;ה3"/>
      <sheetName val="שמ&quot;מ_נומינלי3"/>
      <sheetName val="ני&quot;ע_24"/>
      <sheetName val="ער&quot;ז_דוח_מס_(2)4"/>
      <sheetName val="ער&quot;ז_דוח_מס4"/>
      <sheetName val="שמ&quot;מ_מ&quot;ה4"/>
      <sheetName val="שמ&quot;מ_נומינלי4"/>
      <sheetName val="ני&quot;ע_26"/>
      <sheetName val="ער&quot;ז_דוח_מס_(2)6"/>
      <sheetName val="ער&quot;ז_דוח_מס6"/>
      <sheetName val="שמ&quot;מ_מ&quot;ה6"/>
      <sheetName val="שמ&quot;מ_נומינלי6"/>
      <sheetName val="ער&quot;ז דוח מס:מיעוט"/>
      <sheetName val="????+???????"/>
      <sheetName val="??&quot;?"/>
      <sheetName val="??&quot;? 2"/>
      <sheetName val="??&quot;? ??? ?? (2)"/>
      <sheetName val="?????"/>
      <sheetName val="??&quot;? ??? ??"/>
      <sheetName val="??&quot;? ?&quot;?"/>
      <sheetName val="??&quot;? ???????"/>
    </sheetNames>
    <sheetDataSet>
      <sheetData sheetId="0">
        <row r="9">
          <cell r="AN9">
            <v>0</v>
          </cell>
        </row>
      </sheetData>
      <sheetData sheetId="1">
        <row r="9">
          <cell r="U9" t="str">
            <v>התחשבנות ישנה</v>
          </cell>
        </row>
      </sheetData>
      <sheetData sheetId="2"/>
      <sheetData sheetId="3">
        <row r="9">
          <cell r="AN9">
            <v>0</v>
          </cell>
        </row>
      </sheetData>
      <sheetData sheetId="4">
        <row r="9">
          <cell r="O9" t="str">
            <v>משרדי</v>
          </cell>
        </row>
      </sheetData>
      <sheetData sheetId="5">
        <row r="9">
          <cell r="O9" t="str">
            <v>משרדי</v>
          </cell>
          <cell r="Q9" t="str">
            <v>סיכומים</v>
          </cell>
          <cell r="AN9">
            <v>0</v>
          </cell>
          <cell r="AQ9" t="str">
            <v>לשנת המס 1998</v>
          </cell>
          <cell r="AX9" t="str">
            <v>אלפי ש"ח</v>
          </cell>
          <cell r="AY9" t="str">
            <v>אלפי ש"ח</v>
          </cell>
          <cell r="BC9" t="str">
            <v>אלפי ש"ח</v>
          </cell>
          <cell r="BH9" t="str">
            <v>הנוסף</v>
          </cell>
          <cell r="BJ9" t="str">
            <v>עליית</v>
          </cell>
          <cell r="BL9" t="str">
            <v>הפחת לפי</v>
          </cell>
          <cell r="BP9" t="str">
            <v>של כל</v>
          </cell>
          <cell r="BR9" t="str">
            <v>הפסד ראלי*</v>
          </cell>
          <cell r="BS9" t="str">
            <v>הפסד</v>
          </cell>
        </row>
        <row r="10">
          <cell r="O10" t="str">
            <v>בלבד</v>
          </cell>
          <cell r="AD10" t="str">
            <v>פחות</v>
          </cell>
          <cell r="AJ10" t="str">
            <v xml:space="preserve"> </v>
          </cell>
          <cell r="AO10" t="str">
            <v>תאור הנכסים הקבועים, לפי הרשום במאזן לתום</v>
          </cell>
          <cell r="BE10" t="str">
            <v>1.שנויים חיוביים:</v>
          </cell>
          <cell r="BH10" t="str">
            <v>בשל פחת</v>
          </cell>
          <cell r="BJ10" t="str">
            <v>המדד</v>
          </cell>
          <cell r="BK10" t="str">
            <v>תאור הרישומים,היתרות,ההפקדות או הפעולות</v>
          </cell>
          <cell r="BL10" t="str">
            <v>טופס י"א</v>
          </cell>
          <cell r="BP10" t="str">
            <v>הנכסים</v>
          </cell>
          <cell r="BR10" t="str">
            <v>לפי</v>
          </cell>
          <cell r="BS10" t="str">
            <v>מהשכרת</v>
          </cell>
        </row>
        <row r="11">
          <cell r="V11">
            <v>-634.21300000000019</v>
          </cell>
          <cell r="AB11" t="str">
            <v>הסכום</v>
          </cell>
          <cell r="AD11" t="str">
            <v>ירידה בעתודה לפיצויי פרישה</v>
          </cell>
          <cell r="AJ11" t="str">
            <v xml:space="preserve"> </v>
          </cell>
          <cell r="AN11" t="str">
            <v>הסכום</v>
          </cell>
          <cell r="AO11" t="str">
            <v>שנת המס הקודמת</v>
          </cell>
          <cell r="AU11" t="str">
            <v>סעיף קטן</v>
          </cell>
          <cell r="AY11">
            <v>1779.9870000000001</v>
          </cell>
          <cell r="BA11" t="str">
            <v>דוח מצ"ב</v>
          </cell>
          <cell r="BC11">
            <v>1779.9870000000001</v>
          </cell>
          <cell r="BE11" t="str">
            <v>תמורה ממכירת רכוש קבוע</v>
          </cell>
          <cell r="BF11">
            <v>1.98</v>
          </cell>
          <cell r="BI11" t="str">
            <v>הסכום</v>
          </cell>
          <cell r="BK11" t="str">
            <v>המחיבים תאום הון</v>
          </cell>
          <cell r="BP11" t="str">
            <v xml:space="preserve"> לזיהוי</v>
          </cell>
          <cell r="BQ11" t="str">
            <v xml:space="preserve"> 1. נכסים קבועים שהיו בידי הנישום</v>
          </cell>
          <cell r="BR11" t="str">
            <v>חוק המיסוי</v>
          </cell>
          <cell r="BS11" t="str">
            <v>בנין</v>
          </cell>
        </row>
        <row r="12">
          <cell r="Q12">
            <v>26788</v>
          </cell>
          <cell r="V12">
            <v>-17094.646000000001</v>
          </cell>
          <cell r="W12" t="str">
            <v xml:space="preserve"> סכום ההון לפי סעיף 1 לתוספת א לחוק - לפי רשימה מס' 1 מצורפת:</v>
          </cell>
          <cell r="Y12">
            <v>1</v>
          </cell>
          <cell r="AD12" t="str">
            <v>פחת לפי טופס י"א (ראה 1 ו2)</v>
          </cell>
          <cell r="AJ12" t="str">
            <v xml:space="preserve"> </v>
          </cell>
          <cell r="AU12" t="str">
            <v>בהגדרה</v>
          </cell>
          <cell r="AY12">
            <v>4474.4936584233119</v>
          </cell>
          <cell r="AZ12">
            <v>0.17649999999999999</v>
          </cell>
          <cell r="BA12">
            <v>0.15203544724453066</v>
          </cell>
          <cell r="BC12">
            <v>5194.5</v>
          </cell>
          <cell r="BE12" t="str">
            <v>החזר מס ששולם ביתר</v>
          </cell>
          <cell r="BF12">
            <v>2.98</v>
          </cell>
          <cell r="BP12" t="str">
            <v xml:space="preserve">התאום </v>
          </cell>
          <cell r="BQ12" t="str">
            <v xml:space="preserve">   'נכס  מוגן' לפני חוק המסוי ונרכשו לפני</v>
          </cell>
          <cell r="BR12" t="str">
            <v>אלפי ש"ח</v>
          </cell>
          <cell r="BS12" t="str">
            <v>אלפי ש"ח</v>
          </cell>
        </row>
        <row r="13">
          <cell r="AD13" t="str">
            <v>הפרש בין שינוי יתרת הפקדונות בספרים לבין השנוי ביתרה לפי הסכם עם</v>
          </cell>
          <cell r="AJ13" t="str">
            <v xml:space="preserve"> </v>
          </cell>
          <cell r="AY13">
            <v>670.14213896516844</v>
          </cell>
          <cell r="AZ13">
            <v>0.17649999999999999</v>
          </cell>
          <cell r="BA13">
            <v>0.13785557986870889</v>
          </cell>
          <cell r="BC13">
            <v>858</v>
          </cell>
          <cell r="BE13" t="str">
            <v>משיכת רווחים מהשקעה בשותפות</v>
          </cell>
          <cell r="BF13" t="str">
            <v>6.98</v>
          </cell>
          <cell r="BQ13" t="str">
            <v xml:space="preserve">   תחילת שנת המס 1982 סכום הפחת</v>
          </cell>
        </row>
        <row r="14">
          <cell r="V14">
            <v>-486.25400000000172</v>
          </cell>
          <cell r="AB14">
            <v>5</v>
          </cell>
          <cell r="AD14" t="str">
            <v>פקיד השומה מיום 15.1.96: (ראה נספח לט' 1392\ג')</v>
          </cell>
          <cell r="AE14" t="str">
            <v xml:space="preserve">הון מניות     </v>
          </cell>
          <cell r="AN14" t="str">
            <v>לכבוד</v>
          </cell>
          <cell r="AS14" t="str">
            <v>רכוש קבוע</v>
          </cell>
          <cell r="AY14">
            <v>132997.01191353952</v>
          </cell>
          <cell r="AZ14">
            <v>0.17649999999999999</v>
          </cell>
          <cell r="BA14">
            <v>0.13972602739726026</v>
          </cell>
          <cell r="BC14">
            <v>168000</v>
          </cell>
          <cell r="BE14" t="str">
            <v xml:space="preserve">הנפקת שטרי הון </v>
          </cell>
          <cell r="BF14">
            <v>8.98</v>
          </cell>
          <cell r="BI14">
            <v>336</v>
          </cell>
          <cell r="BO14" t="str">
            <v>עתודה לפיצויים בניכוי ייעודה</v>
          </cell>
          <cell r="BQ14" t="str">
            <v xml:space="preserve">   הכולל שנתבע כדין לפי רכוז בטופס יא'</v>
          </cell>
        </row>
        <row r="15">
          <cell r="Q15">
            <v>29568.382999999998</v>
          </cell>
          <cell r="W15" t="str">
            <v xml:space="preserve"> תאומי הון לפי סעיף 3 לתוספת א לחוק - לפי רשימה מס' 2 מצורפת:</v>
          </cell>
          <cell r="Y15">
            <v>2</v>
          </cell>
          <cell r="AD15" t="str">
            <v>|לפי הסכם ‎1989 הפחתת הוצאות טרום עסקיות שתואמו בשנת</v>
          </cell>
          <cell r="AN15" t="str">
            <v>אגף מס הכנסה</v>
          </cell>
          <cell r="AQ15" t="str">
            <v>רכוז רווח (הפסד) הון - לצרכי מס הכנסה (ראה פרוט בנספח מצורף)</v>
          </cell>
          <cell r="AY15">
            <v>-25.144938263092953</v>
          </cell>
          <cell r="AZ15">
            <v>0.17649999999999999</v>
          </cell>
          <cell r="BA15">
            <v>-7.3968026723931768E-3</v>
          </cell>
          <cell r="BC15">
            <v>600</v>
          </cell>
          <cell r="BE15" t="str">
            <v>משיכת רווחים מהשקעה בשותפות</v>
          </cell>
          <cell r="BF15" t="str">
            <v>12.98</v>
          </cell>
        </row>
        <row r="16">
          <cell r="V16">
            <v>-123.65000000000002</v>
          </cell>
          <cell r="Z16" t="e">
            <v>#REF!</v>
          </cell>
          <cell r="AB16">
            <v>26783</v>
          </cell>
          <cell r="AD16" t="str">
            <v>15.1.96 עם פקיד השומה מיום</v>
          </cell>
          <cell r="AE16" t="str">
            <v xml:space="preserve">יתרת רווח     </v>
          </cell>
          <cell r="AN16" t="str">
            <v>פשמ"ג</v>
          </cell>
          <cell r="AR16" t="str">
            <v xml:space="preserve"> </v>
          </cell>
          <cell r="AS16" t="str">
            <v>מוניטין בחברה מסונפת</v>
          </cell>
          <cell r="AX16">
            <v>139896.48977266491</v>
          </cell>
          <cell r="BI16">
            <v>31</v>
          </cell>
          <cell r="BO16" t="str">
            <v>הפרשה לחופשה</v>
          </cell>
          <cell r="BQ16" t="str">
            <v xml:space="preserve"> 2. נכסים קבועים שהיו בידי הנישום</v>
          </cell>
        </row>
        <row r="17">
          <cell r="T17">
            <v>-18338.763000000003</v>
          </cell>
          <cell r="AN17" t="str">
            <v>אחד העם 9</v>
          </cell>
          <cell r="AQ17" t="str">
            <v>א ל פ י  ש " ח</v>
          </cell>
          <cell r="BE17" t="str">
            <v>2.שנויים שליליים:</v>
          </cell>
          <cell r="BF17">
            <v>1.98</v>
          </cell>
          <cell r="BQ17" t="str">
            <v xml:space="preserve">    "נכס בלתי מוגן" לפי חוק המסוי ונרכשו</v>
          </cell>
        </row>
        <row r="18">
          <cell r="Q18">
            <v>-65663.821200000006</v>
          </cell>
          <cell r="W18" t="str">
            <v xml:space="preserve"> סכום הנכסים הקבועים לפי סעיף 2(א) לתוספת ב לחוק - לפי רשימה מס' 3 מצורפת:</v>
          </cell>
          <cell r="Y18">
            <v>3</v>
          </cell>
          <cell r="AD18" t="str">
            <v>נוסף</v>
          </cell>
          <cell r="AN18" t="str">
            <v>תל-אביב</v>
          </cell>
          <cell r="AR18" t="str">
            <v xml:space="preserve"> </v>
          </cell>
          <cell r="AS18" t="str">
            <v>מוניטין בשותפות</v>
          </cell>
          <cell r="AY18">
            <v>-1452.8464269155559</v>
          </cell>
          <cell r="AZ18">
            <v>0.17649999999999999</v>
          </cell>
          <cell r="BA18">
            <v>0.15203544724453066</v>
          </cell>
          <cell r="BC18">
            <v>-1686.6290000000004</v>
          </cell>
          <cell r="BE18" t="str">
            <v>תשלום מס ביתר בגין שנים קודמות</v>
          </cell>
          <cell r="BF18">
            <v>2.98</v>
          </cell>
          <cell r="BG18">
            <v>0</v>
          </cell>
          <cell r="BI18">
            <v>-836</v>
          </cell>
          <cell r="BO18" t="str">
            <v xml:space="preserve">הכנסות בספרים שלא נרשמו כהכנסה חייבת בגין חברות בנות ובניכוי דיבידנד </v>
          </cell>
          <cell r="BQ18" t="str">
            <v xml:space="preserve">    לפני תום שנת המס 1984 סכום הפחת</v>
          </cell>
        </row>
        <row r="19">
          <cell r="V19">
            <v>0</v>
          </cell>
          <cell r="AD19" t="str">
            <v>פחת בספרים</v>
          </cell>
          <cell r="AJ19" t="str">
            <v xml:space="preserve"> </v>
          </cell>
          <cell r="AR19" t="str">
            <v xml:space="preserve"> </v>
          </cell>
          <cell r="AY19">
            <v>-1170.5694310887036</v>
          </cell>
          <cell r="AZ19">
            <v>0.17649999999999999</v>
          </cell>
          <cell r="BA19">
            <v>0.15651932165693649</v>
          </cell>
          <cell r="BC19">
            <v>-1320</v>
          </cell>
          <cell r="BE19" t="str">
            <v>השקעות אחרות - מניות</v>
          </cell>
          <cell r="BF19">
            <v>4.9800000000000004</v>
          </cell>
          <cell r="BQ19" t="str">
            <v xml:space="preserve">    הכולל שנתבע כדין לפי רכוז בטופס יא'</v>
          </cell>
        </row>
        <row r="20">
          <cell r="AD20" t="str">
            <v>הפרשי פחת שנצבר בין הספרים לטופס י"א</v>
          </cell>
          <cell r="AJ20" t="str">
            <v xml:space="preserve"> </v>
          </cell>
          <cell r="AN20">
            <v>4933.4679999999998</v>
          </cell>
          <cell r="AS20" t="str">
            <v>מוניטין בתאגידים בשליטה משותפת</v>
          </cell>
          <cell r="AV20" t="str">
            <v>סה"כ</v>
          </cell>
          <cell r="AX20" t="str">
            <v>סכום</v>
          </cell>
          <cell r="AY20">
            <v>-585.96662656680496</v>
          </cell>
          <cell r="AZ20">
            <v>0.17649999999999999</v>
          </cell>
          <cell r="BA20">
            <v>0.13972602739726026</v>
          </cell>
          <cell r="BB20" t="str">
            <v>רווח</v>
          </cell>
          <cell r="BC20">
            <v>-740.18499999999995</v>
          </cell>
          <cell r="BE20" t="str">
            <v>השקעות אחרות - מניות (כולל השקעה בשותפות)</v>
          </cell>
          <cell r="BF20">
            <v>8.98</v>
          </cell>
          <cell r="BI20">
            <v>267.7100000000006</v>
          </cell>
          <cell r="BO20" t="str">
            <v>ההפרש בין השומה לצרכי מס הכנסה לבין ההפרשה בספרים</v>
          </cell>
        </row>
        <row r="21">
          <cell r="O21" t="str">
            <v>|1998 בדקנו את ההתאמה המצורפת של ערוצי זהב ושות' (שותפות רשומה) לשנת המס</v>
          </cell>
          <cell r="V21">
            <v>0</v>
          </cell>
          <cell r="W21" t="str">
            <v xml:space="preserve"> סכום השנויים החיוביים לפי סעיף 1 לתוספת ג בנכוי סכום השנויים השליליים לפי סעיף 2</v>
          </cell>
          <cell r="Y21">
            <v>4</v>
          </cell>
          <cell r="AD21" t="str">
            <v xml:space="preserve"> בגין גריעת הוצ' התקנה</v>
          </cell>
          <cell r="AO21" t="str">
            <v>א.נ.,</v>
          </cell>
          <cell r="AV21" t="str">
            <v>רווח</v>
          </cell>
          <cell r="AX21" t="str">
            <v>אינפלציוני</v>
          </cell>
          <cell r="AY21">
            <v>-4505.4499598659349</v>
          </cell>
          <cell r="AZ21">
            <v>0.17649999999999999</v>
          </cell>
          <cell r="BA21">
            <v>9.4448829255459055E-2</v>
          </cell>
          <cell r="BB21" t="str">
            <v>הון</v>
          </cell>
          <cell r="BC21">
            <v>-8419.5</v>
          </cell>
          <cell r="BE21" t="str">
            <v>השקעות אחרות - מניות</v>
          </cell>
          <cell r="BF21">
            <v>9.98</v>
          </cell>
          <cell r="BN21" t="str">
            <v>תאריך</v>
          </cell>
          <cell r="BO21" t="str">
            <v>"סכום שהוצא"</v>
          </cell>
          <cell r="BR21" t="str">
            <v xml:space="preserve"> 3. נכסים קבועים אחרים שלא נכללו</v>
          </cell>
        </row>
        <row r="22">
          <cell r="O22" t="str">
            <v>|31 המתאמת את הרווח של השותפות לפי דוח רווח והפסד שלה לשנה שנסתיימה ביום</v>
          </cell>
          <cell r="Q22">
            <v>123638.39060872243</v>
          </cell>
          <cell r="V22">
            <v>231</v>
          </cell>
          <cell r="W22" t="str">
            <v xml:space="preserve"> לאותה  תוספת  לחוק - לפי רשימה מס' 4 מצורפת:</v>
          </cell>
          <cell r="AD22" t="str">
            <v>עליה בהפרשה לחובות מסופקים</v>
          </cell>
          <cell r="AJ22" t="str">
            <v xml:space="preserve"> </v>
          </cell>
          <cell r="AN22">
            <v>1</v>
          </cell>
          <cell r="AR22" t="str">
            <v>סה"כ</v>
          </cell>
          <cell r="AS22" t="str">
            <v>השקעה בחברות בת - נטו</v>
          </cell>
          <cell r="AT22" t="str">
            <v>(הפסד הון)</v>
          </cell>
          <cell r="AV22" t="str">
            <v>הון</v>
          </cell>
          <cell r="AX22" t="str">
            <v>חייב</v>
          </cell>
          <cell r="AY22">
            <v>136.92117980336576</v>
          </cell>
          <cell r="AZ22" t="str">
            <v>פטור</v>
          </cell>
          <cell r="BA22">
            <v>-2.1176470588235241E-2</v>
          </cell>
          <cell r="BB22" t="str">
            <v>ריאלי</v>
          </cell>
          <cell r="BC22">
            <v>-1141.2</v>
          </cell>
          <cell r="BE22" t="str">
            <v>השקעות אחרות - מניות (כולל השקעה בשותפות)</v>
          </cell>
          <cell r="BF22">
            <v>11.98</v>
          </cell>
          <cell r="BI22">
            <v>30300</v>
          </cell>
          <cell r="BN22" t="str">
            <v>שבו הסכום</v>
          </cell>
          <cell r="BO22" t="str">
            <v>הפרשה להוצאות שלא הוכרה לצרכי מס בגין חברות מסונפות</v>
          </cell>
          <cell r="BP22" t="str">
            <v>או</v>
          </cell>
          <cell r="BR22" t="str">
            <v xml:space="preserve">   בשורות 2-1 דלעיל:נכסים מוגנים שנרכשו</v>
          </cell>
        </row>
        <row r="23">
          <cell r="O23" t="str">
            <v>|.לתוצאות שהוצהרו על ידה לצרכי מס הכנסה, לשנת המס האמורה ‎1998 בדצמבר</v>
          </cell>
          <cell r="V23">
            <v>-533.00199999999995</v>
          </cell>
          <cell r="AD23" t="str">
            <v>הפסד הון בספרים</v>
          </cell>
          <cell r="AJ23" t="str">
            <v xml:space="preserve"> </v>
          </cell>
          <cell r="AY23">
            <v>1951.3956900764565</v>
          </cell>
          <cell r="AZ23">
            <v>0.17649999999999999</v>
          </cell>
          <cell r="BA23">
            <v>-7.3968026723931768E-3</v>
          </cell>
          <cell r="BC23">
            <v>-46563.542999999998</v>
          </cell>
          <cell r="BE23" t="str">
            <v>השקעות אחרות - מניות</v>
          </cell>
          <cell r="BF23">
            <v>12.98</v>
          </cell>
          <cell r="BN23" t="str">
            <v>הוקטן</v>
          </cell>
          <cell r="BO23" t="str">
            <v>"סכום ששולם"</v>
          </cell>
          <cell r="BR23" t="str">
            <v xml:space="preserve">   ב-1984-1982 ונכסים אחרים שנרכשו</v>
          </cell>
        </row>
        <row r="24">
          <cell r="V24">
            <v>146</v>
          </cell>
          <cell r="AD24" t="str">
            <v>הוצאות רכב מעל למוכר</v>
          </cell>
          <cell r="AJ24" t="str">
            <v xml:space="preserve"> </v>
          </cell>
          <cell r="AN24">
            <v>10208</v>
          </cell>
          <cell r="AR24" t="str">
            <v xml:space="preserve"> </v>
          </cell>
          <cell r="AS24" t="str">
            <v>השקעה בחברה מסונפת</v>
          </cell>
          <cell r="BI24">
            <v>0</v>
          </cell>
          <cell r="BN24" t="str">
            <v>מההון</v>
          </cell>
          <cell r="BO24" t="str">
            <v>הפרשה להוצאות שלא הוכרה לצרכי מס בגין השקעות אחרות</v>
          </cell>
          <cell r="BP24" t="str">
            <v>והוקטן מההון</v>
          </cell>
          <cell r="BR24" t="str">
            <v xml:space="preserve">   מ-1985)</v>
          </cell>
        </row>
        <row r="25">
          <cell r="V25">
            <v>14</v>
          </cell>
          <cell r="W25" t="str">
            <v xml:space="preserve">לגבי חלקה של החברה, בשותפות </v>
          </cell>
          <cell r="AD25" t="str">
            <v>נסיעות לחו"ל מעל למוכר</v>
          </cell>
          <cell r="AJ25" t="str">
            <v xml:space="preserve"> </v>
          </cell>
          <cell r="BE25" t="str">
            <v>|רווח (הפסד) הון</v>
          </cell>
          <cell r="BR25" t="str">
            <v xml:space="preserve">      - תאר כל נכס בנפרד -</v>
          </cell>
        </row>
        <row r="26">
          <cell r="V26">
            <v>97</v>
          </cell>
          <cell r="W26" t="str">
            <v xml:space="preserve">שבקביעת הכנסתה חלות הוראות פרק ב לחוק </v>
          </cell>
          <cell r="AD26" t="str">
            <v>הוצאות עודפות אחרות לא מוכרות</v>
          </cell>
          <cell r="AJ26" t="str">
            <v>הנדון: ערוצי זהב ושות' (שותפות רשומה)</v>
          </cell>
          <cell r="AN26">
            <v>11703</v>
          </cell>
          <cell r="AS26" t="str">
            <v>השקעות בתאגידים בשליטה משותפת</v>
          </cell>
          <cell r="BE26" t="str">
            <v>|ממכירת רכוש קבוע</v>
          </cell>
          <cell r="BI26">
            <v>-530.32700000000023</v>
          </cell>
          <cell r="BO26" t="str">
            <v>הכנסות בספרים שלא נרשמו כהכנסה חייבת בגין חברות בשליטה משותפת - נטו</v>
          </cell>
        </row>
        <row r="27">
          <cell r="O27" t="str">
            <v>|בדיקת ההוצאות המפורטות בתקנות בדבר "תנאים לנכוי הוצאות מסוימות", החישובים</v>
          </cell>
          <cell r="AD27" t="str">
            <v>תרומות וקנסות</v>
          </cell>
          <cell r="AJ27" t="str">
            <v xml:space="preserve">   מקדמות על הוצאות עודפות לשנת המס 1998</v>
          </cell>
          <cell r="AR27">
            <v>23.48</v>
          </cell>
          <cell r="AT27">
            <v>-84.418999999999997</v>
          </cell>
          <cell r="AV27">
            <v>107.899</v>
          </cell>
          <cell r="AX27">
            <v>1.958</v>
          </cell>
          <cell r="AY27">
            <v>-1494.4064962316716</v>
          </cell>
          <cell r="AZ27">
            <v>37.767000000000003</v>
          </cell>
          <cell r="BA27">
            <v>0.1597435182603848</v>
          </cell>
          <cell r="BB27">
            <v>68.174000000000007</v>
          </cell>
          <cell r="BC27">
            <v>-1651.164</v>
          </cell>
          <cell r="BE27" t="str">
            <v>|לצרכי מס הכנסה</v>
          </cell>
          <cell r="BF27" t="str">
            <v>08/03/98</v>
          </cell>
          <cell r="BH27">
            <v>8384.4030000000002</v>
          </cell>
          <cell r="BL27">
            <v>16895</v>
          </cell>
          <cell r="BR27" t="str">
            <v>לפי טופס  מחשב רצ"ב (*)</v>
          </cell>
        </row>
        <row r="28">
          <cell r="O28" t="str">
            <v>|'א‎32 י) לפקודת מס הכנסה והתקיימות התנאים המפורטים בסעיף)‎3 הדרושים לפי סעיף</v>
          </cell>
          <cell r="W28" t="str">
            <v xml:space="preserve"> סה"כ קרנות, מענקים ותאומי הון של השותפות:</v>
          </cell>
          <cell r="Y28">
            <v>5</v>
          </cell>
          <cell r="AD28" t="str">
            <v>הוצאות תמלוגים לתושבי חוץ שאינן מוכרות ע"פ סעיף 18 (ה) לפקודה</v>
          </cell>
          <cell r="AN28">
            <v>31465</v>
          </cell>
          <cell r="AS28" t="str">
            <v>השקעות בחברות אחרות</v>
          </cell>
          <cell r="AY28">
            <v>-1501.2678886297044</v>
          </cell>
          <cell r="AZ28">
            <v>0.17649999999999999</v>
          </cell>
          <cell r="BA28">
            <v>0.1549139367018324</v>
          </cell>
          <cell r="BC28">
            <v>-1710.4580000000001</v>
          </cell>
          <cell r="BF28" t="str">
            <v>01/04/98</v>
          </cell>
        </row>
        <row r="29">
          <cell r="O29" t="str">
            <v>|לפקודה, נעשו בהיקף שסוכם בין נציבות מס הכנסה לבין לשכת רואי חשבון בישראל, על</v>
          </cell>
          <cell r="V29">
            <v>693.76699999999983</v>
          </cell>
          <cell r="W29" t="str">
            <v>(הסכום בשורה 3.31 בדו"ח השותפות)</v>
          </cell>
          <cell r="AD29" t="str">
            <v>עליה בהפרשה לחופשה</v>
          </cell>
          <cell r="AJ29" t="str">
            <v xml:space="preserve"> </v>
          </cell>
          <cell r="AY29">
            <v>-1166.280334807971</v>
          </cell>
          <cell r="AZ29">
            <v>0.17649999999999999</v>
          </cell>
          <cell r="BA29">
            <v>0.12220124089560302</v>
          </cell>
          <cell r="BC29">
            <v>-1684.5039999999999</v>
          </cell>
          <cell r="BE29" t="str">
            <v>|(ג) ‎9 'הפסד ריאלי לפי ס</v>
          </cell>
          <cell r="BF29" t="str">
            <v>03/05/98</v>
          </cell>
        </row>
        <row r="30">
          <cell r="O30" t="str">
            <v>כל המשתמע מכך.</v>
          </cell>
          <cell r="T30">
            <v>648.76499999999987</v>
          </cell>
          <cell r="AJ30" t="str">
            <v xml:space="preserve"> </v>
          </cell>
          <cell r="AN30">
            <v>5165.0390000000007</v>
          </cell>
          <cell r="AS30" t="str">
            <v>מס ששולם ביתר בגין שנים קודמות</v>
          </cell>
          <cell r="AT30">
            <v>-68.671000000000006</v>
          </cell>
          <cell r="AY30">
            <v>-1359.5872968540332</v>
          </cell>
          <cell r="AZ30">
            <v>0.17649999999999999</v>
          </cell>
          <cell r="BA30">
            <v>0.14035087719298245</v>
          </cell>
          <cell r="BC30">
            <v>-1709.7660000000001</v>
          </cell>
          <cell r="BE30" t="str">
            <v>לחוק התאומים</v>
          </cell>
          <cell r="BF30" t="str">
            <v>01/06/98</v>
          </cell>
        </row>
        <row r="31">
          <cell r="W31" t="str">
            <v>סכום הנכסים הקבועים  של  השותפות: (הסכום בשורה 4.1 בדו"ח השותפות)</v>
          </cell>
          <cell r="Y31">
            <v>6</v>
          </cell>
          <cell r="AD31" t="str">
            <v>רווח לפני יישום הוראות חוק מס הכנסה</v>
          </cell>
          <cell r="AJ31" t="str">
            <v xml:space="preserve"> </v>
          </cell>
          <cell r="AY31">
            <v>-1315.1979872385989</v>
          </cell>
          <cell r="AZ31">
            <v>0.17649999999999999</v>
          </cell>
          <cell r="BA31">
            <v>0.1350613915416099</v>
          </cell>
          <cell r="BC31">
            <v>-1718.7180000000001</v>
          </cell>
          <cell r="BF31" t="str">
            <v>01/07/98</v>
          </cell>
        </row>
        <row r="32">
          <cell r="T32" t="e">
            <v>#REF!</v>
          </cell>
          <cell r="AD32" t="str">
            <v>(תאומים בשל אינפלציה) התשמ"ה-1985</v>
          </cell>
          <cell r="AJ32" t="str">
            <v xml:space="preserve"> </v>
          </cell>
          <cell r="AY32">
            <v>-1404.8756999576431</v>
          </cell>
          <cell r="AZ32">
            <v>0.17649999999999999</v>
          </cell>
          <cell r="BA32">
            <v>0.14128943758573387</v>
          </cell>
          <cell r="BC32">
            <v>-1754.9829999999999</v>
          </cell>
          <cell r="BE32" t="str">
            <v>|קזוז רווח הון ראלי מהפסד הון</v>
          </cell>
          <cell r="BF32" t="str">
            <v>03/08/98</v>
          </cell>
        </row>
        <row r="33">
          <cell r="AJ33" t="str">
            <v xml:space="preserve"> </v>
          </cell>
          <cell r="AT33">
            <v>68.174000000000007</v>
          </cell>
          <cell r="AV33">
            <v>-68.174000000000007</v>
          </cell>
          <cell r="AY33">
            <v>-1215.4312985272788</v>
          </cell>
          <cell r="AZ33">
            <v>0.17649999999999999</v>
          </cell>
          <cell r="BA33">
            <v>0.12311015118790491</v>
          </cell>
          <cell r="BB33">
            <v>-68.174000000000007</v>
          </cell>
          <cell r="BC33">
            <v>-1742.5340000000001</v>
          </cell>
          <cell r="BE33" t="str">
            <v>השנה</v>
          </cell>
          <cell r="BF33" t="str">
            <v>20/08/98</v>
          </cell>
          <cell r="BH33">
            <v>0</v>
          </cell>
          <cell r="BL33">
            <v>0</v>
          </cell>
        </row>
        <row r="34">
          <cell r="O34" t="str">
            <v>|לדעתנו, בכפיפות לאמור בפיסקה הקודמת, ההתאמה הנ"ל נערכה בהתאם להוראות פקודת</v>
          </cell>
          <cell r="W34" t="str">
            <v>סכום השנויים בהון ובנכסים של השותפות: (הסכום בשורה 4.9 בדו"ח</v>
          </cell>
          <cell r="Y34">
            <v>7</v>
          </cell>
          <cell r="AD34" t="str">
            <v>השפעת האינפלציה בגין אובדן ממירים וגריעת</v>
          </cell>
          <cell r="AO34" t="str">
            <v>|כמבקרי החשבונות של השותפות הנ"ל הרינו מאשרים בזה כי בהתאם לספרי החשבונות של</v>
          </cell>
          <cell r="AY34">
            <v>-887.2320660420902</v>
          </cell>
          <cell r="AZ34">
            <v>0.17649999999999999</v>
          </cell>
          <cell r="BA34">
            <v>8.276939094221758E-2</v>
          </cell>
          <cell r="BC34">
            <v>-1891.961</v>
          </cell>
          <cell r="BF34" t="str">
            <v>20/09/98</v>
          </cell>
        </row>
        <row r="35">
          <cell r="O35" t="str">
            <v>מס הכנסה וחוק מס הכנסה (תאומים בשל אינפלציה) התשמ"ה-1985.</v>
          </cell>
          <cell r="W35" t="str">
            <v>השותפות)</v>
          </cell>
          <cell r="AD35" t="str">
            <v>הוצאות התקנה בגין מנויים שפרשו (נספח א')</v>
          </cell>
          <cell r="AO35" t="str">
            <v>|השותפות אשר בוקרו על ידנו, שולמו על ידה מקדמות על הוצאות עודפות בגין השנה</v>
          </cell>
          <cell r="AY35">
            <v>0</v>
          </cell>
          <cell r="AZ35">
            <v>0.17649999999999999</v>
          </cell>
          <cell r="BA35">
            <v>0</v>
          </cell>
          <cell r="BC35">
            <v>-168.767</v>
          </cell>
          <cell r="BE35" t="str">
            <v>|קזוז סכום אינפלציוני</v>
          </cell>
          <cell r="BF35" t="str">
            <v>01/02/99</v>
          </cell>
          <cell r="BQ35">
            <v>17094.646000000001</v>
          </cell>
        </row>
        <row r="36">
          <cell r="T36">
            <v>0</v>
          </cell>
          <cell r="AD36" t="str">
            <v xml:space="preserve">                      (ראה 1)</v>
          </cell>
          <cell r="AM36" t="str">
            <v>ש"ח.</v>
          </cell>
          <cell r="AN36">
            <v>704250</v>
          </cell>
          <cell r="AO36" t="str">
            <v>הנ"ל בסך</v>
          </cell>
          <cell r="BE36" t="str">
            <v>|מהפסד הון לפי יחס</v>
          </cell>
        </row>
        <row r="37">
          <cell r="W37" t="str">
            <v xml:space="preserve">חלקה של השותפות הנ"ל בהון, בנכסים הקבועים ובשנויים בהם, </v>
          </cell>
          <cell r="Y37">
            <v>8</v>
          </cell>
          <cell r="AJ37" t="str">
            <v xml:space="preserve"> </v>
          </cell>
          <cell r="AT37">
            <v>1</v>
          </cell>
          <cell r="AV37">
            <v>-1.958</v>
          </cell>
          <cell r="AX37">
            <v>-1.958</v>
          </cell>
          <cell r="BE37" t="str">
            <v>1:3.5</v>
          </cell>
          <cell r="BQ37">
            <v>-199.678</v>
          </cell>
        </row>
        <row r="38">
          <cell r="T38" t="e">
            <v>#REF!</v>
          </cell>
          <cell r="W38" t="str">
            <v>של שותפות אחרת</v>
          </cell>
          <cell r="AJ38" t="str">
            <v xml:space="preserve"> </v>
          </cell>
        </row>
        <row r="39">
          <cell r="W39" t="str">
            <v xml:space="preserve">(סה"כ הסכומים המופיעים בשורות </v>
          </cell>
          <cell r="AM39" t="str">
            <v>סכום המקדמות הנ"ל שולם לפ"ש גוש דן בתיק נכויים מס' 939240727.</v>
          </cell>
          <cell r="BC39">
            <v>-14032.855</v>
          </cell>
          <cell r="BE39" t="str">
            <v>סה"כ</v>
          </cell>
          <cell r="BQ39">
            <v>16894.968000000001</v>
          </cell>
        </row>
        <row r="40">
          <cell r="T40">
            <v>-8384.4030000000002</v>
          </cell>
          <cell r="W40" t="str">
            <v xml:space="preserve">3.31- 4.1- 4.9 כפול חלקה של השותפות הנ"ל </v>
          </cell>
          <cell r="AD40" t="str">
            <v>נכוי בשל פחת (ראה 2)</v>
          </cell>
          <cell r="AM40" t="str">
            <v xml:space="preserve"> </v>
          </cell>
          <cell r="BE40" t="str">
            <v>תשלום נכוי במקור בגין השנה:</v>
          </cell>
        </row>
        <row r="41">
          <cell r="W41" t="str">
            <v xml:space="preserve">ברווחים של השותפות האחרת)- להלן:        X %     =  </v>
          </cell>
          <cell r="AM41" t="str">
            <v xml:space="preserve"> </v>
          </cell>
          <cell r="AV41">
            <v>37.766999999999996</v>
          </cell>
          <cell r="AX41">
            <v>0</v>
          </cell>
          <cell r="AY41">
            <v>-3.4098316947175475</v>
          </cell>
          <cell r="AZ41">
            <v>37.767000000000003</v>
          </cell>
          <cell r="BA41">
            <v>0.17647058823529416</v>
          </cell>
          <cell r="BB41">
            <v>0</v>
          </cell>
          <cell r="BC41">
            <v>-3.4103999999999997</v>
          </cell>
          <cell r="BF41">
            <v>1.98</v>
          </cell>
        </row>
        <row r="42">
          <cell r="T42" t="e">
            <v>#REF!</v>
          </cell>
          <cell r="AD42" t="str">
            <v>רווח לחלוקה בין השותפים כמפורט בט' 1392/ג'</v>
          </cell>
          <cell r="AM42" t="str">
            <v>זקיפת המקדמות על הוצאות עודפות בין השותפים:</v>
          </cell>
          <cell r="AY42">
            <v>-8.9735760957763357</v>
          </cell>
          <cell r="AZ42">
            <v>0.17649999999999999</v>
          </cell>
          <cell r="BA42">
            <v>0.16136236739251819</v>
          </cell>
          <cell r="BC42">
            <v>-9.8154000000000003</v>
          </cell>
          <cell r="BF42">
            <v>3.98</v>
          </cell>
        </row>
        <row r="43">
          <cell r="N43" t="str">
            <v xml:space="preserve">רמת - גן , 16 באוגוסט 1998                </v>
          </cell>
          <cell r="W43" t="str">
            <v>סה"כ לענין השותפות: (סיכום שלילי יירשם בסוגריים)</v>
          </cell>
          <cell r="Y43">
            <v>9</v>
          </cell>
          <cell r="AK43" t="str">
            <v>ש"ח</v>
          </cell>
          <cell r="AR43" t="str">
            <v xml:space="preserve"> </v>
          </cell>
          <cell r="AT43">
            <v>-83.915999999999997</v>
          </cell>
          <cell r="AY43">
            <v>-1.7815712023160646</v>
          </cell>
          <cell r="AZ43">
            <v>0.17649999999999999</v>
          </cell>
          <cell r="BA43">
            <v>0.15651932165693649</v>
          </cell>
          <cell r="BC43">
            <v>-2.0089999999999999</v>
          </cell>
          <cell r="BE43" t="str">
            <v>סה"כ</v>
          </cell>
          <cell r="BF43">
            <v>4.9800000000000004</v>
          </cell>
        </row>
        <row r="44">
          <cell r="AD44" t="str">
            <v>הפסד הון לצרכי מס הכנסה לחלוקה בין</v>
          </cell>
          <cell r="AJ44" t="str">
            <v xml:space="preserve"> </v>
          </cell>
          <cell r="AR44" t="str">
            <v xml:space="preserve"> </v>
          </cell>
          <cell r="AY44">
            <v>-0.25259203699456345</v>
          </cell>
          <cell r="AZ44">
            <v>0.17649999999999999</v>
          </cell>
          <cell r="BA44">
            <v>0.13785557986870889</v>
          </cell>
          <cell r="BC44">
            <v>-0.32339999999999997</v>
          </cell>
          <cell r="BF44">
            <v>6.98</v>
          </cell>
        </row>
        <row r="45">
          <cell r="T45">
            <v>83.915999999999997</v>
          </cell>
          <cell r="AD45" t="str">
            <v xml:space="preserve">               השותפים (ראה נספח ב')</v>
          </cell>
          <cell r="AK45">
            <v>492975.00000000006</v>
          </cell>
          <cell r="AL45" t="str">
            <v>עורק שרותי מידע מקומי בע"מ</v>
          </cell>
          <cell r="AR45" t="str">
            <v xml:space="preserve"> </v>
          </cell>
          <cell r="AY45">
            <v>-0.46015075116786996</v>
          </cell>
          <cell r="AZ45">
            <v>0.17649999999999999</v>
          </cell>
          <cell r="BA45">
            <v>0.13444232342514328</v>
          </cell>
          <cell r="BC45">
            <v>-0.60409999999999986</v>
          </cell>
          <cell r="BF45">
            <v>7.98</v>
          </cell>
        </row>
        <row r="46">
          <cell r="W46" t="str">
            <v>הכפל באחוז חלקה של החברה ברווחי השותפות:</v>
          </cell>
          <cell r="Y46">
            <v>9</v>
          </cell>
          <cell r="AJ46" t="str">
            <v xml:space="preserve"> </v>
          </cell>
          <cell r="AR46" t="str">
            <v xml:space="preserve"> </v>
          </cell>
          <cell r="AY46">
            <v>-1.7217571500640301</v>
          </cell>
          <cell r="AZ46">
            <v>0.17649999999999999</v>
          </cell>
          <cell r="BA46">
            <v>0.13972602739726026</v>
          </cell>
          <cell r="BC46">
            <v>-2.1748999999999996</v>
          </cell>
          <cell r="BF46">
            <v>8.98</v>
          </cell>
        </row>
        <row r="47">
          <cell r="T47">
            <v>30.59</v>
          </cell>
          <cell r="AD47" t="str">
            <v>תרומות מוכרות לחלוקה בין השותפים (לפי פרוט מצורף)</v>
          </cell>
          <cell r="AK47">
            <v>211275</v>
          </cell>
          <cell r="AL47" t="str">
            <v>ידיעות תקשורת בע"מ</v>
          </cell>
          <cell r="AR47" t="str">
            <v xml:space="preserve"> </v>
          </cell>
          <cell r="AY47">
            <v>-6.4982667604814068E-2</v>
          </cell>
          <cell r="AZ47">
            <v>0.17649999999999999</v>
          </cell>
          <cell r="BA47">
            <v>8.1924577373212015E-2</v>
          </cell>
          <cell r="BC47">
            <v>-0.14000000000000001</v>
          </cell>
          <cell r="BF47">
            <v>10.98</v>
          </cell>
        </row>
        <row r="48">
          <cell r="AJ48" t="str">
            <v xml:space="preserve"> </v>
          </cell>
          <cell r="AR48" t="str">
            <v xml:space="preserve"> </v>
          </cell>
          <cell r="AY48">
            <v>7.3487752041326265E-2</v>
          </cell>
          <cell r="AZ48">
            <v>0.17649999999999999</v>
          </cell>
          <cell r="BA48">
            <v>-2.1176470588235241E-2</v>
          </cell>
          <cell r="BC48">
            <v>-0.61250000000000004</v>
          </cell>
          <cell r="BF48">
            <v>11.98</v>
          </cell>
        </row>
        <row r="49">
          <cell r="N49" t="str">
            <v>קסלמן וקסלמן</v>
          </cell>
          <cell r="Q49">
            <v>114330.95240872243</v>
          </cell>
          <cell r="T49" t="str">
            <v>הערות:</v>
          </cell>
          <cell r="W49" t="str">
            <v xml:space="preserve">  סיכום ההון כהגדרתו בסעיף 7(א) לחוק: (סיכום שלילי יירשם בסוגריים)</v>
          </cell>
          <cell r="Y49">
            <v>10</v>
          </cell>
          <cell r="AJ49" t="str">
            <v xml:space="preserve"> </v>
          </cell>
          <cell r="AK49">
            <v>704250</v>
          </cell>
          <cell r="AR49" t="str">
            <v xml:space="preserve"> </v>
          </cell>
          <cell r="AY49">
            <v>5.3097727965564613E-3</v>
          </cell>
          <cell r="AZ49">
            <v>0.17649999999999999</v>
          </cell>
          <cell r="BA49">
            <v>-7.3968026723931768E-3</v>
          </cell>
          <cell r="BC49">
            <v>-0.12669999999999998</v>
          </cell>
          <cell r="BF49">
            <v>12.98</v>
          </cell>
        </row>
        <row r="50">
          <cell r="N50" t="str">
            <v>רואי חשבון</v>
          </cell>
          <cell r="AD50" t="str">
            <v>השפעת האינפלציה בגין אובדן ממירים וגריעת הוצאות התקנה בגין מנויים שפרשו נדרשה כהוצאה הואיל והם</v>
          </cell>
          <cell r="AF50" t="str">
            <v>(1</v>
          </cell>
          <cell r="AJ50" t="str">
            <v xml:space="preserve"> </v>
          </cell>
        </row>
        <row r="51">
          <cell r="W51" t="str">
            <v xml:space="preserve"> הכפל כאמור בסעיף 7(ב) - סיכום חיובי, או 7(ד) לחוק - סיכום שלילי - לפי הענין:</v>
          </cell>
          <cell r="AD51" t="str">
            <v>מהווים נכס קבוע.</v>
          </cell>
          <cell r="AJ51" t="str">
            <v xml:space="preserve"> </v>
          </cell>
          <cell r="BH51">
            <v>8384.4030000000002</v>
          </cell>
          <cell r="BL51">
            <v>16895</v>
          </cell>
        </row>
        <row r="52">
          <cell r="Q52">
            <v>0.17649999999999999</v>
          </cell>
          <cell r="W52" t="str">
            <v xml:space="preserve">שיעור עליית שער החליפין על פי חוזר הנציבות מס' 86/4 </v>
          </cell>
          <cell r="Y52">
            <v>11</v>
          </cell>
          <cell r="AD52" t="str">
            <v>כולל נכוי בשל פחת בסך 31 אלפי ש"ח בגין כלי רכב פרטיים ביחס לסכום ההוצאה המוכרת ע"פ התקנות.</v>
          </cell>
          <cell r="AF52" t="str">
            <v>(2</v>
          </cell>
          <cell r="AJ52" t="str">
            <v xml:space="preserve"> </v>
          </cell>
        </row>
        <row r="53">
          <cell r="L53" t="str">
            <v>.1</v>
          </cell>
          <cell r="T53" t="str">
            <v>הוצאות התפעול כוללות סכומים כמפורט בבאור 15 לדוחות הכספיים.</v>
          </cell>
          <cell r="W53" t="str">
            <v>מיום 1 באוגוסט 1986</v>
          </cell>
          <cell r="AJ53" t="str">
            <v xml:space="preserve"> </v>
          </cell>
          <cell r="BC53">
            <v>-19.2164</v>
          </cell>
          <cell r="BE53" t="str">
            <v>סה"כ</v>
          </cell>
        </row>
        <row r="54">
          <cell r="AJ54" t="str">
            <v xml:space="preserve"> </v>
          </cell>
          <cell r="AL54" t="str">
            <v xml:space="preserve">          רמת - גן , 16 באוגוסט 1998                </v>
          </cell>
        </row>
        <row r="55">
          <cell r="W55" t="str">
            <v xml:space="preserve"> תוצאה חיובית תנוכה בדו"ח התאום שורה 17 בגבולות התיקרות / </v>
          </cell>
          <cell r="Y55">
            <v>12</v>
          </cell>
          <cell r="AJ55" t="str">
            <v xml:space="preserve"> </v>
          </cell>
        </row>
        <row r="56">
          <cell r="P56">
            <v>36023</v>
          </cell>
          <cell r="Q56">
            <v>20179</v>
          </cell>
          <cell r="W56" t="str">
            <v xml:space="preserve"> תוצאה שלילית תועבר לדו"ח בשורה 16:</v>
          </cell>
          <cell r="AJ56" t="str">
            <v>בכבוד רב,</v>
          </cell>
          <cell r="BE56" t="str">
            <v>תשלום מקדמות עודפות בגין השנה:</v>
          </cell>
        </row>
        <row r="57">
          <cell r="V57" t="str">
            <v>מנהל</v>
          </cell>
          <cell r="Y57" t="str">
            <v>מנהל</v>
          </cell>
          <cell r="AY57">
            <v>-12.569561514798675</v>
          </cell>
          <cell r="AZ57">
            <v>0.17649999999999999</v>
          </cell>
          <cell r="BA57">
            <v>0.16006692693809277</v>
          </cell>
          <cell r="BC57">
            <v>-13.860000000000001</v>
          </cell>
          <cell r="BF57" t="str">
            <v>25/02/98</v>
          </cell>
        </row>
        <row r="58">
          <cell r="L58" t="str">
            <v>.2</v>
          </cell>
          <cell r="P58">
            <v>0</v>
          </cell>
          <cell r="X58" t="str">
            <v>:הערה</v>
          </cell>
          <cell r="AY58">
            <v>-70.122179451315333</v>
          </cell>
          <cell r="AZ58">
            <v>0.17649999999999999</v>
          </cell>
          <cell r="BA58">
            <v>0.1571627260083448</v>
          </cell>
          <cell r="BC58">
            <v>-78.750000000000014</v>
          </cell>
          <cell r="BF58" t="str">
            <v>24/03/98</v>
          </cell>
        </row>
        <row r="59">
          <cell r="X59" t="str">
            <v xml:space="preserve">יש לשים לב לכך, שפרט לסכומים בשורות 3 ו - 6 שיש לרשמם תמיד בסוגריים - יתר הסכומים המבטאים הון, תיאומי הון ושינויים נטו </v>
          </cell>
          <cell r="AY59">
            <v>-20.201476544561267</v>
          </cell>
          <cell r="AZ59">
            <v>0.17649999999999999</v>
          </cell>
          <cell r="BA59">
            <v>0.11319240032111311</v>
          </cell>
          <cell r="BC59">
            <v>-31.500000000000004</v>
          </cell>
          <cell r="BF59" t="str">
            <v>20/04/98</v>
          </cell>
        </row>
        <row r="60">
          <cell r="X60" t="str">
            <v xml:space="preserve">עשויים להיות גם בסיכום שליליברשימות המתאימות או בדו"ח השותפות. </v>
          </cell>
          <cell r="AY60">
            <v>-19.037807262765394</v>
          </cell>
          <cell r="AZ60">
            <v>0.17649999999999999</v>
          </cell>
          <cell r="BA60">
            <v>0.14222954420648004</v>
          </cell>
          <cell r="BC60">
            <v>-23.625000000000004</v>
          </cell>
          <cell r="BF60" t="str">
            <v>24/05/98</v>
          </cell>
        </row>
        <row r="61">
          <cell r="X61" t="str">
            <v>אי לכך בנספח זה, יש להקפיד ולרשום בסוגריים  כל סיכום המתקבל כסכום שלילי.</v>
          </cell>
          <cell r="AJ61" t="str">
            <v>קסלמן וקסלמן</v>
          </cell>
          <cell r="AY61">
            <v>-30.684488051553885</v>
          </cell>
          <cell r="AZ61">
            <v>0.17649999999999999</v>
          </cell>
          <cell r="BA61">
            <v>0.137544435329505</v>
          </cell>
          <cell r="BC61">
            <v>-39.375000000000007</v>
          </cell>
          <cell r="BF61" t="str">
            <v>24/06/98</v>
          </cell>
        </row>
        <row r="62">
          <cell r="AB62">
            <v>26788</v>
          </cell>
          <cell r="AG62" t="str">
            <v>סה"כ סכום ההון: (סיכום שלילי יירשם בסוגריים)</v>
          </cell>
          <cell r="AJ62" t="str">
            <v>רואי חשבון</v>
          </cell>
          <cell r="AN62">
            <v>65663.821200000006</v>
          </cell>
          <cell r="AO62" t="str">
            <v>סה"כ סכום הנכסים הקבועים:</v>
          </cell>
          <cell r="AY62">
            <v>-24.04918329214636</v>
          </cell>
          <cell r="AZ62">
            <v>0.17649999999999999</v>
          </cell>
          <cell r="BA62">
            <v>0.13475177304964547</v>
          </cell>
          <cell r="BC62">
            <v>-31.500000000000004</v>
          </cell>
          <cell r="BF62" t="str">
            <v>26/07/98</v>
          </cell>
          <cell r="BH62">
            <v>36023</v>
          </cell>
          <cell r="BI62">
            <v>29568.382999999998</v>
          </cell>
          <cell r="BJ62" t="str">
            <v>ראה מכתבנו מיום</v>
          </cell>
          <cell r="BK62" t="str">
            <v>סה"כ תאומי ההון: (סיכום שלילי יירשם בסוגריים)</v>
          </cell>
        </row>
        <row r="63">
          <cell r="AY63">
            <v>-68.687087546705385</v>
          </cell>
          <cell r="AZ63">
            <v>0.17649999999999999</v>
          </cell>
          <cell r="BA63">
            <v>0.12828858150257672</v>
          </cell>
          <cell r="BC63">
            <v>-94.5</v>
          </cell>
          <cell r="BF63" t="str">
            <v>17/08/98</v>
          </cell>
          <cell r="BH63" t="str">
            <v>קסלמן וקסלמן רו"ח</v>
          </cell>
        </row>
        <row r="64">
          <cell r="L64" t="str">
            <v>ראה מכתבנו מיום</v>
          </cell>
          <cell r="AJ64" t="str">
            <v xml:space="preserve"> </v>
          </cell>
          <cell r="AY64">
            <v>-29.644369347276591</v>
          </cell>
          <cell r="AZ64">
            <v>0.17649999999999999</v>
          </cell>
          <cell r="BA64">
            <v>8.3051288726893935E-2</v>
          </cell>
          <cell r="BC64">
            <v>-62.999999999999993</v>
          </cell>
          <cell r="BF64" t="str">
            <v>15/09/98</v>
          </cell>
          <cell r="BN64" t="str">
            <v>חותמת המייצג לשם זהוי:</v>
          </cell>
        </row>
        <row r="65">
          <cell r="AY65">
            <v>2.6126923779782443</v>
          </cell>
          <cell r="AZ65">
            <v>0.17649999999999999</v>
          </cell>
          <cell r="BA65">
            <v>-9.7595810521303727E-3</v>
          </cell>
          <cell r="BC65">
            <v>-47.25</v>
          </cell>
          <cell r="BF65" t="str">
            <v>15/10/98</v>
          </cell>
          <cell r="BS65" t="str">
            <v>קסלמן וקסלמן רו"ח</v>
          </cell>
        </row>
        <row r="66">
          <cell r="O66" t="str">
            <v>קסלמן וקסלמן רו"ח</v>
          </cell>
          <cell r="T66" t="str">
            <v xml:space="preserve">חותמת המייצג לשם זהוי: </v>
          </cell>
          <cell r="X66" t="str">
            <v xml:space="preserve">:חתימת המנהלים </v>
          </cell>
          <cell r="AY66">
            <v>0.19263999695580428</v>
          </cell>
          <cell r="AZ66">
            <v>0.17649999999999999</v>
          </cell>
          <cell r="BA66">
            <v>-2.1587910769967911E-3</v>
          </cell>
          <cell r="BC66">
            <v>-15.749999999999998</v>
          </cell>
          <cell r="BF66" t="str">
            <v>24/11/98</v>
          </cell>
        </row>
        <row r="67">
          <cell r="AX67" t="str">
            <v>7TG</v>
          </cell>
          <cell r="AY67">
            <v>1.4719636136825172</v>
          </cell>
          <cell r="AZ67">
            <v>0.17649999999999999</v>
          </cell>
          <cell r="BA67">
            <v>-5.4984460913219957E-3</v>
          </cell>
          <cell r="BC67">
            <v>-47.25</v>
          </cell>
          <cell r="BF67" t="str">
            <v>23/12/98</v>
          </cell>
        </row>
        <row r="68">
          <cell r="O68" t="str">
            <v>1TG</v>
          </cell>
          <cell r="AM68" t="str">
            <v>6tg</v>
          </cell>
          <cell r="AY68">
            <v>0</v>
          </cell>
          <cell r="AZ68">
            <v>0.17649999999999999</v>
          </cell>
          <cell r="BA68">
            <v>0</v>
          </cell>
          <cell r="BC68">
            <v>-55.838999999999999</v>
          </cell>
          <cell r="BF68" t="str">
            <v>31/12/98</v>
          </cell>
        </row>
        <row r="69">
          <cell r="BR69">
            <v>36037</v>
          </cell>
          <cell r="BS69" t="str">
            <v>ראה מכתבנו מיום</v>
          </cell>
        </row>
        <row r="71">
          <cell r="BC71">
            <v>-542.19900000000007</v>
          </cell>
        </row>
        <row r="72">
          <cell r="T72" t="str">
            <v>2tg</v>
          </cell>
          <cell r="AT72">
            <v>68.174000000000007</v>
          </cell>
          <cell r="AV72">
            <v>-68.174000000000007</v>
          </cell>
          <cell r="AX72">
            <v>-16258.099163942479</v>
          </cell>
          <cell r="BB72">
            <v>-68.174000000000007</v>
          </cell>
          <cell r="BC72" t="str">
            <v>קזוז רווח ראלי מהפסד הון</v>
          </cell>
          <cell r="BE72" t="str">
            <v>סה"כ</v>
          </cell>
        </row>
        <row r="74">
          <cell r="AZ74" t="str">
            <v>סה"כ נטו שנויים בהון ובנכסים במשך השנה:</v>
          </cell>
        </row>
        <row r="75">
          <cell r="AX75">
            <v>123638.39060872243</v>
          </cell>
        </row>
        <row r="76">
          <cell r="T76" t="str">
            <v>ערוצי זהב ושות'</v>
          </cell>
        </row>
        <row r="77">
          <cell r="T77" t="str">
            <v>שותפות רשומה</v>
          </cell>
        </row>
        <row r="78">
          <cell r="T78" t="str">
            <v>פרוטים</v>
          </cell>
          <cell r="BD78" t="str">
            <v>דיבידנד ששולם למעט מתוך דיבידנד שנתקבל</v>
          </cell>
        </row>
        <row r="79">
          <cell r="T79" t="str">
            <v>דוח רווח והפסד מותאם לצרכי מס הכנסה</v>
          </cell>
        </row>
        <row r="80">
          <cell r="T80" t="str">
            <v>לשנת המס 1998</v>
          </cell>
        </row>
        <row r="82">
          <cell r="AA82" t="str">
            <v>נסיעות</v>
          </cell>
          <cell r="AC82" t="str">
            <v>השתתפות</v>
          </cell>
        </row>
        <row r="83">
          <cell r="V83" t="str">
            <v>סה"כ</v>
          </cell>
          <cell r="X83" t="str">
            <v>רכב</v>
          </cell>
          <cell r="AA83" t="str">
            <v>לחו"ל</v>
          </cell>
          <cell r="AC83" t="str">
            <v>בהוצאות</v>
          </cell>
        </row>
        <row r="85">
          <cell r="V85">
            <v>3727.1759999999999</v>
          </cell>
          <cell r="X85">
            <v>3560.145</v>
          </cell>
          <cell r="AA85">
            <v>167.03100000000001</v>
          </cell>
          <cell r="AD85" t="str">
            <v>תפעול</v>
          </cell>
        </row>
        <row r="87">
          <cell r="V87">
            <v>180.64</v>
          </cell>
          <cell r="X87">
            <v>180.64</v>
          </cell>
          <cell r="AD87" t="str">
            <v>מכירה</v>
          </cell>
        </row>
        <row r="89">
          <cell r="V89">
            <v>762.74599999999998</v>
          </cell>
          <cell r="X89">
            <v>762.74599999999998</v>
          </cell>
          <cell r="AD89" t="str">
            <v>הנהלה</v>
          </cell>
        </row>
        <row r="91">
          <cell r="V91">
            <v>4670.5619999999999</v>
          </cell>
          <cell r="X91">
            <v>4503.5309999999999</v>
          </cell>
          <cell r="AA91">
            <v>167.03100000000001</v>
          </cell>
          <cell r="AC91">
            <v>0</v>
          </cell>
        </row>
        <row r="93">
          <cell r="V93">
            <v>0</v>
          </cell>
          <cell r="X93">
            <v>0</v>
          </cell>
          <cell r="AC93">
            <v>0</v>
          </cell>
          <cell r="AD93" t="str">
            <v>פחות פחת</v>
          </cell>
        </row>
        <row r="95">
          <cell r="V95">
            <v>4503.5309999999999</v>
          </cell>
          <cell r="X95">
            <v>4503.5309999999999</v>
          </cell>
          <cell r="AC95">
            <v>0</v>
          </cell>
        </row>
        <row r="96">
          <cell r="AD96" t="str">
            <v>הוון</v>
          </cell>
        </row>
        <row r="98">
          <cell r="V98">
            <v>4503.5309999999999</v>
          </cell>
          <cell r="X98">
            <v>4503.5309999999999</v>
          </cell>
          <cell r="AC98">
            <v>0</v>
          </cell>
          <cell r="AD98" t="str">
            <v>סה"כ הוצ'</v>
          </cell>
        </row>
        <row r="100">
          <cell r="AA100">
            <v>-157.4935299</v>
          </cell>
          <cell r="AD100" t="str">
            <v>מוכר</v>
          </cell>
        </row>
        <row r="102">
          <cell r="AA102">
            <v>9.5374701000000073</v>
          </cell>
          <cell r="AD102" t="str">
            <v>מעל למוכר</v>
          </cell>
        </row>
        <row r="104">
          <cell r="AD104" t="str">
            <v>הוצאות לא מוכרות</v>
          </cell>
        </row>
        <row r="105">
          <cell r="AC105">
            <v>27.323</v>
          </cell>
          <cell r="AE105" t="str">
            <v>בגוד</v>
          </cell>
        </row>
        <row r="106">
          <cell r="AC106">
            <v>88.558000000000007</v>
          </cell>
          <cell r="AE106" t="str">
            <v>כבודים</v>
          </cell>
        </row>
        <row r="107">
          <cell r="AC107">
            <v>0</v>
          </cell>
          <cell r="AD107" t="str">
            <v>טיולים ,מסיבות נופש,פרסים,נק' זהב</v>
          </cell>
        </row>
        <row r="108">
          <cell r="AC108">
            <v>1.446</v>
          </cell>
          <cell r="AE108" t="str">
            <v>מתנות</v>
          </cell>
        </row>
        <row r="109">
          <cell r="AC109">
            <v>0</v>
          </cell>
          <cell r="AE109" t="str">
            <v>חיוב טל"מ</v>
          </cell>
        </row>
        <row r="110">
          <cell r="AC110">
            <v>0</v>
          </cell>
          <cell r="AE110" t="str">
            <v>שווי</v>
          </cell>
        </row>
        <row r="111">
          <cell r="AC111">
            <v>0</v>
          </cell>
          <cell r="AD111" t="str">
            <v>שווי בכירים</v>
          </cell>
        </row>
        <row r="112">
          <cell r="AC112">
            <v>42.567</v>
          </cell>
          <cell r="AD112" t="str">
            <v>כבוד מחוץ לעסק</v>
          </cell>
        </row>
        <row r="114">
          <cell r="AC114">
            <v>159.89400000000001</v>
          </cell>
        </row>
        <row r="116">
          <cell r="AB116" t="str">
            <v>בדיקת "מעגל" רכוש</v>
          </cell>
        </row>
        <row r="117">
          <cell r="T117">
            <v>-26663.710000000006</v>
          </cell>
          <cell r="V117" t="str">
            <v xml:space="preserve"> בקורת תוספות רכוש קבוע</v>
          </cell>
          <cell r="AA117" t="str">
            <v>מס</v>
          </cell>
          <cell r="AC117" t="str">
            <v>ספרים</v>
          </cell>
        </row>
        <row r="118">
          <cell r="T118" t="str">
            <v>====</v>
          </cell>
          <cell r="AA118">
            <v>120746</v>
          </cell>
          <cell r="AC118">
            <v>122451.887</v>
          </cell>
          <cell r="AD118" t="str">
            <v>י.פ. רכוש קבוע</v>
          </cell>
        </row>
        <row r="119">
          <cell r="AA119">
            <v>45571.370999999999</v>
          </cell>
          <cell r="AC119">
            <v>45571.370999999999</v>
          </cell>
          <cell r="AD119" t="str">
            <v>רכישות השנה</v>
          </cell>
        </row>
        <row r="120">
          <cell r="O120">
            <v>11</v>
          </cell>
          <cell r="Q120">
            <v>11</v>
          </cell>
          <cell r="S120">
            <v>1</v>
          </cell>
          <cell r="T120">
            <v>0</v>
          </cell>
          <cell r="U120">
            <v>9</v>
          </cell>
          <cell r="V120" t="str">
            <v>גריעות</v>
          </cell>
          <cell r="W120">
            <v>9</v>
          </cell>
          <cell r="X120">
            <v>9</v>
          </cell>
          <cell r="Y120">
            <v>1</v>
          </cell>
          <cell r="AA120">
            <v>-322.38900000000001</v>
          </cell>
          <cell r="AC120">
            <v>-322.38900000000001</v>
          </cell>
          <cell r="AD120" t="str">
            <v>תמורה ממכירת רכוש</v>
          </cell>
        </row>
        <row r="121">
          <cell r="T121">
            <v>0</v>
          </cell>
          <cell r="AA121">
            <v>23.48</v>
          </cell>
          <cell r="AC121">
            <v>533.00199999999995</v>
          </cell>
          <cell r="AD121" t="str">
            <v>רווח הון</v>
          </cell>
        </row>
        <row r="122">
          <cell r="AA122">
            <v>-17094.646000000001</v>
          </cell>
          <cell r="AC122">
            <v>0</v>
          </cell>
          <cell r="AD122" t="str">
            <v>פחת השנה</v>
          </cell>
        </row>
        <row r="123">
          <cell r="T123">
            <v>0</v>
          </cell>
          <cell r="AA123">
            <v>-1216.1489999999999</v>
          </cell>
          <cell r="AC123">
            <v>-1216.1489999999999</v>
          </cell>
          <cell r="AD123" t="str">
            <v>גריעת שלוחות וממירים</v>
          </cell>
        </row>
        <row r="124">
          <cell r="T124">
            <v>533.00199999999995</v>
          </cell>
          <cell r="V124" t="str">
            <v>רווח(הפסד)</v>
          </cell>
          <cell r="AA124">
            <v>147707.66699999999</v>
          </cell>
          <cell r="AC124">
            <v>167017.72200000001</v>
          </cell>
          <cell r="AD124" t="str">
            <v>י.ס. רכוש קבוע</v>
          </cell>
        </row>
        <row r="125">
          <cell r="V125" t="str">
            <v>נטרול הוצאות נתוק והפעלה</v>
          </cell>
          <cell r="AA125">
            <v>-32240.375999999989</v>
          </cell>
          <cell r="AC125">
            <v>-21917.114999999991</v>
          </cell>
          <cell r="AD125" t="str">
            <v>הפרש</v>
          </cell>
        </row>
        <row r="126">
          <cell r="T126">
            <v>-1216.1489999999999</v>
          </cell>
          <cell r="V126" t="str">
            <v>נטרול מחיקת ממירים</v>
          </cell>
          <cell r="AC126" t="str">
            <v>בדיקת סבירות ניכוי בשל פחת</v>
          </cell>
        </row>
        <row r="127">
          <cell r="T127">
            <v>-683.14699999999993</v>
          </cell>
          <cell r="V127" t="str">
            <v>תמורה</v>
          </cell>
        </row>
        <row r="128">
          <cell r="T128">
            <v>1005.5359999999999</v>
          </cell>
          <cell r="V128" t="str">
            <v>בקורת תמורה</v>
          </cell>
          <cell r="AA128">
            <v>0.58641713834859865</v>
          </cell>
          <cell r="AB128" t="str">
            <v>=</v>
          </cell>
          <cell r="AC128">
            <v>17094.646000000001</v>
          </cell>
          <cell r="AD128" t="str">
            <v>פחת למס 98=</v>
          </cell>
        </row>
        <row r="129">
          <cell r="T129">
            <v>322.38900000000001</v>
          </cell>
          <cell r="V129" t="str">
            <v>לפי טופס 1392</v>
          </cell>
          <cell r="AC129">
            <v>29151</v>
          </cell>
          <cell r="AD129" t="str">
            <v>פחת למס 97</v>
          </cell>
        </row>
        <row r="137">
          <cell r="AC137">
            <v>0.58641713834859865</v>
          </cell>
        </row>
        <row r="138">
          <cell r="AC138" t="e">
            <v>#VALUE!</v>
          </cell>
        </row>
        <row r="139">
          <cell r="AC139">
            <v>-17094.646000000001</v>
          </cell>
          <cell r="AD139" t="str">
            <v>פחת נומינלי השנה</v>
          </cell>
        </row>
        <row r="141">
          <cell r="AC141" t="e">
            <v>#VALUE!</v>
          </cell>
          <cell r="AD141" t="str">
            <v>ניכוי בשל פחת חזוי</v>
          </cell>
        </row>
        <row r="142">
          <cell r="AC142">
            <v>8384.4030000000002</v>
          </cell>
          <cell r="AD142" t="str">
            <v>ניכוי בשל פחת בספרים</v>
          </cell>
        </row>
        <row r="143">
          <cell r="AA143" t="e">
            <v>#VALUE!</v>
          </cell>
          <cell r="AC143" t="e">
            <v>#VALUE!</v>
          </cell>
          <cell r="AD143" t="str">
            <v>הפרש</v>
          </cell>
        </row>
        <row r="144">
          <cell r="Z144" t="str">
            <v>10TG</v>
          </cell>
        </row>
        <row r="147">
          <cell r="V147">
            <v>4503.5309999999999</v>
          </cell>
          <cell r="AA147" t="str">
            <v>|הוצאות אחזקת רכב בספרים לא כולל פחת</v>
          </cell>
        </row>
        <row r="148">
          <cell r="V148">
            <v>0</v>
          </cell>
          <cell r="AA148" t="str">
            <v>פחת כלי רכב לפי טופס י"א</v>
          </cell>
        </row>
        <row r="149">
          <cell r="AA149" t="str">
            <v>חויב כהכנסת עבודה בידי העובדים</v>
          </cell>
        </row>
        <row r="150">
          <cell r="V150">
            <v>-4103.1670941000002</v>
          </cell>
          <cell r="AA150" t="str">
            <v>הוצאות מוכרות על פי התקנות</v>
          </cell>
        </row>
        <row r="151">
          <cell r="T151">
            <v>400.36390589999974</v>
          </cell>
        </row>
        <row r="165">
          <cell r="AX165">
            <v>9</v>
          </cell>
        </row>
        <row r="169">
          <cell r="AA169">
            <v>9</v>
          </cell>
          <cell r="AL169">
            <v>10</v>
          </cell>
          <cell r="AM169">
            <v>9</v>
          </cell>
          <cell r="AN169">
            <v>9</v>
          </cell>
          <cell r="AO169">
            <v>9</v>
          </cell>
          <cell r="AQ169">
            <v>9</v>
          </cell>
          <cell r="AR169">
            <v>9</v>
          </cell>
          <cell r="AS169">
            <v>9</v>
          </cell>
          <cell r="AT169" t="str">
            <v xml:space="preserve">  |</v>
          </cell>
          <cell r="AU169" t="str">
            <v xml:space="preserve">    |</v>
          </cell>
          <cell r="AV169">
            <v>1</v>
          </cell>
          <cell r="AW169">
            <v>12</v>
          </cell>
        </row>
        <row r="170">
          <cell r="AA170" t="str">
            <v xml:space="preserve"> </v>
          </cell>
          <cell r="AL170" t="str">
            <v xml:space="preserve">       פירוט חישוב הנכסים הקבועים של החברה :‎7 מצורפת לנספח ‎3 'רשימה מס</v>
          </cell>
          <cell r="AT170" t="str">
            <v xml:space="preserve">  |</v>
          </cell>
          <cell r="AU170" t="str">
            <v xml:space="preserve">    |</v>
          </cell>
          <cell r="AX170" t="str">
            <v>עורק שרותי מידע מקומי בע"מ</v>
          </cell>
        </row>
        <row r="171">
          <cell r="AA171" t="str">
            <v xml:space="preserve"> </v>
          </cell>
          <cell r="AT171" t="str">
            <v xml:space="preserve">  |</v>
          </cell>
          <cell r="AU171" t="str">
            <v xml:space="preserve">    |</v>
          </cell>
          <cell r="AW171" t="str">
            <v xml:space="preserve">       פירוט חישוב תאומי ההון  </v>
          </cell>
          <cell r="AX171" t="str">
            <v>מממממממממממ</v>
          </cell>
        </row>
        <row r="172">
          <cell r="AT172" t="str">
            <v xml:space="preserve">  |</v>
          </cell>
          <cell r="AU172" t="str">
            <v xml:space="preserve">    |</v>
          </cell>
          <cell r="AV172" t="str">
            <v xml:space="preserve"> </v>
          </cell>
          <cell r="AW172" t="str">
            <v xml:space="preserve">       ממממממממממ</v>
          </cell>
        </row>
        <row r="173">
          <cell r="AA173" t="str">
            <v xml:space="preserve"> </v>
          </cell>
          <cell r="AM173" t="str">
            <v xml:space="preserve">      עורק שרותי מידע מקומי בע"מ</v>
          </cell>
          <cell r="AO173" t="str">
            <v>:(שם החברה (או האגודה השיתופית</v>
          </cell>
          <cell r="AT173" t="str">
            <v xml:space="preserve">  |</v>
          </cell>
          <cell r="AU173" t="str">
            <v xml:space="preserve">    |</v>
          </cell>
          <cell r="AV173" t="str">
            <v xml:space="preserve"> </v>
          </cell>
        </row>
        <row r="174">
          <cell r="AA174" t="str">
            <v xml:space="preserve">         ההון של ,‎1985-לתוספת א לחוק מס הכנסה (תאומים בשל אינפלציה) התשמ"ה ‎1 לפי סעיף</v>
          </cell>
          <cell r="AM174" t="str">
            <v>מממממממממממ</v>
          </cell>
          <cell r="AN174" t="str">
            <v>מממממממממממ</v>
          </cell>
          <cell r="AT174" t="str">
            <v xml:space="preserve">  |</v>
          </cell>
          <cell r="AU174" t="str">
            <v xml:space="preserve">    |</v>
          </cell>
          <cell r="AV174" t="str">
            <v xml:space="preserve">    1994 :שנת המס  </v>
          </cell>
        </row>
        <row r="175">
          <cell r="AT175" t="str">
            <v xml:space="preserve">  |</v>
          </cell>
          <cell r="AU175" t="str">
            <v xml:space="preserve">    |</v>
          </cell>
          <cell r="AV175" t="str">
            <v xml:space="preserve"> </v>
          </cell>
          <cell r="AX175" t="str">
            <v>_</v>
          </cell>
        </row>
        <row r="176">
          <cell r="AA176" t="str">
            <v xml:space="preserve"> </v>
          </cell>
          <cell r="AT176" t="str">
            <v xml:space="preserve">  |</v>
          </cell>
          <cell r="AU176" t="str">
            <v xml:space="preserve">    |</v>
          </cell>
          <cell r="AV176" t="str">
            <v xml:space="preserve">  תאומי ,‎1985-לתוספת  א לחוק  מס  הכנסה (תאומים בשל אינפלציה) התשמ"ה  ‎3  לפי סעיף</v>
          </cell>
          <cell r="AX176" t="str">
            <v xml:space="preserve">תאור הרישומים,היתרות,ההפקדות או הפעולות    |  </v>
          </cell>
          <cell r="AY176">
            <v>9</v>
          </cell>
          <cell r="AZ176">
            <v>9</v>
          </cell>
          <cell r="BA176">
            <v>9</v>
          </cell>
          <cell r="BB176" t="str">
            <v>|</v>
          </cell>
        </row>
        <row r="177">
          <cell r="AT177" t="str">
            <v xml:space="preserve">  |</v>
          </cell>
          <cell r="AU177" t="str">
            <v xml:space="preserve">    |</v>
          </cell>
          <cell r="AX177" t="str">
            <v xml:space="preserve">                       המחיבים תאום הון    |</v>
          </cell>
          <cell r="BB177" t="str">
            <v>|</v>
          </cell>
        </row>
        <row r="178">
          <cell r="AA178" t="str">
            <v xml:space="preserve">        ³</v>
          </cell>
          <cell r="AL178" t="str">
            <v>מ</v>
          </cell>
          <cell r="AM178" t="str">
            <v>מ|ממממממממממ</v>
          </cell>
          <cell r="AN178" t="str">
            <v>מ</v>
          </cell>
          <cell r="AO178" t="str">
            <v>ממממממממממממממממ|ממ</v>
          </cell>
          <cell r="AR178" t="str">
            <v>מ</v>
          </cell>
          <cell r="AS178" t="str">
            <v>ממ³</v>
          </cell>
          <cell r="AT178" t="str">
            <v xml:space="preserve">  |</v>
          </cell>
          <cell r="AU178" t="str">
            <v xml:space="preserve">    |</v>
          </cell>
          <cell r="AV178" t="str">
            <v xml:space="preserve"> </v>
          </cell>
          <cell r="AX178" t="str">
            <v>___________________</v>
          </cell>
          <cell r="BB178" t="str">
            <v>|</v>
          </cell>
        </row>
        <row r="179">
          <cell r="AA179" t="str">
            <v xml:space="preserve">        ³ תאור פריט לפי הרשום במאזן בתום שנת המס הקודמת³      הסכום     ³               </v>
          </cell>
          <cell r="AL179" t="str">
            <v xml:space="preserve">           ³                                                  ³    סעיף קטן³</v>
          </cell>
          <cell r="AN179" t="str">
            <v xml:space="preserve">תאור הנכסים הקבועים, לפי הרשום במאזן לתום  |  </v>
          </cell>
          <cell r="AR179" t="str">
            <v xml:space="preserve"> סעיף קטן</v>
          </cell>
          <cell r="AS179" t="str">
            <v xml:space="preserve">  |</v>
          </cell>
          <cell r="AT179" t="str">
            <v xml:space="preserve">  |</v>
          </cell>
          <cell r="AU179" t="str">
            <v xml:space="preserve">    |</v>
          </cell>
          <cell r="AW179" t="str">
            <v>_</v>
          </cell>
          <cell r="BB179" t="str">
            <v>|</v>
          </cell>
        </row>
        <row r="180">
          <cell r="AA180" t="str">
            <v xml:space="preserve">        ³</v>
          </cell>
          <cell r="AN180" t="str">
            <v xml:space="preserve">                           שנת המס הקודמת  |</v>
          </cell>
          <cell r="AR180" t="str">
            <v xml:space="preserve">  בהגדרה</v>
          </cell>
          <cell r="AS180" t="str">
            <v xml:space="preserve">  |</v>
          </cell>
          <cell r="AT180" t="str">
            <v xml:space="preserve">  |</v>
          </cell>
          <cell r="AU180" t="str">
            <v xml:space="preserve">    |</v>
          </cell>
          <cell r="AV180" t="str">
            <v xml:space="preserve">³                  ³         תאור הרישומים, היתרות, ההפקדות או      </v>
          </cell>
          <cell r="AW180" t="str">
            <v xml:space="preserve">             ³                                                  ³    סעיף קטן³</v>
          </cell>
          <cell r="AX180" t="str">
            <v xml:space="preserve"> סכום שנרשם בספרים כהוצאה אך לא הוצא</v>
          </cell>
          <cell r="BB180" t="str">
            <v>|</v>
          </cell>
        </row>
        <row r="181">
          <cell r="AA181" t="str">
            <v xml:space="preserve">        ³</v>
          </cell>
          <cell r="AL181" t="str">
            <v>מ</v>
          </cell>
          <cell r="AN181" t="str">
            <v>מ</v>
          </cell>
          <cell r="AO181" t="str">
            <v>ממממממממממממממממ|ממ</v>
          </cell>
          <cell r="AR181" t="str">
            <v>מ</v>
          </cell>
          <cell r="AS181" t="str">
            <v>ממ³</v>
          </cell>
          <cell r="AT181" t="str">
            <v xml:space="preserve">  |</v>
          </cell>
          <cell r="AU181" t="str">
            <v xml:space="preserve">    |</v>
          </cell>
          <cell r="AV181" t="str">
            <v>³     לזיהוי הפריט³                                                  ³        הסכום³</v>
          </cell>
          <cell r="AW181" t="str">
            <v xml:space="preserve">  לזיהוי הפריט³                                                  ³      הסכום³</v>
          </cell>
          <cell r="AX181" t="str">
            <v>מ</v>
          </cell>
          <cell r="BB181" t="str">
            <v>|</v>
          </cell>
        </row>
        <row r="182">
          <cell r="AA182" t="str">
            <v xml:space="preserve">        ³</v>
          </cell>
          <cell r="AQ182" t="str">
            <v xml:space="preserve">       |</v>
          </cell>
          <cell r="AS182" t="str">
            <v xml:space="preserve">  |</v>
          </cell>
          <cell r="AT182" t="str">
            <v xml:space="preserve">  |</v>
          </cell>
          <cell r="AU182" t="str">
            <v xml:space="preserve">    |</v>
          </cell>
          <cell r="AV182" t="str">
            <v>³____________________</v>
          </cell>
          <cell r="AW182" t="str">
            <v>____________________</v>
          </cell>
          <cell r="AX182" t="str">
            <v xml:space="preserve"> בפועל ולא הותר בנכוי לענין חישוב </v>
          </cell>
          <cell r="AY182" t="str">
            <v>מממממממממ</v>
          </cell>
          <cell r="BB182" t="str">
            <v>|</v>
          </cell>
        </row>
        <row r="183">
          <cell r="AA183" t="str">
            <v xml:space="preserve">        ³</v>
          </cell>
          <cell r="AO183" t="str">
            <v>ממממממממממממממממ|ממ</v>
          </cell>
          <cell r="AR183" t="str">
            <v>מ</v>
          </cell>
          <cell r="AS183" t="str">
            <v>ממ³</v>
          </cell>
          <cell r="AT183" t="str">
            <v xml:space="preserve">  |</v>
          </cell>
          <cell r="AU183" t="str">
            <v xml:space="preserve">    |</v>
          </cell>
          <cell r="AV183" t="str">
            <v>³                  ³                                                  ³            ³</v>
          </cell>
          <cell r="AX183" t="str">
            <v>מ</v>
          </cell>
          <cell r="BB183" t="str">
            <v>|</v>
          </cell>
        </row>
        <row r="184">
          <cell r="AA184" t="str">
            <v xml:space="preserve">        ³</v>
          </cell>
          <cell r="AQ184" t="str">
            <v xml:space="preserve">       |</v>
          </cell>
          <cell r="AS184" t="str">
            <v xml:space="preserve">  |</v>
          </cell>
          <cell r="AT184" t="str">
            <v xml:space="preserve">  |</v>
          </cell>
          <cell r="AU184" t="str">
            <v xml:space="preserve">    |</v>
          </cell>
          <cell r="AV184" t="str">
            <v>³</v>
          </cell>
          <cell r="AX184" t="str">
            <v xml:space="preserve">ההכנסה החייבת </v>
          </cell>
          <cell r="AY184" t="str">
            <v xml:space="preserve">         :ההון של החברה מסתכם כמפורט להלן</v>
          </cell>
          <cell r="BB184" t="str">
            <v>|</v>
          </cell>
        </row>
        <row r="185">
          <cell r="AA185" t="str">
            <v xml:space="preserve">        ³</v>
          </cell>
          <cell r="AL185" t="str">
            <v>מ</v>
          </cell>
          <cell r="AN185" t="str">
            <v>מ</v>
          </cell>
          <cell r="AO185" t="str">
            <v>ממממממממממממממממ|ממ</v>
          </cell>
          <cell r="AR185" t="str">
            <v>מ</v>
          </cell>
          <cell r="AS185" t="str">
            <v>ממ³</v>
          </cell>
          <cell r="AT185" t="str">
            <v xml:space="preserve">  |</v>
          </cell>
          <cell r="AU185" t="str">
            <v xml:space="preserve">    |</v>
          </cell>
          <cell r="AV185" t="str">
            <v>³</v>
          </cell>
          <cell r="AW185" t="str">
            <v>מ</v>
          </cell>
          <cell r="AX185" t="str">
            <v>מ</v>
          </cell>
          <cell r="BB185" t="str">
            <v>|</v>
          </cell>
        </row>
        <row r="186">
          <cell r="AA186" t="str">
            <v xml:space="preserve">        ³</v>
          </cell>
          <cell r="AM186" t="str">
            <v xml:space="preserve"> |</v>
          </cell>
          <cell r="AQ186" t="str">
            <v xml:space="preserve">       |</v>
          </cell>
          <cell r="AS186" t="str">
            <v xml:space="preserve">  |</v>
          </cell>
          <cell r="AT186" t="str">
            <v xml:space="preserve">  |</v>
          </cell>
          <cell r="AU186" t="str">
            <v xml:space="preserve">    |</v>
          </cell>
          <cell r="AV186" t="str">
            <v>³</v>
          </cell>
          <cell r="AY186" t="str">
            <v>_</v>
          </cell>
          <cell r="AZ186" t="str">
            <v>_</v>
          </cell>
          <cell r="BA186" t="str">
            <v>__</v>
          </cell>
          <cell r="BB186" t="str">
            <v>|</v>
          </cell>
        </row>
        <row r="187">
          <cell r="AA187" t="str">
            <v xml:space="preserve">        ³</v>
          </cell>
          <cell r="AL187" t="str">
            <v>מ</v>
          </cell>
          <cell r="AM187" t="str">
            <v>מ|ממממממממממ</v>
          </cell>
          <cell r="AN187" t="str">
            <v>מ</v>
          </cell>
          <cell r="AO187" t="str">
            <v>ממממממממממממממממ|ממ</v>
          </cell>
          <cell r="AR187" t="str">
            <v>מ</v>
          </cell>
          <cell r="AS187" t="str">
            <v>ממ³</v>
          </cell>
          <cell r="AT187" t="str">
            <v xml:space="preserve">  |</v>
          </cell>
          <cell r="AU187" t="str">
            <v xml:space="preserve">    |</v>
          </cell>
          <cell r="AV187" t="str">
            <v>³</v>
          </cell>
          <cell r="AW187" t="str">
            <v>מ</v>
          </cell>
          <cell r="BA187" t="str">
            <v xml:space="preserve">  |</v>
          </cell>
          <cell r="BB187" t="str">
            <v>|</v>
          </cell>
        </row>
        <row r="188">
          <cell r="AA188" t="str">
            <v xml:space="preserve">        ³</v>
          </cell>
          <cell r="AM188" t="str">
            <v xml:space="preserve"> |</v>
          </cell>
          <cell r="AQ188" t="str">
            <v xml:space="preserve">       |</v>
          </cell>
          <cell r="AS188" t="str">
            <v xml:space="preserve">  |</v>
          </cell>
          <cell r="AT188" t="str">
            <v xml:space="preserve">  |</v>
          </cell>
          <cell r="AU188" t="str">
            <v xml:space="preserve">    |</v>
          </cell>
          <cell r="AV188" t="str">
            <v>³</v>
          </cell>
          <cell r="BA188" t="str">
            <v xml:space="preserve">  |</v>
          </cell>
          <cell r="BB188" t="str">
            <v>|</v>
          </cell>
        </row>
        <row r="189">
          <cell r="AA189" t="str">
            <v xml:space="preserve">        ³</v>
          </cell>
          <cell r="AL189" t="str">
            <v>מ</v>
          </cell>
          <cell r="AM189" t="str">
            <v>מ|ממממממממממ</v>
          </cell>
          <cell r="AN189" t="str">
            <v>מ</v>
          </cell>
          <cell r="AO189" t="str">
            <v>ממממממממממממממממ|ממ</v>
          </cell>
          <cell r="AR189" t="str">
            <v>מ</v>
          </cell>
          <cell r="AS189" t="str">
            <v>ממ³</v>
          </cell>
          <cell r="AT189" t="str">
            <v xml:space="preserve">  |</v>
          </cell>
          <cell r="AU189" t="str">
            <v xml:space="preserve">    |</v>
          </cell>
          <cell r="AV189" t="str">
            <v>³</v>
          </cell>
          <cell r="AW189" t="str">
            <v>מ</v>
          </cell>
          <cell r="AX189" t="str">
            <v>מ</v>
          </cell>
          <cell r="AY189" t="str">
            <v>_</v>
          </cell>
          <cell r="BA189" t="str">
            <v>__³</v>
          </cell>
          <cell r="BB189" t="str">
            <v>|</v>
          </cell>
        </row>
        <row r="190">
          <cell r="AA190" t="str">
            <v xml:space="preserve">        ³</v>
          </cell>
          <cell r="AM190" t="str">
            <v xml:space="preserve"> |</v>
          </cell>
          <cell r="AQ190" t="str">
            <v xml:space="preserve">       |</v>
          </cell>
          <cell r="AS190" t="str">
            <v xml:space="preserve">  |</v>
          </cell>
          <cell r="AT190" t="str">
            <v xml:space="preserve">  |</v>
          </cell>
          <cell r="AU190" t="str">
            <v xml:space="preserve">    |</v>
          </cell>
          <cell r="AV190" t="str">
            <v>³</v>
          </cell>
          <cell r="AZ190" t="str">
            <v xml:space="preserve">       ³</v>
          </cell>
          <cell r="BA190" t="str">
            <v xml:space="preserve">  ³</v>
          </cell>
          <cell r="BB190" t="str">
            <v>|</v>
          </cell>
        </row>
        <row r="191">
          <cell r="AA191" t="str">
            <v xml:space="preserve">        ³</v>
          </cell>
          <cell r="AL191" t="str">
            <v>מ</v>
          </cell>
          <cell r="AM191" t="str">
            <v>מ|ממממממממממ</v>
          </cell>
          <cell r="AN191" t="str">
            <v>מ</v>
          </cell>
          <cell r="AO191" t="str">
            <v>ממממממממממממממממ|ממ</v>
          </cell>
          <cell r="AR191" t="str">
            <v>מ</v>
          </cell>
          <cell r="AS191" t="str">
            <v>ממ³</v>
          </cell>
          <cell r="AT191" t="str">
            <v xml:space="preserve">  |</v>
          </cell>
          <cell r="AU191" t="str">
            <v xml:space="preserve">    |</v>
          </cell>
          <cell r="AV191" t="str">
            <v>³</v>
          </cell>
          <cell r="AX191" t="str">
            <v>מ</v>
          </cell>
          <cell r="AZ191" t="str">
            <v xml:space="preserve">       ³</v>
          </cell>
          <cell r="BA191" t="str">
            <v xml:space="preserve">  ³</v>
          </cell>
          <cell r="BB191" t="str">
            <v>|</v>
          </cell>
        </row>
        <row r="192">
          <cell r="AA192" t="str">
            <v xml:space="preserve">        ³</v>
          </cell>
          <cell r="AM192" t="str">
            <v xml:space="preserve"> |</v>
          </cell>
          <cell r="AQ192" t="str">
            <v xml:space="preserve">       |</v>
          </cell>
          <cell r="AS192" t="str">
            <v xml:space="preserve">  |</v>
          </cell>
          <cell r="AT192" t="str">
            <v xml:space="preserve">  |</v>
          </cell>
          <cell r="AU192" t="str">
            <v xml:space="preserve">    |</v>
          </cell>
          <cell r="AV192" t="str">
            <v>³</v>
          </cell>
          <cell r="AY192" t="str">
            <v>מ</v>
          </cell>
          <cell r="BA192" t="str">
            <v>ממ³</v>
          </cell>
          <cell r="BB192" t="str">
            <v>|</v>
          </cell>
        </row>
        <row r="193">
          <cell r="AA193" t="str">
            <v xml:space="preserve">        ³</v>
          </cell>
          <cell r="AL193" t="str">
            <v>מ</v>
          </cell>
          <cell r="AM193" t="str">
            <v>מ|ממממממממממ</v>
          </cell>
          <cell r="AN193" t="str">
            <v>מ</v>
          </cell>
          <cell r="AO193" t="str">
            <v>ממממממממממממממממ|ממ</v>
          </cell>
          <cell r="AR193" t="str">
            <v>מ</v>
          </cell>
          <cell r="AS193" t="str">
            <v>ממ³</v>
          </cell>
          <cell r="AT193" t="str">
            <v xml:space="preserve">  |</v>
          </cell>
          <cell r="AU193" t="str">
            <v xml:space="preserve">    |</v>
          </cell>
          <cell r="AV193" t="str">
            <v>³</v>
          </cell>
          <cell r="AW193" t="str">
            <v>מ</v>
          </cell>
          <cell r="AX193" t="str">
            <v>מ</v>
          </cell>
          <cell r="AZ193" t="str">
            <v xml:space="preserve">       ³</v>
          </cell>
          <cell r="BA193" t="str">
            <v xml:space="preserve">  ³</v>
          </cell>
          <cell r="BB193" t="str">
            <v>|</v>
          </cell>
        </row>
        <row r="194">
          <cell r="AA194" t="str">
            <v xml:space="preserve">        ³</v>
          </cell>
          <cell r="AM194" t="str">
            <v xml:space="preserve"> |</v>
          </cell>
          <cell r="AQ194" t="str">
            <v xml:space="preserve">       |</v>
          </cell>
          <cell r="AS194" t="str">
            <v xml:space="preserve">  |</v>
          </cell>
          <cell r="AT194" t="str">
            <v xml:space="preserve">  |</v>
          </cell>
          <cell r="AU194" t="str">
            <v xml:space="preserve">    |</v>
          </cell>
          <cell r="AV194" t="str">
            <v>³</v>
          </cell>
          <cell r="AY194" t="str">
            <v>מ</v>
          </cell>
          <cell r="BA194" t="str">
            <v>ממ³</v>
          </cell>
          <cell r="BB194" t="str">
            <v>|</v>
          </cell>
        </row>
        <row r="195">
          <cell r="AA195" t="str">
            <v xml:space="preserve">        ³</v>
          </cell>
          <cell r="AL195" t="str">
            <v>מ</v>
          </cell>
          <cell r="AM195" t="str">
            <v>מ|ממממממממממ</v>
          </cell>
          <cell r="AN195" t="str">
            <v>מ</v>
          </cell>
          <cell r="AO195" t="str">
            <v>ממממממממממממממממ|ממ</v>
          </cell>
          <cell r="AR195" t="str">
            <v>מ</v>
          </cell>
          <cell r="AS195" t="str">
            <v>ממ³</v>
          </cell>
          <cell r="AT195" t="str">
            <v xml:space="preserve">  |</v>
          </cell>
          <cell r="AU195" t="str">
            <v xml:space="preserve">    |</v>
          </cell>
          <cell r="AV195" t="str">
            <v>³</v>
          </cell>
          <cell r="AW195" t="str">
            <v>מ</v>
          </cell>
          <cell r="AX195" t="str">
            <v>מ</v>
          </cell>
          <cell r="AZ195" t="str">
            <v xml:space="preserve">       ³</v>
          </cell>
          <cell r="BA195" t="str">
            <v xml:space="preserve">  ³</v>
          </cell>
          <cell r="BB195" t="str">
            <v>|</v>
          </cell>
        </row>
        <row r="196">
          <cell r="AA196" t="str">
            <v xml:space="preserve">        ³</v>
          </cell>
          <cell r="AM196" t="str">
            <v xml:space="preserve"> |</v>
          </cell>
          <cell r="AQ196" t="str">
            <v xml:space="preserve">       |</v>
          </cell>
          <cell r="AS196" t="str">
            <v xml:space="preserve">  |</v>
          </cell>
          <cell r="AT196" t="str">
            <v xml:space="preserve">  |</v>
          </cell>
          <cell r="AU196" t="str">
            <v xml:space="preserve">    |</v>
          </cell>
          <cell r="AV196" t="str">
            <v>³</v>
          </cell>
          <cell r="AY196" t="str">
            <v>מ</v>
          </cell>
          <cell r="BA196" t="str">
            <v>ממ³</v>
          </cell>
          <cell r="BB196" t="str">
            <v>|</v>
          </cell>
        </row>
        <row r="197">
          <cell r="AA197" t="str">
            <v xml:space="preserve">        ³</v>
          </cell>
          <cell r="AL197" t="str">
            <v>מ</v>
          </cell>
          <cell r="AM197" t="str">
            <v>מ|ממממממממממ</v>
          </cell>
          <cell r="AN197" t="str">
            <v>מ</v>
          </cell>
          <cell r="AO197" t="str">
            <v>ממממממממממממממממ|ממ</v>
          </cell>
          <cell r="AR197" t="str">
            <v>מ</v>
          </cell>
          <cell r="AS197" t="str">
            <v>ממ³</v>
          </cell>
          <cell r="AT197" t="str">
            <v xml:space="preserve">  |</v>
          </cell>
          <cell r="AU197" t="str">
            <v xml:space="preserve">    |</v>
          </cell>
          <cell r="AV197" t="str">
            <v>³</v>
          </cell>
          <cell r="AW197" t="str">
            <v>מ</v>
          </cell>
          <cell r="AX197" t="str">
            <v>מ</v>
          </cell>
          <cell r="AZ197" t="str">
            <v xml:space="preserve">       ³</v>
          </cell>
          <cell r="BA197" t="str">
            <v xml:space="preserve">  ³</v>
          </cell>
          <cell r="BB197" t="str">
            <v>|</v>
          </cell>
        </row>
        <row r="198">
          <cell r="AA198" t="str">
            <v xml:space="preserve">        ³</v>
          </cell>
          <cell r="AM198" t="str">
            <v xml:space="preserve"> |</v>
          </cell>
          <cell r="AQ198" t="str">
            <v xml:space="preserve">       |</v>
          </cell>
          <cell r="AS198" t="str">
            <v xml:space="preserve">  |</v>
          </cell>
          <cell r="AT198" t="str">
            <v xml:space="preserve">  |</v>
          </cell>
          <cell r="AU198" t="str">
            <v xml:space="preserve">    |</v>
          </cell>
          <cell r="AV198" t="str">
            <v>³</v>
          </cell>
          <cell r="BA198" t="str">
            <v>ממ³</v>
          </cell>
          <cell r="BB198" t="str">
            <v>|</v>
          </cell>
        </row>
        <row r="199">
          <cell r="AA199" t="str">
            <v xml:space="preserve">        ³</v>
          </cell>
          <cell r="AL199" t="str">
            <v>מ</v>
          </cell>
          <cell r="AM199" t="str">
            <v>מ|ממממממממממ</v>
          </cell>
          <cell r="AN199" t="str">
            <v>מ</v>
          </cell>
          <cell r="AO199" t="str">
            <v>ממממממממממממממממ|ממ</v>
          </cell>
          <cell r="AR199" t="str">
            <v>מ</v>
          </cell>
          <cell r="AS199" t="str">
            <v>ממ³</v>
          </cell>
          <cell r="AT199" t="str">
            <v xml:space="preserve">  |</v>
          </cell>
          <cell r="AU199" t="str">
            <v xml:space="preserve">    |</v>
          </cell>
          <cell r="AV199" t="str">
            <v>³</v>
          </cell>
          <cell r="AW199" t="str">
            <v>מ</v>
          </cell>
          <cell r="AX199" t="str">
            <v>מ</v>
          </cell>
          <cell r="AZ199" t="str">
            <v xml:space="preserve">       ³</v>
          </cell>
          <cell r="BA199" t="str">
            <v xml:space="preserve">  ³</v>
          </cell>
          <cell r="BB199" t="str">
            <v>|</v>
          </cell>
        </row>
        <row r="200">
          <cell r="AA200" t="str">
            <v xml:space="preserve">        ³</v>
          </cell>
          <cell r="AM200" t="str">
            <v xml:space="preserve"> |</v>
          </cell>
          <cell r="AQ200" t="str">
            <v xml:space="preserve">       |</v>
          </cell>
          <cell r="AS200" t="str">
            <v xml:space="preserve">  |</v>
          </cell>
          <cell r="AT200" t="str">
            <v xml:space="preserve">  |</v>
          </cell>
          <cell r="AU200" t="str">
            <v xml:space="preserve">    |</v>
          </cell>
          <cell r="AV200" t="str">
            <v>³</v>
          </cell>
          <cell r="AY200" t="str">
            <v>מ</v>
          </cell>
          <cell r="BA200" t="str">
            <v>ממ³</v>
          </cell>
          <cell r="BB200" t="str">
            <v>|</v>
          </cell>
        </row>
        <row r="201">
          <cell r="AA201" t="str">
            <v xml:space="preserve">        ³</v>
          </cell>
          <cell r="AL201" t="str">
            <v>מ</v>
          </cell>
          <cell r="AM201" t="str">
            <v>מ|ממממממממממ</v>
          </cell>
          <cell r="AN201" t="str">
            <v>מ</v>
          </cell>
          <cell r="AO201" t="str">
            <v>ממממממממממממממממ|ממ</v>
          </cell>
          <cell r="AR201" t="str">
            <v>מ</v>
          </cell>
          <cell r="AS201" t="str">
            <v>ממ³</v>
          </cell>
          <cell r="AT201" t="str">
            <v xml:space="preserve">  |</v>
          </cell>
          <cell r="AU201" t="str">
            <v xml:space="preserve">    |</v>
          </cell>
          <cell r="AV201" t="str">
            <v>³</v>
          </cell>
          <cell r="AW201" t="str">
            <v>מ</v>
          </cell>
          <cell r="AX201" t="str">
            <v>מ</v>
          </cell>
          <cell r="AZ201" t="str">
            <v xml:space="preserve">       ³</v>
          </cell>
          <cell r="BA201" t="str">
            <v xml:space="preserve">  ³</v>
          </cell>
          <cell r="BB201" t="str">
            <v>|</v>
          </cell>
        </row>
        <row r="202">
          <cell r="AA202" t="str">
            <v xml:space="preserve">        ³</v>
          </cell>
          <cell r="AM202" t="str">
            <v xml:space="preserve"> |</v>
          </cell>
          <cell r="AQ202" t="str">
            <v xml:space="preserve">       |</v>
          </cell>
          <cell r="AS202" t="str">
            <v xml:space="preserve">  |</v>
          </cell>
          <cell r="AT202" t="str">
            <v xml:space="preserve">  |</v>
          </cell>
          <cell r="AU202" t="str">
            <v xml:space="preserve">    |</v>
          </cell>
          <cell r="AV202" t="str">
            <v>³</v>
          </cell>
          <cell r="AY202" t="str">
            <v>מ</v>
          </cell>
          <cell r="BA202" t="str">
            <v>ממ³</v>
          </cell>
          <cell r="BB202" t="str">
            <v>|</v>
          </cell>
        </row>
        <row r="203">
          <cell r="AA203" t="str">
            <v xml:space="preserve">        ³</v>
          </cell>
          <cell r="AL203" t="str">
            <v>מ</v>
          </cell>
          <cell r="AM203" t="str">
            <v>מ|ממממממממממ</v>
          </cell>
          <cell r="AN203" t="str">
            <v>מ</v>
          </cell>
          <cell r="AO203" t="str">
            <v>ממממממממממממממממ|ממ</v>
          </cell>
          <cell r="AR203" t="str">
            <v>מ</v>
          </cell>
          <cell r="AS203" t="str">
            <v>ממ³</v>
          </cell>
          <cell r="AT203" t="str">
            <v xml:space="preserve">  |</v>
          </cell>
          <cell r="AU203" t="str">
            <v xml:space="preserve">    |</v>
          </cell>
          <cell r="AV203" t="str">
            <v>³</v>
          </cell>
          <cell r="AW203" t="str">
            <v>מ</v>
          </cell>
          <cell r="AX203" t="str">
            <v>מ</v>
          </cell>
          <cell r="AZ203" t="str">
            <v xml:space="preserve">       ³</v>
          </cell>
          <cell r="BA203" t="str">
            <v xml:space="preserve">  ³</v>
          </cell>
          <cell r="BB203" t="str">
            <v>|</v>
          </cell>
        </row>
        <row r="204">
          <cell r="AA204" t="str">
            <v xml:space="preserve">        ³</v>
          </cell>
          <cell r="AM204" t="str">
            <v xml:space="preserve"> |</v>
          </cell>
          <cell r="AQ204" t="str">
            <v xml:space="preserve">       |</v>
          </cell>
          <cell r="AS204" t="str">
            <v xml:space="preserve">  |</v>
          </cell>
          <cell r="AT204" t="str">
            <v xml:space="preserve">  |</v>
          </cell>
          <cell r="AU204" t="str">
            <v xml:space="preserve">    |</v>
          </cell>
          <cell r="AV204" t="str">
            <v>³</v>
          </cell>
          <cell r="AY204" t="str">
            <v>מ</v>
          </cell>
          <cell r="BA204" t="str">
            <v>ממ³</v>
          </cell>
          <cell r="BB204" t="str">
            <v>|</v>
          </cell>
        </row>
        <row r="205">
          <cell r="AA205" t="str">
            <v xml:space="preserve">        ³</v>
          </cell>
          <cell r="AL205" t="str">
            <v>מ</v>
          </cell>
          <cell r="AM205" t="str">
            <v>מ|ממממממממממ</v>
          </cell>
          <cell r="AN205" t="str">
            <v>מ</v>
          </cell>
          <cell r="AO205" t="str">
            <v>ממממממממממממממממ|ממ</v>
          </cell>
          <cell r="AR205" t="str">
            <v>מ</v>
          </cell>
          <cell r="AS205" t="str">
            <v>ממ³</v>
          </cell>
          <cell r="AT205" t="str">
            <v xml:space="preserve">  |</v>
          </cell>
          <cell r="AU205" t="str">
            <v xml:space="preserve">    |</v>
          </cell>
          <cell r="AV205" t="str">
            <v>³</v>
          </cell>
          <cell r="AW205" t="str">
            <v>מ</v>
          </cell>
          <cell r="AX205" t="str">
            <v>מ</v>
          </cell>
          <cell r="AZ205" t="str">
            <v xml:space="preserve">       ³</v>
          </cell>
          <cell r="BA205" t="str">
            <v xml:space="preserve">  ³</v>
          </cell>
          <cell r="BB205" t="str">
            <v>|</v>
          </cell>
        </row>
        <row r="206">
          <cell r="AA206" t="str">
            <v xml:space="preserve">        ³</v>
          </cell>
          <cell r="AM206" t="str">
            <v xml:space="preserve"> |</v>
          </cell>
          <cell r="AQ206" t="str">
            <v xml:space="preserve">       |</v>
          </cell>
          <cell r="AS206" t="str">
            <v xml:space="preserve">  |</v>
          </cell>
          <cell r="AT206" t="str">
            <v xml:space="preserve">  |</v>
          </cell>
          <cell r="AU206" t="str">
            <v xml:space="preserve">    |</v>
          </cell>
          <cell r="AV206" t="str">
            <v>³</v>
          </cell>
          <cell r="AY206" t="str">
            <v>מ</v>
          </cell>
          <cell r="BA206" t="str">
            <v>ממ³</v>
          </cell>
          <cell r="BB206" t="str">
            <v>|</v>
          </cell>
        </row>
        <row r="207">
          <cell r="AA207" t="str">
            <v xml:space="preserve">        ³</v>
          </cell>
          <cell r="AL207" t="str">
            <v>מ</v>
          </cell>
          <cell r="AM207" t="str">
            <v>מ|ממממממממממ</v>
          </cell>
          <cell r="AN207" t="str">
            <v>מ</v>
          </cell>
          <cell r="AO207" t="str">
            <v>ממממממממממממממממ|ממ</v>
          </cell>
          <cell r="AR207" t="str">
            <v>מ</v>
          </cell>
          <cell r="AS207" t="str">
            <v>ממ³</v>
          </cell>
          <cell r="AT207" t="str">
            <v xml:space="preserve">  |</v>
          </cell>
          <cell r="AU207" t="str">
            <v xml:space="preserve">    |</v>
          </cell>
          <cell r="AV207" t="str">
            <v>³</v>
          </cell>
          <cell r="AW207" t="str">
            <v>מ</v>
          </cell>
          <cell r="AX207" t="str">
            <v>מ</v>
          </cell>
          <cell r="AZ207" t="str">
            <v xml:space="preserve">       ³</v>
          </cell>
          <cell r="BA207" t="str">
            <v xml:space="preserve">  ³</v>
          </cell>
          <cell r="BB207" t="str">
            <v>|</v>
          </cell>
        </row>
        <row r="208">
          <cell r="AA208" t="str">
            <v xml:space="preserve">        ³</v>
          </cell>
          <cell r="AM208" t="str">
            <v xml:space="preserve"> |</v>
          </cell>
          <cell r="AQ208" t="str">
            <v xml:space="preserve">       |</v>
          </cell>
          <cell r="AS208" t="str">
            <v xml:space="preserve">  |</v>
          </cell>
          <cell r="AT208" t="str">
            <v xml:space="preserve">  |</v>
          </cell>
          <cell r="AU208" t="str">
            <v xml:space="preserve">    |</v>
          </cell>
          <cell r="AV208" t="str">
            <v>³</v>
          </cell>
          <cell r="AY208" t="str">
            <v>מ</v>
          </cell>
          <cell r="BA208" t="str">
            <v>ממ³</v>
          </cell>
          <cell r="BB208" t="str">
            <v>|</v>
          </cell>
        </row>
        <row r="209">
          <cell r="AA209" t="str">
            <v xml:space="preserve">        ³</v>
          </cell>
          <cell r="AL209" t="str">
            <v>מ</v>
          </cell>
          <cell r="AM209" t="str">
            <v>מ|ממממממממממ</v>
          </cell>
          <cell r="AN209" t="str">
            <v>מ</v>
          </cell>
          <cell r="AO209" t="str">
            <v>ממממממממממממממממ|ממ</v>
          </cell>
          <cell r="AR209" t="str">
            <v>מ</v>
          </cell>
          <cell r="AS209" t="str">
            <v>ממ³</v>
          </cell>
          <cell r="AT209" t="str">
            <v xml:space="preserve">  |</v>
          </cell>
          <cell r="AU209" t="str">
            <v xml:space="preserve">    |</v>
          </cell>
          <cell r="AV209" t="str">
            <v>³</v>
          </cell>
          <cell r="AW209" t="str">
            <v>מ</v>
          </cell>
          <cell r="AX209" t="str">
            <v>מ</v>
          </cell>
          <cell r="AZ209" t="str">
            <v xml:space="preserve">       ³</v>
          </cell>
          <cell r="BA209" t="str">
            <v xml:space="preserve">  ³</v>
          </cell>
          <cell r="BB209" t="str">
            <v>|</v>
          </cell>
        </row>
        <row r="210">
          <cell r="AA210" t="str">
            <v xml:space="preserve">        ³</v>
          </cell>
          <cell r="AM210" t="str">
            <v xml:space="preserve"> |</v>
          </cell>
          <cell r="AQ210" t="str">
            <v xml:space="preserve">       |</v>
          </cell>
          <cell r="AS210" t="str">
            <v xml:space="preserve">  |</v>
          </cell>
          <cell r="AT210" t="str">
            <v xml:space="preserve">  |</v>
          </cell>
          <cell r="AU210" t="str">
            <v xml:space="preserve">    |</v>
          </cell>
          <cell r="AV210" t="str">
            <v>³</v>
          </cell>
          <cell r="AY210" t="str">
            <v>מ</v>
          </cell>
          <cell r="BA210" t="str">
            <v>ממ³</v>
          </cell>
          <cell r="BB210" t="str">
            <v>|</v>
          </cell>
        </row>
        <row r="211">
          <cell r="AA211" t="str">
            <v xml:space="preserve">        ³</v>
          </cell>
          <cell r="AL211" t="str">
            <v>מ</v>
          </cell>
          <cell r="AM211" t="str">
            <v>מ|ממממממממממ</v>
          </cell>
          <cell r="AN211" t="str">
            <v>מ</v>
          </cell>
          <cell r="AO211" t="str">
            <v>ממממממממממממממממ|ממ</v>
          </cell>
          <cell r="AR211" t="str">
            <v>מ</v>
          </cell>
          <cell r="AS211" t="str">
            <v>ממ³</v>
          </cell>
          <cell r="AT211" t="str">
            <v xml:space="preserve">  |</v>
          </cell>
          <cell r="AU211" t="str">
            <v xml:space="preserve">    |</v>
          </cell>
          <cell r="AV211" t="str">
            <v>³</v>
          </cell>
          <cell r="AW211" t="str">
            <v>מ</v>
          </cell>
          <cell r="AX211" t="str">
            <v>מ</v>
          </cell>
          <cell r="AZ211" t="str">
            <v xml:space="preserve">       ³</v>
          </cell>
          <cell r="BA211" t="str">
            <v xml:space="preserve">  ³</v>
          </cell>
          <cell r="BB211" t="str">
            <v>|</v>
          </cell>
        </row>
        <row r="212">
          <cell r="AA212" t="str">
            <v xml:space="preserve">        ³</v>
          </cell>
          <cell r="AM212" t="str">
            <v xml:space="preserve"> |</v>
          </cell>
          <cell r="AQ212" t="str">
            <v xml:space="preserve">       |</v>
          </cell>
          <cell r="AS212" t="str">
            <v xml:space="preserve">  |</v>
          </cell>
          <cell r="AT212" t="str">
            <v xml:space="preserve">  |</v>
          </cell>
          <cell r="AU212" t="str">
            <v xml:space="preserve">    |</v>
          </cell>
          <cell r="AV212" t="str">
            <v>³</v>
          </cell>
          <cell r="AY212" t="str">
            <v>מ</v>
          </cell>
          <cell r="BA212" t="str">
            <v>ממ³</v>
          </cell>
          <cell r="BB212" t="str">
            <v>|</v>
          </cell>
        </row>
        <row r="213">
          <cell r="AA213" t="str">
            <v xml:space="preserve">        ³</v>
          </cell>
          <cell r="AL213" t="str">
            <v>מ</v>
          </cell>
          <cell r="AM213" t="str">
            <v>מ|ממממממממממ</v>
          </cell>
          <cell r="AN213" t="str">
            <v>מ</v>
          </cell>
          <cell r="AO213" t="str">
            <v>ממממממממממממממממ|ממ</v>
          </cell>
          <cell r="AR213" t="str">
            <v>מ</v>
          </cell>
          <cell r="AS213" t="str">
            <v>ממ³</v>
          </cell>
          <cell r="AT213" t="str">
            <v xml:space="preserve">  |</v>
          </cell>
          <cell r="AU213" t="str">
            <v xml:space="preserve">    |</v>
          </cell>
          <cell r="AV213" t="str">
            <v>³</v>
          </cell>
          <cell r="AW213" t="str">
            <v>מ</v>
          </cell>
          <cell r="AX213" t="str">
            <v>מ</v>
          </cell>
          <cell r="AZ213" t="str">
            <v xml:space="preserve">       ³</v>
          </cell>
          <cell r="BA213" t="str">
            <v xml:space="preserve">  ³</v>
          </cell>
          <cell r="BB213" t="str">
            <v>|</v>
          </cell>
        </row>
        <row r="214">
          <cell r="AA214" t="str">
            <v xml:space="preserve">        ³</v>
          </cell>
          <cell r="AM214" t="str">
            <v xml:space="preserve"> |</v>
          </cell>
          <cell r="AQ214" t="str">
            <v xml:space="preserve">       |</v>
          </cell>
          <cell r="AS214" t="str">
            <v xml:space="preserve">  |</v>
          </cell>
          <cell r="AT214" t="str">
            <v xml:space="preserve">  |</v>
          </cell>
          <cell r="AU214" t="str">
            <v xml:space="preserve">    |</v>
          </cell>
          <cell r="AV214" t="str">
            <v>³</v>
          </cell>
          <cell r="AY214" t="str">
            <v>מ</v>
          </cell>
          <cell r="BA214" t="str">
            <v>ממ³</v>
          </cell>
          <cell r="BB214" t="str">
            <v>|</v>
          </cell>
        </row>
        <row r="215">
          <cell r="AA215" t="str">
            <v xml:space="preserve">        ³</v>
          </cell>
          <cell r="AL215" t="str">
            <v>מ</v>
          </cell>
          <cell r="AM215" t="str">
            <v>מ|ממממממממממ</v>
          </cell>
          <cell r="AN215" t="str">
            <v>מ</v>
          </cell>
          <cell r="AO215" t="str">
            <v>ממממממממממממממממ|ממ</v>
          </cell>
          <cell r="AR215" t="str">
            <v>מ</v>
          </cell>
          <cell r="AS215" t="str">
            <v>ממ³</v>
          </cell>
          <cell r="AT215" t="str">
            <v xml:space="preserve">  |</v>
          </cell>
          <cell r="AU215" t="str">
            <v xml:space="preserve">    |</v>
          </cell>
          <cell r="AV215" t="str">
            <v>³</v>
          </cell>
          <cell r="AW215" t="str">
            <v>מ</v>
          </cell>
          <cell r="AX215" t="str">
            <v>מ</v>
          </cell>
          <cell r="AZ215" t="str">
            <v xml:space="preserve">       ³</v>
          </cell>
          <cell r="BA215" t="str">
            <v xml:space="preserve">  ³</v>
          </cell>
          <cell r="BB215" t="str">
            <v>|</v>
          </cell>
        </row>
        <row r="216">
          <cell r="AA216" t="str">
            <v xml:space="preserve">        ³</v>
          </cell>
          <cell r="AM216" t="str">
            <v xml:space="preserve"> |</v>
          </cell>
          <cell r="AQ216" t="str">
            <v xml:space="preserve">       |</v>
          </cell>
          <cell r="AS216" t="str">
            <v xml:space="preserve">  |</v>
          </cell>
          <cell r="AT216" t="str">
            <v xml:space="preserve">  |</v>
          </cell>
          <cell r="AU216" t="str">
            <v xml:space="preserve">    |</v>
          </cell>
          <cell r="AV216" t="str">
            <v>³</v>
          </cell>
          <cell r="AY216" t="str">
            <v>מ</v>
          </cell>
          <cell r="BA216" t="str">
            <v>ממ³</v>
          </cell>
          <cell r="BB216" t="str">
            <v>|</v>
          </cell>
        </row>
        <row r="217">
          <cell r="AA217" t="str">
            <v xml:space="preserve">        ³</v>
          </cell>
          <cell r="AL217" t="str">
            <v>מ</v>
          </cell>
          <cell r="AM217" t="str">
            <v>מ|ממממממממממ</v>
          </cell>
          <cell r="AN217" t="str">
            <v>מ</v>
          </cell>
          <cell r="AO217" t="str">
            <v>ממממממממממממממממ|ממ</v>
          </cell>
          <cell r="AR217" t="str">
            <v>מ</v>
          </cell>
          <cell r="AS217" t="str">
            <v>ממ³</v>
          </cell>
          <cell r="AT217" t="str">
            <v xml:space="preserve">  |</v>
          </cell>
          <cell r="AU217" t="str">
            <v xml:space="preserve">    |</v>
          </cell>
          <cell r="AV217" t="str">
            <v>³</v>
          </cell>
          <cell r="AW217" t="str">
            <v>מ</v>
          </cell>
          <cell r="AX217" t="str">
            <v>מ</v>
          </cell>
          <cell r="AZ217" t="str">
            <v xml:space="preserve">       ³</v>
          </cell>
          <cell r="BA217" t="str">
            <v xml:space="preserve">  ³</v>
          </cell>
          <cell r="BB217" t="str">
            <v>|</v>
          </cell>
        </row>
        <row r="218">
          <cell r="AA218" t="str">
            <v xml:space="preserve">        ³</v>
          </cell>
          <cell r="AM218" t="str">
            <v xml:space="preserve"> |</v>
          </cell>
          <cell r="AQ218" t="str">
            <v xml:space="preserve">       |</v>
          </cell>
          <cell r="AS218" t="str">
            <v xml:space="preserve">  |</v>
          </cell>
          <cell r="AT218" t="str">
            <v xml:space="preserve">  |</v>
          </cell>
          <cell r="AU218" t="str">
            <v xml:space="preserve">    |</v>
          </cell>
          <cell r="AV218" t="str">
            <v>³</v>
          </cell>
          <cell r="AY218" t="str">
            <v>מ</v>
          </cell>
          <cell r="BA218" t="str">
            <v>ממ³</v>
          </cell>
          <cell r="BB218" t="str">
            <v>|</v>
          </cell>
        </row>
        <row r="219">
          <cell r="AA219" t="str">
            <v xml:space="preserve">        ³</v>
          </cell>
          <cell r="AL219" t="str">
            <v>מ</v>
          </cell>
          <cell r="AM219" t="str">
            <v>מ|ממממממממממ</v>
          </cell>
          <cell r="AN219" t="str">
            <v>מ</v>
          </cell>
          <cell r="AO219" t="str">
            <v>ממממממממממממממממ|ממ</v>
          </cell>
          <cell r="AR219" t="str">
            <v>מ</v>
          </cell>
          <cell r="AS219" t="str">
            <v>ממ³</v>
          </cell>
          <cell r="AT219" t="str">
            <v xml:space="preserve">  |</v>
          </cell>
          <cell r="AU219" t="str">
            <v xml:space="preserve">    |</v>
          </cell>
          <cell r="AV219" t="str">
            <v>³</v>
          </cell>
          <cell r="AW219" t="str">
            <v>מ</v>
          </cell>
          <cell r="AX219" t="str">
            <v>מ</v>
          </cell>
          <cell r="AZ219" t="str">
            <v xml:space="preserve">       ³</v>
          </cell>
          <cell r="BA219" t="str">
            <v xml:space="preserve">  ³</v>
          </cell>
          <cell r="BB219" t="str">
            <v>|</v>
          </cell>
        </row>
        <row r="220">
          <cell r="AA220" t="str">
            <v xml:space="preserve">        ³</v>
          </cell>
          <cell r="AM220" t="str">
            <v xml:space="preserve"> |</v>
          </cell>
          <cell r="AQ220" t="str">
            <v xml:space="preserve">       |</v>
          </cell>
          <cell r="AS220" t="str">
            <v xml:space="preserve">  |</v>
          </cell>
          <cell r="AT220" t="str">
            <v xml:space="preserve">  |</v>
          </cell>
          <cell r="AU220" t="str">
            <v xml:space="preserve">    |</v>
          </cell>
          <cell r="AV220" t="str">
            <v>³</v>
          </cell>
          <cell r="AY220" t="str">
            <v>מ</v>
          </cell>
          <cell r="BA220" t="str">
            <v>ממ³</v>
          </cell>
          <cell r="BB220" t="str">
            <v>|</v>
          </cell>
        </row>
        <row r="221">
          <cell r="AA221" t="str">
            <v xml:space="preserve">        ³</v>
          </cell>
          <cell r="AL221" t="str">
            <v>מ</v>
          </cell>
          <cell r="AM221" t="str">
            <v>מ|ממממממממממ</v>
          </cell>
          <cell r="AN221" t="str">
            <v>מ</v>
          </cell>
          <cell r="AO221" t="str">
            <v>ממממממממממממממממ|ממ</v>
          </cell>
          <cell r="AR221" t="str">
            <v>מ</v>
          </cell>
          <cell r="AS221" t="str">
            <v>ממ³</v>
          </cell>
          <cell r="AT221" t="str">
            <v xml:space="preserve">  |</v>
          </cell>
          <cell r="AU221" t="str">
            <v xml:space="preserve">    |</v>
          </cell>
          <cell r="AV221" t="str">
            <v>³</v>
          </cell>
          <cell r="AW221" t="str">
            <v>מ</v>
          </cell>
          <cell r="AX221" t="str">
            <v>מ</v>
          </cell>
          <cell r="AZ221" t="str">
            <v xml:space="preserve">       ³</v>
          </cell>
          <cell r="BA221" t="str">
            <v xml:space="preserve">  ³</v>
          </cell>
          <cell r="BB221" t="str">
            <v>|</v>
          </cell>
        </row>
        <row r="222">
          <cell r="AA222" t="str">
            <v xml:space="preserve">        ³</v>
          </cell>
          <cell r="AM222" t="str">
            <v xml:space="preserve"> |</v>
          </cell>
          <cell r="AQ222" t="str">
            <v xml:space="preserve">       |</v>
          </cell>
          <cell r="AS222" t="str">
            <v xml:space="preserve">  |</v>
          </cell>
          <cell r="AT222" t="str">
            <v xml:space="preserve">  |</v>
          </cell>
          <cell r="AU222" t="str">
            <v xml:space="preserve">    |</v>
          </cell>
          <cell r="AV222" t="str">
            <v>³</v>
          </cell>
          <cell r="AY222" t="str">
            <v>מ</v>
          </cell>
          <cell r="BA222" t="str">
            <v>ממ³</v>
          </cell>
          <cell r="BB222" t="str">
            <v>|</v>
          </cell>
        </row>
        <row r="223">
          <cell r="AA223" t="str">
            <v xml:space="preserve">        ³</v>
          </cell>
          <cell r="AL223" t="str">
            <v>מ</v>
          </cell>
          <cell r="AM223" t="str">
            <v>מ|ממממממממממ</v>
          </cell>
          <cell r="AN223" t="str">
            <v>מ</v>
          </cell>
          <cell r="AO223" t="str">
            <v>ממממממממממממממממ|ממ</v>
          </cell>
          <cell r="AR223" t="str">
            <v>מ</v>
          </cell>
          <cell r="AS223" t="str">
            <v>ממ³</v>
          </cell>
          <cell r="AT223" t="str">
            <v xml:space="preserve">  |</v>
          </cell>
          <cell r="AU223" t="str">
            <v xml:space="preserve">    |</v>
          </cell>
          <cell r="AV223" t="str">
            <v>³</v>
          </cell>
          <cell r="AW223" t="str">
            <v>מ</v>
          </cell>
          <cell r="AX223" t="str">
            <v>מ</v>
          </cell>
          <cell r="AZ223" t="str">
            <v xml:space="preserve">       ³</v>
          </cell>
          <cell r="BA223" t="str">
            <v xml:space="preserve">  ³</v>
          </cell>
          <cell r="BB223" t="str">
            <v>|</v>
          </cell>
        </row>
        <row r="224">
          <cell r="AA224" t="str">
            <v xml:space="preserve">        ³</v>
          </cell>
          <cell r="AM224" t="str">
            <v xml:space="preserve"> |</v>
          </cell>
          <cell r="AQ224" t="str">
            <v xml:space="preserve">       |</v>
          </cell>
          <cell r="AS224" t="str">
            <v xml:space="preserve">  |</v>
          </cell>
          <cell r="AT224" t="str">
            <v xml:space="preserve">  |</v>
          </cell>
          <cell r="AU224" t="str">
            <v xml:space="preserve">    |</v>
          </cell>
          <cell r="AV224" t="str">
            <v>³</v>
          </cell>
          <cell r="AY224" t="str">
            <v>מ</v>
          </cell>
          <cell r="BA224" t="str">
            <v>ממ³</v>
          </cell>
          <cell r="BB224" t="str">
            <v>|</v>
          </cell>
        </row>
        <row r="225">
          <cell r="AA225" t="str">
            <v xml:space="preserve">        ³</v>
          </cell>
          <cell r="AL225" t="str">
            <v>מ</v>
          </cell>
          <cell r="AM225" t="str">
            <v>מ|ממממממממממ</v>
          </cell>
          <cell r="AN225" t="str">
            <v>מ</v>
          </cell>
          <cell r="AO225" t="str">
            <v>ממממממממממממממממ|ממ</v>
          </cell>
          <cell r="AR225" t="str">
            <v>מ</v>
          </cell>
          <cell r="AS225" t="str">
            <v>ממ³</v>
          </cell>
          <cell r="AT225" t="str">
            <v xml:space="preserve">  |</v>
          </cell>
          <cell r="AU225" t="str">
            <v xml:space="preserve">    |</v>
          </cell>
          <cell r="AV225" t="str">
            <v>³</v>
          </cell>
          <cell r="AW225" t="str">
            <v>מ</v>
          </cell>
          <cell r="AX225" t="str">
            <v>מ</v>
          </cell>
          <cell r="AZ225" t="str">
            <v xml:space="preserve">       ³</v>
          </cell>
          <cell r="BA225" t="str">
            <v xml:space="preserve">  ³</v>
          </cell>
          <cell r="BB225" t="str">
            <v>|</v>
          </cell>
        </row>
        <row r="226">
          <cell r="AA226" t="str">
            <v xml:space="preserve">        ³</v>
          </cell>
          <cell r="AM226" t="str">
            <v xml:space="preserve"> |</v>
          </cell>
          <cell r="AQ226" t="str">
            <v xml:space="preserve">       |</v>
          </cell>
          <cell r="AS226" t="str">
            <v xml:space="preserve">  |</v>
          </cell>
          <cell r="AT226" t="str">
            <v xml:space="preserve">  |</v>
          </cell>
          <cell r="AU226" t="str">
            <v xml:space="preserve">    |</v>
          </cell>
          <cell r="AV226" t="str">
            <v>³</v>
          </cell>
          <cell r="AY226" t="str">
            <v>מ</v>
          </cell>
          <cell r="BA226" t="str">
            <v>ממ³</v>
          </cell>
          <cell r="BB226" t="str">
            <v>|</v>
          </cell>
        </row>
        <row r="227">
          <cell r="AA227" t="str">
            <v xml:space="preserve">        ³</v>
          </cell>
          <cell r="AL227" t="str">
            <v>מ</v>
          </cell>
          <cell r="AM227" t="str">
            <v>מ|ממממממממממ</v>
          </cell>
          <cell r="AN227" t="str">
            <v>מ</v>
          </cell>
          <cell r="AO227" t="str">
            <v>ממממממממממממממממ|ממ</v>
          </cell>
          <cell r="AR227" t="str">
            <v>מ</v>
          </cell>
          <cell r="AS227" t="str">
            <v>ממ³</v>
          </cell>
          <cell r="AT227" t="str">
            <v xml:space="preserve">  |</v>
          </cell>
          <cell r="AU227" t="str">
            <v xml:space="preserve">    |</v>
          </cell>
          <cell r="AV227" t="str">
            <v>³</v>
          </cell>
          <cell r="AW227" t="str">
            <v>מ</v>
          </cell>
          <cell r="AZ227" t="str">
            <v xml:space="preserve">       ³</v>
          </cell>
          <cell r="BA227" t="str">
            <v xml:space="preserve">  ³</v>
          </cell>
          <cell r="BB227" t="str">
            <v>|</v>
          </cell>
        </row>
        <row r="228">
          <cell r="AA228" t="str">
            <v xml:space="preserve">        ³============³==================================================³===============³</v>
          </cell>
          <cell r="AM228" t="str">
            <v xml:space="preserve"> ³</v>
          </cell>
          <cell r="AQ228" t="str">
            <v xml:space="preserve">       |</v>
          </cell>
          <cell r="AS228" t="str">
            <v xml:space="preserve">  |</v>
          </cell>
          <cell r="AT228" t="str">
            <v xml:space="preserve">  |</v>
          </cell>
          <cell r="AU228" t="str">
            <v xml:space="preserve">    |</v>
          </cell>
          <cell r="AV228" t="str">
            <v>³</v>
          </cell>
          <cell r="AY228" t="str">
            <v>מ</v>
          </cell>
          <cell r="BA228" t="str">
            <v>ממ³</v>
          </cell>
          <cell r="BB228" t="str">
            <v>|</v>
          </cell>
        </row>
        <row r="229">
          <cell r="AA229" t="str">
            <v xml:space="preserve">        ³</v>
          </cell>
          <cell r="AR229" t="str">
            <v>========================</v>
          </cell>
          <cell r="AS229" t="str">
            <v>==|</v>
          </cell>
          <cell r="AT229" t="str">
            <v xml:space="preserve">  |</v>
          </cell>
          <cell r="AU229" t="str">
            <v xml:space="preserve">    |</v>
          </cell>
          <cell r="AV229" t="str">
            <v>³</v>
          </cell>
          <cell r="AW229" t="str">
            <v>מ</v>
          </cell>
          <cell r="AZ229" t="str">
            <v xml:space="preserve">       ³</v>
          </cell>
          <cell r="BA229" t="str">
            <v xml:space="preserve">  ³</v>
          </cell>
          <cell r="BB229" t="str">
            <v>|</v>
          </cell>
        </row>
        <row r="230">
          <cell r="AA230" t="str">
            <v xml:space="preserve">        ============================================================================</v>
          </cell>
          <cell r="AL230">
            <v>124233.86020000001</v>
          </cell>
          <cell r="AM230" t="str">
            <v xml:space="preserve"> ³                        :סה"כ סכום הנכסים הקבועים |            </v>
          </cell>
          <cell r="AS230" t="str">
            <v xml:space="preserve">  |</v>
          </cell>
          <cell r="AT230" t="str">
            <v xml:space="preserve">  |</v>
          </cell>
          <cell r="AU230" t="str">
            <v xml:space="preserve">    |</v>
          </cell>
          <cell r="AV230" t="str">
            <v>³=============³==================================================³===============³</v>
          </cell>
          <cell r="AY230" t="str">
            <v>מ</v>
          </cell>
          <cell r="BA230" t="str">
            <v>ממ³</v>
          </cell>
          <cell r="BB230" t="str">
            <v>|</v>
          </cell>
        </row>
        <row r="231">
          <cell r="AA231" t="str">
            <v xml:space="preserve"> </v>
          </cell>
          <cell r="AR231" t="str">
            <v>==============</v>
          </cell>
          <cell r="AS231" t="str">
            <v>===</v>
          </cell>
          <cell r="AT231" t="str">
            <v xml:space="preserve">  |</v>
          </cell>
          <cell r="AU231" t="str">
            <v xml:space="preserve">    |</v>
          </cell>
          <cell r="AV231" t="str">
            <v>³                  ³                                                  ³            ³</v>
          </cell>
          <cell r="AW231">
            <v>0</v>
          </cell>
          <cell r="AZ231" t="str">
            <v xml:space="preserve">       ³</v>
          </cell>
          <cell r="BA231" t="str">
            <v xml:space="preserve">  ³</v>
          </cell>
          <cell r="BB231" t="str">
            <v>|</v>
          </cell>
        </row>
        <row r="232">
          <cell r="AT232" t="str">
            <v xml:space="preserve">  |</v>
          </cell>
          <cell r="AU232" t="str">
            <v xml:space="preserve">    |</v>
          </cell>
          <cell r="AV232" t="str">
            <v>==================================================================================</v>
          </cell>
          <cell r="AY232" t="str">
            <v>מ</v>
          </cell>
          <cell r="BA232" t="str">
            <v>ממ³</v>
          </cell>
          <cell r="BB232" t="str">
            <v>|</v>
          </cell>
        </row>
        <row r="233">
          <cell r="AT233" t="str">
            <v xml:space="preserve">  |</v>
          </cell>
          <cell r="AU233" t="str">
            <v xml:space="preserve">    |</v>
          </cell>
          <cell r="AZ233" t="str">
            <v xml:space="preserve">       ³</v>
          </cell>
          <cell r="BA233" t="str">
            <v xml:space="preserve">  ³</v>
          </cell>
          <cell r="BB233" t="str">
            <v>|</v>
          </cell>
        </row>
        <row r="234">
          <cell r="AT234" t="str">
            <v xml:space="preserve">  |</v>
          </cell>
          <cell r="AU234" t="str">
            <v xml:space="preserve">    |</v>
          </cell>
          <cell r="AY234" t="str">
            <v>מ</v>
          </cell>
          <cell r="BA234" t="str">
            <v>ממ³</v>
          </cell>
          <cell r="BB234" t="str">
            <v>|</v>
          </cell>
        </row>
        <row r="235">
          <cell r="AZ235" t="str">
            <v xml:space="preserve">       ³</v>
          </cell>
          <cell r="BA235" t="str">
            <v xml:space="preserve">  ³</v>
          </cell>
          <cell r="BB235" t="str">
            <v>|</v>
          </cell>
        </row>
        <row r="236">
          <cell r="AY236" t="str">
            <v>מ</v>
          </cell>
          <cell r="BA236" t="str">
            <v>ממ³</v>
          </cell>
          <cell r="BB236" t="str">
            <v>|</v>
          </cell>
        </row>
        <row r="237">
          <cell r="BB237" t="str">
            <v>|</v>
          </cell>
        </row>
        <row r="238">
          <cell r="BB238" t="str">
            <v>|</v>
          </cell>
        </row>
        <row r="239">
          <cell r="BB239" t="str">
            <v>|</v>
          </cell>
        </row>
        <row r="240">
          <cell r="BB240" t="str">
            <v>|</v>
          </cell>
        </row>
        <row r="241">
          <cell r="BB241" t="str">
            <v>|</v>
          </cell>
        </row>
        <row r="256">
          <cell r="T256" t="str">
            <v>|ש"ח על פי הסכם XXX,XXX כולל פחת כבלים בעת הנחתם ונכוי בשל פחת בגינו בסך כולל של</v>
          </cell>
        </row>
        <row r="257">
          <cell r="T257" t="str">
            <v>עם פקיד השומה מיום 15.1.96.</v>
          </cell>
        </row>
      </sheetData>
      <sheetData sheetId="6">
        <row r="9">
          <cell r="O9" t="str">
            <v>משרדי</v>
          </cell>
          <cell r="Q9" t="str">
            <v>סיכומים</v>
          </cell>
          <cell r="R9" t="str">
            <v>31 בדצמבר</v>
          </cell>
          <cell r="AN9">
            <v>0</v>
          </cell>
          <cell r="AQ9" t="str">
            <v>לשנת המס 1998</v>
          </cell>
          <cell r="AX9" t="str">
            <v>אלפי ש"ח</v>
          </cell>
          <cell r="AY9" t="str">
            <v>אלפי ש"ח</v>
          </cell>
          <cell r="BC9" t="str">
            <v>אלפי ש"ח</v>
          </cell>
          <cell r="BH9" t="str">
            <v>הנוסף</v>
          </cell>
          <cell r="BJ9" t="str">
            <v>עליית</v>
          </cell>
          <cell r="BL9" t="str">
            <v>הפחת לפי</v>
          </cell>
          <cell r="BP9" t="str">
            <v>של כל</v>
          </cell>
          <cell r="BR9" t="str">
            <v>הפסד ראלי*</v>
          </cell>
          <cell r="BS9" t="str">
            <v>הפסד</v>
          </cell>
        </row>
        <row r="10">
          <cell r="O10" t="str">
            <v>בלבד</v>
          </cell>
          <cell r="AD10" t="str">
            <v>פחות</v>
          </cell>
          <cell r="AJ10" t="str">
            <v xml:space="preserve"> </v>
          </cell>
          <cell r="AO10" t="str">
            <v>תאור הנכסים הקבועים, לפי הרשום במאזן לתום</v>
          </cell>
          <cell r="BE10" t="str">
            <v>1.שנויים חיוביים:</v>
          </cell>
          <cell r="BH10" t="str">
            <v>בשל פחת</v>
          </cell>
          <cell r="BJ10" t="str">
            <v>המדד</v>
          </cell>
          <cell r="BK10" t="str">
            <v>תאור הרישומים,היתרות,ההפקדות או הפעולות</v>
          </cell>
          <cell r="BL10" t="str">
            <v>טופס י"א</v>
          </cell>
          <cell r="BP10" t="str">
            <v>סעיף קטן</v>
          </cell>
          <cell r="BR10" t="str">
            <v>לפי</v>
          </cell>
          <cell r="BS10" t="str">
            <v>מהשכרת</v>
          </cell>
        </row>
        <row r="11">
          <cell r="V11">
            <v>-634.21300000000019</v>
          </cell>
          <cell r="AB11" t="str">
            <v>הסכום</v>
          </cell>
          <cell r="AD11" t="str">
            <v>תאור פריט לפי הרשום במאזן בתום שנת המס הקודמת</v>
          </cell>
          <cell r="AJ11" t="str">
            <v>סעיף קטן</v>
          </cell>
          <cell r="AN11" t="str">
            <v>הסכום</v>
          </cell>
          <cell r="AO11" t="str">
            <v>שנת המס הקודמת</v>
          </cell>
          <cell r="AU11" t="str">
            <v>סעיף קטן</v>
          </cell>
          <cell r="AY11">
            <v>1779.9870000000001</v>
          </cell>
          <cell r="BA11" t="str">
            <v>דוח מצ"ב</v>
          </cell>
          <cell r="BC11">
            <v>1779.9870000000001</v>
          </cell>
          <cell r="BE11" t="str">
            <v>תמורה ממכירת רכוש קבוע</v>
          </cell>
          <cell r="BF11">
            <v>1.98</v>
          </cell>
          <cell r="BI11" t="str">
            <v>הסכום</v>
          </cell>
          <cell r="BK11" t="str">
            <v>המחיבים תאום הון</v>
          </cell>
          <cell r="BP11" t="str">
            <v xml:space="preserve"> לזיהוי</v>
          </cell>
          <cell r="BQ11" t="str">
            <v xml:space="preserve"> 1. נכסים קבועים שהיו בידי הנישום</v>
          </cell>
          <cell r="BR11" t="str">
            <v>חוק המיסוי</v>
          </cell>
          <cell r="BS11" t="str">
            <v>בנין</v>
          </cell>
        </row>
        <row r="12">
          <cell r="Q12">
            <v>26788</v>
          </cell>
          <cell r="V12">
            <v>-17094.646000000001</v>
          </cell>
          <cell r="W12" t="str">
            <v xml:space="preserve"> סכום ההון לפי סעיף 1 לתוספת א לחוק - לפי רשימה מס' 1 מצורפת:</v>
          </cell>
          <cell r="Y12">
            <v>1</v>
          </cell>
          <cell r="AD12" t="str">
            <v>פחת לפי טופס י"א (ראה 1 ו2)</v>
          </cell>
          <cell r="AJ12" t="str">
            <v>לזיהוי הפריט</v>
          </cell>
          <cell r="AU12" t="str">
            <v>בהגדרה</v>
          </cell>
          <cell r="AY12">
            <v>4474.4936584233119</v>
          </cell>
          <cell r="AZ12">
            <v>0.17649999999999999</v>
          </cell>
          <cell r="BA12">
            <v>0.15203544724453066</v>
          </cell>
          <cell r="BC12">
            <v>5194.5</v>
          </cell>
          <cell r="BE12" t="str">
            <v>החזר מס ששולם ביתר</v>
          </cell>
          <cell r="BF12">
            <v>2.98</v>
          </cell>
          <cell r="BP12" t="str">
            <v xml:space="preserve">התאום </v>
          </cell>
          <cell r="BQ12" t="str">
            <v xml:space="preserve">   'נכס  מוגן' לפני חוק המסוי ונרכשו לפני</v>
          </cell>
          <cell r="BR12" t="str">
            <v>אלפי ש"ח</v>
          </cell>
          <cell r="BS12" t="str">
            <v>אלפי ש"ח</v>
          </cell>
        </row>
        <row r="13">
          <cell r="AD13" t="str">
            <v>הפרש בין שינוי יתרת הפקדונות בספרים לבין השנוי ביתרה לפי הסכם עם</v>
          </cell>
          <cell r="AJ13" t="str">
            <v xml:space="preserve"> </v>
          </cell>
          <cell r="AY13">
            <v>670.14213896516844</v>
          </cell>
          <cell r="AZ13">
            <v>0.17649999999999999</v>
          </cell>
          <cell r="BA13">
            <v>0.13785557986870889</v>
          </cell>
          <cell r="BC13">
            <v>858</v>
          </cell>
          <cell r="BE13" t="str">
            <v>משיכת רווחים מהשקעה בשותפות</v>
          </cell>
          <cell r="BF13" t="str">
            <v>6.98</v>
          </cell>
          <cell r="BQ13" t="str">
            <v xml:space="preserve">   תחילת שנת המס 1982 סכום הפחת</v>
          </cell>
        </row>
        <row r="14">
          <cell r="V14">
            <v>-486.25400000000172</v>
          </cell>
          <cell r="AB14">
            <v>5</v>
          </cell>
          <cell r="AD14" t="str">
            <v>פקיד השומה מיום 15.1.96: (ראה נספח לט' 1392\ג')</v>
          </cell>
          <cell r="AE14" t="str">
            <v xml:space="preserve">הון מניות     </v>
          </cell>
          <cell r="AN14">
            <v>1584</v>
          </cell>
          <cell r="AS14" t="str">
            <v>רכוש קבוע</v>
          </cell>
          <cell r="AY14">
            <v>132997.01191353952</v>
          </cell>
          <cell r="AZ14">
            <v>0.17649999999999999</v>
          </cell>
          <cell r="BA14">
            <v>0.13972602739726026</v>
          </cell>
          <cell r="BC14">
            <v>168000</v>
          </cell>
          <cell r="BE14" t="str">
            <v xml:space="preserve">הנפקת שטרי הון </v>
          </cell>
          <cell r="BF14">
            <v>8.98</v>
          </cell>
          <cell r="BI14">
            <v>336</v>
          </cell>
          <cell r="BO14" t="str">
            <v>עתודה לפיצויים בניכוי ייעודה</v>
          </cell>
          <cell r="BQ14" t="str">
            <v xml:space="preserve">   הכולל שנתבע כדין לפי רכוז בטופס יא'</v>
          </cell>
        </row>
        <row r="15">
          <cell r="Q15">
            <v>29568.382999999998</v>
          </cell>
          <cell r="W15" t="str">
            <v xml:space="preserve"> תאומי הון לפי סעיף 3 לתוספת א לחוק - לפי רשימה מס' 2 מצורפת:</v>
          </cell>
          <cell r="Y15">
            <v>2</v>
          </cell>
          <cell r="AD15" t="str">
            <v>|לפי הסכם ‎1989 הפחתת הוצאות טרום עסקיות שתואמו בשנת</v>
          </cell>
          <cell r="AN15" t="str">
            <v>אגף מס הכנסה</v>
          </cell>
          <cell r="AQ15" t="str">
            <v>רכוז רווח (הפסד) הון - לצרכי מס הכנסה (ראה פרוט בנספח מצורף)</v>
          </cell>
          <cell r="AY15">
            <v>-25.144938263092953</v>
          </cell>
          <cell r="AZ15">
            <v>0.17649999999999999</v>
          </cell>
          <cell r="BA15">
            <v>-7.3968026723931768E-3</v>
          </cell>
          <cell r="BC15">
            <v>600</v>
          </cell>
          <cell r="BE15" t="str">
            <v>משיכת רווחים מהשקעה בשותפות</v>
          </cell>
          <cell r="BF15" t="str">
            <v>12.98</v>
          </cell>
        </row>
        <row r="16">
          <cell r="V16">
            <v>-123.65000000000002</v>
          </cell>
          <cell r="Z16" t="e">
            <v>#REF!</v>
          </cell>
          <cell r="AB16">
            <v>26783</v>
          </cell>
          <cell r="AD16" t="str">
            <v>15.1.96 עם פקיד השומה מיום</v>
          </cell>
          <cell r="AE16" t="str">
            <v xml:space="preserve">יתרת רווח     </v>
          </cell>
          <cell r="AN16">
            <v>480</v>
          </cell>
          <cell r="AR16" t="str">
            <v xml:space="preserve"> </v>
          </cell>
          <cell r="AS16" t="str">
            <v>מוניטין בחברה מסונפת</v>
          </cell>
          <cell r="AX16">
            <v>139896.48977266491</v>
          </cell>
          <cell r="BI16">
            <v>31</v>
          </cell>
          <cell r="BO16" t="str">
            <v>הפרשה לחופשה</v>
          </cell>
          <cell r="BQ16" t="str">
            <v xml:space="preserve"> 2. נכסים קבועים שהיו בידי הנישום</v>
          </cell>
        </row>
        <row r="17">
          <cell r="T17">
            <v>-18338.763000000003</v>
          </cell>
          <cell r="AN17" t="str">
            <v>אחד העם 9</v>
          </cell>
          <cell r="AQ17" t="str">
            <v>א ל פ י  ש " ח</v>
          </cell>
          <cell r="BE17" t="str">
            <v>2.שנויים שליליים:</v>
          </cell>
          <cell r="BF17">
            <v>1.98</v>
          </cell>
          <cell r="BQ17" t="str">
            <v xml:space="preserve">    "נכס בלתי מוגן" לפי חוק המסוי ונרכשו</v>
          </cell>
        </row>
        <row r="18">
          <cell r="Q18">
            <v>-65663.821200000006</v>
          </cell>
          <cell r="W18" t="str">
            <v xml:space="preserve"> סכום הנכסים הקבועים לפי סעיף 2(א) לתוספת ב לחוק - לפי רשימה מס' 3 מצורפת:</v>
          </cell>
          <cell r="Y18">
            <v>3</v>
          </cell>
          <cell r="AD18" t="str">
            <v>נוסף</v>
          </cell>
          <cell r="AN18">
            <v>124.31419999999997</v>
          </cell>
          <cell r="AR18" t="str">
            <v xml:space="preserve"> </v>
          </cell>
          <cell r="AS18" t="str">
            <v>מוניטין בשותפות</v>
          </cell>
          <cell r="AY18">
            <v>-1452.8464269155559</v>
          </cell>
          <cell r="AZ18">
            <v>0.17649999999999999</v>
          </cell>
          <cell r="BA18">
            <v>0.15203544724453066</v>
          </cell>
          <cell r="BC18">
            <v>-1686.6290000000004</v>
          </cell>
          <cell r="BE18" t="str">
            <v>תשלום מס ביתר בגין שנים קודמות</v>
          </cell>
          <cell r="BF18">
            <v>2.98</v>
          </cell>
          <cell r="BG18">
            <v>0</v>
          </cell>
          <cell r="BI18">
            <v>-836</v>
          </cell>
          <cell r="BO18" t="str">
            <v xml:space="preserve">הכנסות בספרים שלא נרשמו כהכנסה חייבת בגין חברות בנות ובניכוי דיבידנד </v>
          </cell>
          <cell r="BQ18" t="str">
            <v xml:space="preserve">    לפני תום שנת המס 1984 סכום הפחת</v>
          </cell>
        </row>
        <row r="19">
          <cell r="V19">
            <v>0</v>
          </cell>
          <cell r="AD19" t="str">
            <v>פחת בספרים</v>
          </cell>
          <cell r="AJ19" t="str">
            <v xml:space="preserve"> </v>
          </cell>
          <cell r="AR19" t="str">
            <v xml:space="preserve"> </v>
          </cell>
          <cell r="AY19">
            <v>-1170.5694310887036</v>
          </cell>
          <cell r="AZ19">
            <v>0.17649999999999999</v>
          </cell>
          <cell r="BA19">
            <v>0.15651932165693649</v>
          </cell>
          <cell r="BC19">
            <v>-1320</v>
          </cell>
          <cell r="BE19" t="str">
            <v>השקעות אחרות - מניות</v>
          </cell>
          <cell r="BF19">
            <v>4.9800000000000004</v>
          </cell>
          <cell r="BQ19" t="str">
            <v xml:space="preserve">    הכולל שנתבע כדין לפי רכוז בטופס יא'</v>
          </cell>
        </row>
        <row r="20">
          <cell r="AD20" t="str">
            <v>הפרשי פחת שנצבר בין הספרים לטופס י"א</v>
          </cell>
          <cell r="AJ20" t="str">
            <v xml:space="preserve"> </v>
          </cell>
          <cell r="AN20">
            <v>4933.4679999999998</v>
          </cell>
          <cell r="AS20" t="str">
            <v>מוניטין בתאגידים בשליטה משותפת</v>
          </cell>
          <cell r="AV20" t="str">
            <v>סה"כ</v>
          </cell>
          <cell r="AX20" t="str">
            <v>סכום</v>
          </cell>
          <cell r="AY20">
            <v>-585.96662656680496</v>
          </cell>
          <cell r="AZ20">
            <v>0.17649999999999999</v>
          </cell>
          <cell r="BA20">
            <v>0.13972602739726026</v>
          </cell>
          <cell r="BB20" t="str">
            <v>רווח</v>
          </cell>
          <cell r="BC20">
            <v>-740.18499999999995</v>
          </cell>
          <cell r="BE20" t="str">
            <v>השקעות אחרות - מניות (כולל השקעה בשותפות)</v>
          </cell>
          <cell r="BF20">
            <v>8.98</v>
          </cell>
          <cell r="BI20">
            <v>267.7100000000006</v>
          </cell>
          <cell r="BO20" t="str">
            <v>ההפרש בין השומה לצרכי מס הכנסה לבין ההפרשה בספרים</v>
          </cell>
        </row>
        <row r="21">
          <cell r="O21" t="str">
            <v>|1998 בדקנו את ההתאמה המצורפת של ערוצי זהב ושות' (שותפות רשומה) לשנת המס</v>
          </cell>
          <cell r="V21">
            <v>0</v>
          </cell>
          <cell r="W21" t="str">
            <v xml:space="preserve"> סכום השנויים החיוביים לפי סעיף 1 לתוספת ג בנכוי סכום השנויים השליליים לפי סעיף 2</v>
          </cell>
          <cell r="Y21">
            <v>4</v>
          </cell>
          <cell r="AD21" t="str">
            <v xml:space="preserve"> בגין גריעת הוצ' התקנה</v>
          </cell>
          <cell r="AO21" t="str">
            <v>א.נ.,</v>
          </cell>
          <cell r="AV21" t="str">
            <v>רווח</v>
          </cell>
          <cell r="AX21" t="str">
            <v>אינפלציוני</v>
          </cell>
          <cell r="AY21">
            <v>-4505.4499598659349</v>
          </cell>
          <cell r="AZ21">
            <v>0.17649999999999999</v>
          </cell>
          <cell r="BA21">
            <v>9.4448829255459055E-2</v>
          </cell>
          <cell r="BB21" t="str">
            <v>הון</v>
          </cell>
          <cell r="BC21">
            <v>-8419.5</v>
          </cell>
          <cell r="BE21" t="str">
            <v>השקעות אחרות - מניות</v>
          </cell>
          <cell r="BF21">
            <v>9.98</v>
          </cell>
          <cell r="BN21" t="str">
            <v>תאריך</v>
          </cell>
          <cell r="BO21" t="str">
            <v>"סכום שהוצא"</v>
          </cell>
          <cell r="BR21" t="str">
            <v xml:space="preserve"> 3. נכסים קבועים אחרים שלא נכללו</v>
          </cell>
        </row>
        <row r="22">
          <cell r="O22" t="str">
            <v>|31 המתאמת את הרווח של השותפות לפי דוח רווח והפסד שלה לשנה שנסתיימה ביום</v>
          </cell>
          <cell r="Q22">
            <v>123638.39060872243</v>
          </cell>
          <cell r="V22">
            <v>231</v>
          </cell>
          <cell r="W22" t="str">
            <v xml:space="preserve"> לאותה  תוספת  לחוק - לפי רשימה מס' 4 מצורפת:</v>
          </cell>
          <cell r="AD22" t="str">
            <v>עליה בהפרשה לחובות מסופקים</v>
          </cell>
          <cell r="AJ22" t="str">
            <v xml:space="preserve"> </v>
          </cell>
          <cell r="AN22">
            <v>1</v>
          </cell>
          <cell r="AR22" t="str">
            <v>סה"כ</v>
          </cell>
          <cell r="AS22" t="str">
            <v>השקעה בחברות בת - נטו</v>
          </cell>
          <cell r="AT22" t="str">
            <v>(הפסד הון)</v>
          </cell>
          <cell r="AV22" t="str">
            <v>הון</v>
          </cell>
          <cell r="AX22" t="str">
            <v>חייב</v>
          </cell>
          <cell r="AY22">
            <v>136.92117980336576</v>
          </cell>
          <cell r="AZ22">
            <v>0.17649999999999999</v>
          </cell>
          <cell r="BA22">
            <v>-2.1176470588235241E-2</v>
          </cell>
          <cell r="BB22" t="str">
            <v>ריאלי</v>
          </cell>
          <cell r="BC22">
            <v>-1141.2</v>
          </cell>
          <cell r="BE22" t="str">
            <v>השקעות אחרות - מניות (כולל השקעה בשותפות)</v>
          </cell>
          <cell r="BF22">
            <v>11.98</v>
          </cell>
          <cell r="BI22">
            <v>30300</v>
          </cell>
          <cell r="BN22" t="str">
            <v>שבו הסכום</v>
          </cell>
          <cell r="BO22" t="str">
            <v>הפרשה להוצאות שלא הוכרה לצרכי מס בגין חברות מסונפות</v>
          </cell>
          <cell r="BP22" t="str">
            <v>או</v>
          </cell>
          <cell r="BR22" t="str">
            <v xml:space="preserve">   בשורות 2-1 דלעיל:נכסים מוגנים שנרכשו</v>
          </cell>
        </row>
        <row r="23">
          <cell r="O23" t="str">
            <v>|.לתוצאות שהוצהרו על ידה לצרכי מס הכנסה, לשנת המס האמורה ‎1998 בדצמבר</v>
          </cell>
          <cell r="V23">
            <v>-533.00199999999995</v>
          </cell>
          <cell r="AD23" t="str">
            <v>הפסד הון בספרים</v>
          </cell>
          <cell r="AJ23" t="str">
            <v xml:space="preserve"> </v>
          </cell>
          <cell r="AY23">
            <v>1951.3956900764565</v>
          </cell>
          <cell r="AZ23">
            <v>0.17649999999999999</v>
          </cell>
          <cell r="BA23">
            <v>-7.3968026723931768E-3</v>
          </cell>
          <cell r="BC23">
            <v>-46563.542999999998</v>
          </cell>
          <cell r="BE23" t="str">
            <v>השקעות אחרות - מניות</v>
          </cell>
          <cell r="BF23">
            <v>12.98</v>
          </cell>
          <cell r="BN23" t="str">
            <v>הוקטן</v>
          </cell>
          <cell r="BO23" t="str">
            <v>"סכום ששולם"</v>
          </cell>
          <cell r="BR23" t="str">
            <v xml:space="preserve">   ב-1984-1982 ונכסים אחרים שנרכשו</v>
          </cell>
        </row>
        <row r="24">
          <cell r="V24">
            <v>146</v>
          </cell>
          <cell r="AD24" t="str">
            <v>הוצאות רכב מעל למוכר</v>
          </cell>
          <cell r="AJ24" t="str">
            <v xml:space="preserve"> </v>
          </cell>
          <cell r="AN24">
            <v>10208</v>
          </cell>
          <cell r="AR24" t="str">
            <v xml:space="preserve"> </v>
          </cell>
          <cell r="AS24" t="str">
            <v>השקעה בחברה מסונפת</v>
          </cell>
          <cell r="BI24">
            <v>0</v>
          </cell>
          <cell r="BN24" t="str">
            <v>מההון</v>
          </cell>
          <cell r="BO24" t="str">
            <v>הפרשה להוצאות שלא הוכרה לצרכי מס בגין השקעות אחרות</v>
          </cell>
          <cell r="BP24" t="str">
            <v>והוקטן מההון</v>
          </cell>
          <cell r="BR24" t="str">
            <v xml:space="preserve">   מ-1985)</v>
          </cell>
        </row>
        <row r="25">
          <cell r="V25">
            <v>14</v>
          </cell>
          <cell r="W25" t="str">
            <v xml:space="preserve">לגבי חלקה של החברה, בשותפות </v>
          </cell>
          <cell r="AD25" t="str">
            <v>נסיעות לחו"ל מעל למוכר</v>
          </cell>
          <cell r="AJ25" t="str">
            <v xml:space="preserve"> </v>
          </cell>
          <cell r="BE25" t="str">
            <v>|רווח (הפסד) הון</v>
          </cell>
          <cell r="BR25" t="str">
            <v xml:space="preserve">      - תאר כל נכס בנפרד -</v>
          </cell>
        </row>
        <row r="26">
          <cell r="V26">
            <v>97</v>
          </cell>
          <cell r="W26" t="str">
            <v xml:space="preserve">שבקביעת הכנסתה חלות הוראות פרק ב לחוק </v>
          </cell>
          <cell r="AD26" t="str">
            <v>הוצאות עודפות אחרות לא מוכרות</v>
          </cell>
          <cell r="AJ26" t="str">
            <v>הנדון: ערוצי זהב ושות' (שותפות רשומה)</v>
          </cell>
          <cell r="AN26">
            <v>11703</v>
          </cell>
          <cell r="AS26" t="str">
            <v>השקעות בתאגידים בשליטה משותפת</v>
          </cell>
          <cell r="BE26" t="str">
            <v>תשלום מקדמות שוטפות בגין השנה:</v>
          </cell>
          <cell r="BI26">
            <v>-530.32700000000023</v>
          </cell>
          <cell r="BO26" t="str">
            <v>הכנסות בספרים שלא נרשמו כהכנסה חייבת בגין חברות בשליטה משותפת - נטו</v>
          </cell>
        </row>
        <row r="27">
          <cell r="O27" t="str">
            <v>|בדיקת ההוצאות המפורטות בתקנות בדבר "תנאים לנכוי הוצאות מסוימות", החישובים</v>
          </cell>
          <cell r="AD27" t="str">
            <v>תרומות וקנסות</v>
          </cell>
          <cell r="AJ27" t="str">
            <v xml:space="preserve">   מקדמות על הוצאות עודפות לשנת המס 1998</v>
          </cell>
          <cell r="AR27">
            <v>23.48</v>
          </cell>
          <cell r="AT27">
            <v>-84.418999999999997</v>
          </cell>
          <cell r="AV27">
            <v>107.899</v>
          </cell>
          <cell r="AX27">
            <v>1.958</v>
          </cell>
          <cell r="AY27">
            <v>-1494.4064962316716</v>
          </cell>
          <cell r="AZ27">
            <v>0.17649999999999999</v>
          </cell>
          <cell r="BA27">
            <v>0.1597435182603848</v>
          </cell>
          <cell r="BB27">
            <v>68.174000000000007</v>
          </cell>
          <cell r="BC27">
            <v>-1651.164</v>
          </cell>
          <cell r="BE27" t="str">
            <v>|לצרכי מס הכנסה</v>
          </cell>
          <cell r="BF27" t="str">
            <v>08/03/98</v>
          </cell>
          <cell r="BH27">
            <v>8384.4030000000002</v>
          </cell>
          <cell r="BL27">
            <v>16895</v>
          </cell>
          <cell r="BR27" t="str">
            <v>לפי טופס  מחשב רצ"ב (*)</v>
          </cell>
        </row>
        <row r="28">
          <cell r="O28" t="str">
            <v>|'א‎32 י) לפקודת מס הכנסה והתקיימות התנאים המפורטים בסעיף)‎3 הדרושים לפי סעיף</v>
          </cell>
          <cell r="W28" t="str">
            <v xml:space="preserve"> סה"כ קרנות, מענקים ותאומי הון של השותפות:</v>
          </cell>
          <cell r="Y28">
            <v>5</v>
          </cell>
          <cell r="AD28" t="str">
            <v>הוצאות תמלוגים לתושבי חוץ שאינן מוכרות ע"פ סעיף 18 (ה) לפקודה</v>
          </cell>
          <cell r="AN28">
            <v>31465</v>
          </cell>
          <cell r="AS28" t="str">
            <v>השקעות בחברות אחרות</v>
          </cell>
          <cell r="AY28">
            <v>-1501.2678886297044</v>
          </cell>
          <cell r="AZ28">
            <v>0.17649999999999999</v>
          </cell>
          <cell r="BA28">
            <v>0.1549139367018324</v>
          </cell>
          <cell r="BC28">
            <v>-1710.4580000000001</v>
          </cell>
          <cell r="BF28" t="str">
            <v>01/04/98</v>
          </cell>
        </row>
        <row r="29">
          <cell r="O29" t="str">
            <v>|לפקודה, נעשו בהיקף שסוכם בין נציבות מס הכנסה לבין לשכת רואי חשבון בישראל, על</v>
          </cell>
          <cell r="V29">
            <v>693.76699999999983</v>
          </cell>
          <cell r="W29" t="str">
            <v>(הסכום בשורה 3.31 בדו"ח השותפות)</v>
          </cell>
          <cell r="AD29" t="str">
            <v>עליה בהפרשה לחופשה</v>
          </cell>
          <cell r="AJ29" t="str">
            <v xml:space="preserve"> </v>
          </cell>
          <cell r="AY29">
            <v>-1166.280334807971</v>
          </cell>
          <cell r="AZ29">
            <v>0.17649999999999999</v>
          </cell>
          <cell r="BA29">
            <v>0.12220124089560302</v>
          </cell>
          <cell r="BC29">
            <v>-1684.5039999999999</v>
          </cell>
          <cell r="BE29" t="str">
            <v>|(ג) ‎9 'הפסד ריאלי לפי ס</v>
          </cell>
          <cell r="BF29" t="str">
            <v>03/05/98</v>
          </cell>
        </row>
        <row r="30">
          <cell r="O30" t="str">
            <v>כל המשתמע מכך.</v>
          </cell>
          <cell r="T30">
            <v>648.76499999999987</v>
          </cell>
          <cell r="AJ30" t="str">
            <v xml:space="preserve"> </v>
          </cell>
          <cell r="AN30">
            <v>5165.0390000000007</v>
          </cell>
          <cell r="AS30" t="str">
            <v>מס ששולם ביתר בגין שנים קודמות</v>
          </cell>
          <cell r="AT30">
            <v>-68.671000000000006</v>
          </cell>
          <cell r="AY30">
            <v>-1359.5872968540332</v>
          </cell>
          <cell r="AZ30">
            <v>0.17649999999999999</v>
          </cell>
          <cell r="BA30">
            <v>0.14035087719298245</v>
          </cell>
          <cell r="BC30">
            <v>-1709.7660000000001</v>
          </cell>
          <cell r="BE30" t="str">
            <v>לחוק התאומים</v>
          </cell>
          <cell r="BF30" t="str">
            <v>01/06/98</v>
          </cell>
        </row>
        <row r="31">
          <cell r="W31" t="str">
            <v>סכום הנכסים הקבועים  של  השותפות: (הסכום בשורה 4.1 בדו"ח השותפות)</v>
          </cell>
          <cell r="Y31">
            <v>6</v>
          </cell>
          <cell r="AD31" t="str">
            <v>רווח לפני יישום הוראות חוק מס הכנסה</v>
          </cell>
          <cell r="AJ31" t="str">
            <v xml:space="preserve"> </v>
          </cell>
          <cell r="AY31">
            <v>-1315.1979872385989</v>
          </cell>
          <cell r="AZ31">
            <v>0.17649999999999999</v>
          </cell>
          <cell r="BA31">
            <v>0.1350613915416099</v>
          </cell>
          <cell r="BC31">
            <v>-1718.7180000000001</v>
          </cell>
          <cell r="BF31" t="str">
            <v>01/07/98</v>
          </cell>
        </row>
        <row r="32">
          <cell r="T32" t="e">
            <v>#REF!</v>
          </cell>
          <cell r="AD32" t="str">
            <v>(תאומים בשל אינפלציה) התשמ"ה-1985</v>
          </cell>
          <cell r="AJ32" t="str">
            <v xml:space="preserve"> </v>
          </cell>
          <cell r="AY32">
            <v>-1404.8756999576431</v>
          </cell>
          <cell r="AZ32">
            <v>0.17649999999999999</v>
          </cell>
          <cell r="BA32">
            <v>0.14128943758573387</v>
          </cell>
          <cell r="BC32">
            <v>-1754.9829999999999</v>
          </cell>
          <cell r="BE32" t="str">
            <v>|קזוז רווח הון ראלי מהפסד הון</v>
          </cell>
          <cell r="BF32" t="str">
            <v>03/08/98</v>
          </cell>
        </row>
        <row r="33">
          <cell r="AJ33" t="str">
            <v xml:space="preserve"> </v>
          </cell>
          <cell r="AT33">
            <v>68.174000000000007</v>
          </cell>
          <cell r="AV33">
            <v>-68.174000000000007</v>
          </cell>
          <cell r="AY33">
            <v>-1215.4312985272788</v>
          </cell>
          <cell r="AZ33">
            <v>0.17649999999999999</v>
          </cell>
          <cell r="BA33">
            <v>0.12311015118790491</v>
          </cell>
          <cell r="BB33">
            <v>-68.174000000000007</v>
          </cell>
          <cell r="BC33">
            <v>-1742.5340000000001</v>
          </cell>
          <cell r="BE33" t="str">
            <v>השנה</v>
          </cell>
          <cell r="BF33" t="str">
            <v>20/08/98</v>
          </cell>
          <cell r="BH33">
            <v>0</v>
          </cell>
          <cell r="BL33">
            <v>0</v>
          </cell>
        </row>
        <row r="34">
          <cell r="O34" t="str">
            <v>|לדעתנו, בכפיפות לאמור בפיסקה הקודמת, ההתאמה הנ"ל נערכה בהתאם להוראות פקודת</v>
          </cell>
          <cell r="W34" t="str">
            <v>סכום השנויים בהון ובנכסים של השותפות: (הסכום בשורה 4.9 בדו"ח</v>
          </cell>
          <cell r="Y34">
            <v>7</v>
          </cell>
          <cell r="AD34" t="str">
            <v>השפעת האינפלציה בגין אובדן ממירים וגריעת</v>
          </cell>
          <cell r="AO34" t="str">
            <v>|כמבקרי החשבונות של השותפות הנ"ל הרינו מאשרים בזה כי בהתאם לספרי החשבונות של</v>
          </cell>
          <cell r="AY34">
            <v>-887.2320660420902</v>
          </cell>
          <cell r="AZ34">
            <v>0.17649999999999999</v>
          </cell>
          <cell r="BA34">
            <v>8.276939094221758E-2</v>
          </cell>
          <cell r="BC34">
            <v>-1891.961</v>
          </cell>
          <cell r="BF34" t="str">
            <v>20/09/98</v>
          </cell>
        </row>
        <row r="35">
          <cell r="O35" t="str">
            <v>מס הכנסה וחוק מס הכנסה (תאומים בשל אינפלציה) התשמ"ה-1985.</v>
          </cell>
          <cell r="W35" t="str">
            <v>השותפות)</v>
          </cell>
          <cell r="AD35" t="str">
            <v>הוצאות התקנה בגין מנויים שפרשו (נספח א')</v>
          </cell>
          <cell r="AO35" t="str">
            <v>|השותפות אשר בוקרו על ידנו, שולמו על ידה מקדמות על הוצאות עודפות בגין השנה</v>
          </cell>
          <cell r="AY35">
            <v>0</v>
          </cell>
          <cell r="AZ35">
            <v>0.17649999999999999</v>
          </cell>
          <cell r="BA35">
            <v>0</v>
          </cell>
          <cell r="BC35">
            <v>-168.767</v>
          </cell>
          <cell r="BE35" t="str">
            <v>|קזוז סכום אינפלציוני</v>
          </cell>
          <cell r="BF35" t="str">
            <v>01/02/99</v>
          </cell>
          <cell r="BQ35">
            <v>17094.646000000001</v>
          </cell>
        </row>
        <row r="36">
          <cell r="T36">
            <v>0</v>
          </cell>
          <cell r="AD36" t="str">
            <v xml:space="preserve">                      (ראה 1)</v>
          </cell>
          <cell r="AM36" t="str">
            <v>ש"ח.</v>
          </cell>
          <cell r="AN36">
            <v>704250</v>
          </cell>
          <cell r="AO36" t="str">
            <v>הנ"ל בסך</v>
          </cell>
          <cell r="BE36" t="str">
            <v>|מהפסד הון לפי יחס</v>
          </cell>
        </row>
        <row r="37">
          <cell r="W37" t="str">
            <v xml:space="preserve">חלקה של השותפות הנ"ל בהון, בנכסים הקבועים ובשנויים בהם, </v>
          </cell>
          <cell r="Y37">
            <v>8</v>
          </cell>
          <cell r="AJ37" t="str">
            <v xml:space="preserve"> </v>
          </cell>
          <cell r="AT37">
            <v>1</v>
          </cell>
          <cell r="AV37">
            <v>-1.958</v>
          </cell>
          <cell r="AX37">
            <v>-1.958</v>
          </cell>
          <cell r="BE37" t="str">
            <v>1:3.5</v>
          </cell>
          <cell r="BQ37">
            <v>-199.678</v>
          </cell>
        </row>
        <row r="38">
          <cell r="T38" t="e">
            <v>#REF!</v>
          </cell>
          <cell r="W38" t="str">
            <v>של שותפות אחרת</v>
          </cell>
          <cell r="AJ38" t="str">
            <v xml:space="preserve"> </v>
          </cell>
        </row>
        <row r="39">
          <cell r="W39" t="str">
            <v xml:space="preserve">(סה"כ הסכומים המופיעים בשורות </v>
          </cell>
          <cell r="AM39" t="str">
            <v>סכום המקדמות הנ"ל שולם לפ"ש גוש דן בתיק נכויים מס' 939240727.</v>
          </cell>
          <cell r="BC39">
            <v>-14032.855</v>
          </cell>
          <cell r="BE39" t="str">
            <v>סה"כ</v>
          </cell>
          <cell r="BQ39">
            <v>16894.968000000001</v>
          </cell>
        </row>
        <row r="40">
          <cell r="T40">
            <v>-8384.4030000000002</v>
          </cell>
          <cell r="W40" t="str">
            <v xml:space="preserve">3.31- 4.1- 4.9 כפול חלקה של השותפות הנ"ל </v>
          </cell>
          <cell r="AD40" t="str">
            <v>נכוי בשל פחת (ראה 2)</v>
          </cell>
          <cell r="AM40" t="str">
            <v xml:space="preserve"> </v>
          </cell>
          <cell r="BE40" t="str">
            <v>תשלום נכוי במקור בגין השנה:</v>
          </cell>
        </row>
        <row r="41">
          <cell r="W41" t="str">
            <v xml:space="preserve">ברווחים של השותפות האחרת)- להלן:        X %     =  </v>
          </cell>
          <cell r="AM41" t="str">
            <v xml:space="preserve"> </v>
          </cell>
          <cell r="AV41">
            <v>37.766999999999996</v>
          </cell>
          <cell r="AX41">
            <v>0</v>
          </cell>
          <cell r="AY41">
            <v>-3.4098316947175475</v>
          </cell>
          <cell r="AZ41">
            <v>0.17649999999999999</v>
          </cell>
          <cell r="BA41">
            <v>0.17647058823529416</v>
          </cell>
          <cell r="BB41">
            <v>0</v>
          </cell>
          <cell r="BC41">
            <v>-3.4103999999999997</v>
          </cell>
          <cell r="BF41">
            <v>1.98</v>
          </cell>
        </row>
        <row r="42">
          <cell r="T42" t="e">
            <v>#REF!</v>
          </cell>
          <cell r="AD42" t="str">
            <v>רווח לחלוקה בין השותפים כמפורט בט' 1392/ג'</v>
          </cell>
          <cell r="AM42" t="str">
            <v>זקיפת המקדמות על הוצאות עודפות בין השותפים:</v>
          </cell>
          <cell r="AY42">
            <v>-8.9735760957763357</v>
          </cell>
          <cell r="AZ42">
            <v>0.17649999999999999</v>
          </cell>
          <cell r="BA42">
            <v>0.16136236739251819</v>
          </cell>
          <cell r="BC42">
            <v>-9.8154000000000003</v>
          </cell>
          <cell r="BF42">
            <v>3.98</v>
          </cell>
        </row>
        <row r="43">
          <cell r="N43" t="str">
            <v xml:space="preserve">רמת - גן , 16 באוגוסט 1998                </v>
          </cell>
          <cell r="W43" t="str">
            <v>סה"כ לענין השותפות: (סיכום שלילי יירשם בסוגריים)</v>
          </cell>
          <cell r="Y43">
            <v>9</v>
          </cell>
          <cell r="AK43" t="str">
            <v>ש"ח</v>
          </cell>
          <cell r="AR43" t="str">
            <v xml:space="preserve"> </v>
          </cell>
          <cell r="AT43">
            <v>-83.915999999999997</v>
          </cell>
          <cell r="AY43">
            <v>-1.7815712023160646</v>
          </cell>
          <cell r="AZ43">
            <v>0.17649999999999999</v>
          </cell>
          <cell r="BA43">
            <v>0.15651932165693649</v>
          </cell>
          <cell r="BC43">
            <v>-2.0089999999999999</v>
          </cell>
          <cell r="BE43" t="str">
            <v>סה"כ</v>
          </cell>
          <cell r="BF43">
            <v>4.9800000000000004</v>
          </cell>
        </row>
        <row r="44">
          <cell r="AD44" t="str">
            <v>הפסד הון לצרכי מס הכנסה לחלוקה בין</v>
          </cell>
          <cell r="AJ44" t="str">
            <v xml:space="preserve"> </v>
          </cell>
          <cell r="AR44" t="str">
            <v xml:space="preserve"> </v>
          </cell>
          <cell r="AY44">
            <v>-0.25259203699456345</v>
          </cell>
          <cell r="AZ44">
            <v>0.17649999999999999</v>
          </cell>
          <cell r="BA44">
            <v>0.13785557986870889</v>
          </cell>
          <cell r="BC44">
            <v>-0.32339999999999997</v>
          </cell>
          <cell r="BF44">
            <v>6.98</v>
          </cell>
        </row>
        <row r="45">
          <cell r="T45">
            <v>83.915999999999997</v>
          </cell>
          <cell r="AD45" t="str">
            <v xml:space="preserve">               השותפים (ראה נספח ב')</v>
          </cell>
          <cell r="AK45">
            <v>492975.00000000006</v>
          </cell>
          <cell r="AL45" t="str">
            <v>עורק שרותי מידע מקומי בע"מ</v>
          </cell>
          <cell r="AR45" t="str">
            <v xml:space="preserve"> </v>
          </cell>
          <cell r="AY45">
            <v>-0.46015075116786996</v>
          </cell>
          <cell r="AZ45">
            <v>0.17649999999999999</v>
          </cell>
          <cell r="BA45">
            <v>0.13444232342514328</v>
          </cell>
          <cell r="BC45">
            <v>-0.60409999999999986</v>
          </cell>
          <cell r="BF45">
            <v>7.98</v>
          </cell>
        </row>
        <row r="46">
          <cell r="W46" t="str">
            <v>הכפל באחוז חלקה של החברה ברווחי השותפות:</v>
          </cell>
          <cell r="Y46">
            <v>9</v>
          </cell>
          <cell r="AJ46" t="str">
            <v xml:space="preserve"> </v>
          </cell>
          <cell r="AR46" t="str">
            <v xml:space="preserve"> </v>
          </cell>
          <cell r="AY46">
            <v>-1.7217571500640301</v>
          </cell>
          <cell r="AZ46">
            <v>0.17649999999999999</v>
          </cell>
          <cell r="BA46">
            <v>0.13972602739726026</v>
          </cell>
          <cell r="BC46">
            <v>-2.1748999999999996</v>
          </cell>
          <cell r="BF46">
            <v>8.98</v>
          </cell>
        </row>
        <row r="47">
          <cell r="T47">
            <v>30.59</v>
          </cell>
          <cell r="AD47" t="str">
            <v>תרומות מוכרות לחלוקה בין השותפים (לפי פרוט מצורף)</v>
          </cell>
          <cell r="AK47">
            <v>211275</v>
          </cell>
          <cell r="AL47" t="str">
            <v>ידיעות תקשורת בע"מ</v>
          </cell>
          <cell r="AR47" t="str">
            <v xml:space="preserve"> </v>
          </cell>
          <cell r="AY47">
            <v>-6.4982667604814068E-2</v>
          </cell>
          <cell r="AZ47">
            <v>0.17649999999999999</v>
          </cell>
          <cell r="BA47">
            <v>8.1924577373212015E-2</v>
          </cell>
          <cell r="BC47">
            <v>-0.14000000000000001</v>
          </cell>
          <cell r="BF47">
            <v>10.98</v>
          </cell>
        </row>
        <row r="48">
          <cell r="AJ48" t="str">
            <v xml:space="preserve"> </v>
          </cell>
          <cell r="AR48" t="str">
            <v xml:space="preserve"> </v>
          </cell>
          <cell r="AY48">
            <v>7.3487752041326265E-2</v>
          </cell>
          <cell r="AZ48">
            <v>0.17649999999999999</v>
          </cell>
          <cell r="BA48">
            <v>-2.1176470588235241E-2</v>
          </cell>
          <cell r="BC48">
            <v>-0.61250000000000004</v>
          </cell>
          <cell r="BF48">
            <v>11.98</v>
          </cell>
        </row>
        <row r="49">
          <cell r="N49" t="str">
            <v>קסלמן וקסלמן</v>
          </cell>
          <cell r="Q49">
            <v>114330.95240872243</v>
          </cell>
          <cell r="T49" t="str">
            <v>הערות:</v>
          </cell>
          <cell r="W49" t="str">
            <v xml:space="preserve">  סיכום ההון כהגדרתו בסעיף 7(א) לחוק: (סיכום שלילי יירשם בסוגריים)</v>
          </cell>
          <cell r="Y49">
            <v>10</v>
          </cell>
          <cell r="AJ49" t="str">
            <v xml:space="preserve"> </v>
          </cell>
          <cell r="AK49">
            <v>704250</v>
          </cell>
          <cell r="AR49" t="str">
            <v xml:space="preserve"> </v>
          </cell>
          <cell r="AY49">
            <v>5.3097727965564613E-3</v>
          </cell>
          <cell r="AZ49">
            <v>0.17649999999999999</v>
          </cell>
          <cell r="BA49">
            <v>-7.3968026723931768E-3</v>
          </cell>
          <cell r="BC49">
            <v>-0.12669999999999998</v>
          </cell>
          <cell r="BF49">
            <v>12.98</v>
          </cell>
        </row>
        <row r="50">
          <cell r="N50" t="str">
            <v>רואי חשבון</v>
          </cell>
          <cell r="AD50" t="str">
            <v>השפעת האינפלציה בגין אובדן ממירים וגריעת הוצאות התקנה בגין מנויים שפרשו נדרשה כהוצאה הואיל והם</v>
          </cell>
          <cell r="AF50" t="str">
            <v>(1</v>
          </cell>
          <cell r="AJ50" t="str">
            <v xml:space="preserve"> </v>
          </cell>
        </row>
        <row r="51">
          <cell r="W51" t="str">
            <v xml:space="preserve"> הכפל כאמור בסעיף 7(ב) - סיכום חיובי, או 7(ד) לחוק - סיכום שלילי - לפי הענין:</v>
          </cell>
          <cell r="AD51" t="str">
            <v>מהווים נכס קבוע.</v>
          </cell>
          <cell r="AJ51" t="str">
            <v xml:space="preserve"> </v>
          </cell>
          <cell r="BH51">
            <v>8384.4030000000002</v>
          </cell>
          <cell r="BL51">
            <v>16895</v>
          </cell>
        </row>
        <row r="52">
          <cell r="Q52">
            <v>0.17649999999999999</v>
          </cell>
          <cell r="W52" t="str">
            <v xml:space="preserve">שיעור עליית שער החליפין על פי חוזר הנציבות מס' 86/4 </v>
          </cell>
          <cell r="Y52">
            <v>11</v>
          </cell>
          <cell r="AD52" t="str">
            <v>כולל נכוי בשל פחת בסך 31 אלפי ש"ח בגין כלי רכב פרטיים ביחס לסכום ההוצאה המוכרת ע"פ התקנות.</v>
          </cell>
          <cell r="AF52" t="str">
            <v>(2</v>
          </cell>
          <cell r="AJ52" t="str">
            <v xml:space="preserve"> </v>
          </cell>
        </row>
        <row r="53">
          <cell r="L53" t="str">
            <v>.1</v>
          </cell>
          <cell r="T53" t="str">
            <v>הוצאות התפעול כוללות סכומים כמפורט בבאור 15 לדוחות הכספיים.</v>
          </cell>
          <cell r="W53" t="str">
            <v>מיום 1 באוגוסט 1986</v>
          </cell>
          <cell r="AJ53" t="str">
            <v xml:space="preserve"> </v>
          </cell>
          <cell r="BC53">
            <v>-19.2164</v>
          </cell>
          <cell r="BE53" t="str">
            <v>סה"כ</v>
          </cell>
        </row>
        <row r="54">
          <cell r="AJ54" t="str">
            <v xml:space="preserve"> </v>
          </cell>
          <cell r="AL54" t="str">
            <v xml:space="preserve">          רמת - גן , 16 באוגוסט 1998                </v>
          </cell>
        </row>
        <row r="55">
          <cell r="W55" t="str">
            <v xml:space="preserve"> תוצאה חיובית תנוכה בדו"ח התאום שורה 17 בגבולות התיקרות / </v>
          </cell>
          <cell r="Y55">
            <v>12</v>
          </cell>
          <cell r="AJ55" t="str">
            <v xml:space="preserve"> </v>
          </cell>
        </row>
        <row r="56">
          <cell r="P56">
            <v>36023</v>
          </cell>
          <cell r="Q56">
            <v>20179</v>
          </cell>
          <cell r="W56" t="str">
            <v xml:space="preserve"> תוצאה שלילית תועבר לדו"ח בשורה 16:</v>
          </cell>
          <cell r="AJ56" t="str">
            <v>בכבוד רב,</v>
          </cell>
          <cell r="BE56" t="str">
            <v>תשלום מקדמות עודפות בגין השנה:</v>
          </cell>
        </row>
        <row r="57">
          <cell r="V57" t="str">
            <v>מנהל</v>
          </cell>
          <cell r="Y57" t="str">
            <v>מנהל</v>
          </cell>
          <cell r="AY57">
            <v>-12.569561514798675</v>
          </cell>
          <cell r="AZ57">
            <v>0.17649999999999999</v>
          </cell>
          <cell r="BA57">
            <v>0.16006692693809277</v>
          </cell>
          <cell r="BC57">
            <v>-13.860000000000001</v>
          </cell>
          <cell r="BF57" t="str">
            <v>25/02/98</v>
          </cell>
        </row>
        <row r="58">
          <cell r="L58" t="str">
            <v>.2</v>
          </cell>
          <cell r="P58">
            <v>0</v>
          </cell>
          <cell r="X58" t="str">
            <v>:הערה</v>
          </cell>
          <cell r="AY58">
            <v>-70.122179451315333</v>
          </cell>
          <cell r="AZ58">
            <v>0.17649999999999999</v>
          </cell>
          <cell r="BA58">
            <v>0.1571627260083448</v>
          </cell>
          <cell r="BC58">
            <v>-78.750000000000014</v>
          </cell>
          <cell r="BF58" t="str">
            <v>24/03/98</v>
          </cell>
        </row>
        <row r="59">
          <cell r="X59" t="str">
            <v xml:space="preserve">יש לשים לב לכך, שפרט לסכומים בשורות 3 ו - 6 שיש לרשמם תמיד בסוגריים - יתר הסכומים המבטאים הון, תיאומי הון ושינויים נטו </v>
          </cell>
          <cell r="AY59">
            <v>-20.201476544561267</v>
          </cell>
          <cell r="AZ59">
            <v>0.17649999999999999</v>
          </cell>
          <cell r="BA59">
            <v>0.11319240032111311</v>
          </cell>
          <cell r="BC59">
            <v>-31.500000000000004</v>
          </cell>
          <cell r="BF59" t="str">
            <v>20/04/98</v>
          </cell>
        </row>
        <row r="60">
          <cell r="X60" t="str">
            <v xml:space="preserve">עשויים להיות גם בסיכום שליליברשימות המתאימות או בדו"ח השותפות. </v>
          </cell>
          <cell r="AY60">
            <v>-19.037807262765394</v>
          </cell>
          <cell r="AZ60">
            <v>0.17649999999999999</v>
          </cell>
          <cell r="BA60">
            <v>0.14222954420648004</v>
          </cell>
          <cell r="BC60">
            <v>-23.625000000000004</v>
          </cell>
          <cell r="BF60" t="str">
            <v>24/05/98</v>
          </cell>
        </row>
        <row r="61">
          <cell r="X61" t="str">
            <v>אי לכך בנספח זה, יש להקפיד ולרשום בסוגריים  כל סיכום המתקבל כסכום שלילי.</v>
          </cell>
          <cell r="AJ61" t="str">
            <v>קסלמן וקסלמן</v>
          </cell>
          <cell r="AY61">
            <v>-30.684488051553885</v>
          </cell>
          <cell r="AZ61">
            <v>0.17649999999999999</v>
          </cell>
          <cell r="BA61">
            <v>0.137544435329505</v>
          </cell>
          <cell r="BC61">
            <v>-39.375000000000007</v>
          </cell>
          <cell r="BF61" t="str">
            <v>24/06/98</v>
          </cell>
        </row>
        <row r="62">
          <cell r="AB62">
            <v>26788</v>
          </cell>
          <cell r="AG62" t="str">
            <v>סה"כ סכום ההון: (סיכום שלילי יירשם בסוגריים)</v>
          </cell>
          <cell r="AJ62" t="str">
            <v>רואי חשבון</v>
          </cell>
          <cell r="AN62">
            <v>65663.821200000006</v>
          </cell>
          <cell r="AO62" t="str">
            <v>סה"כ סכום הנכסים הקבועים:</v>
          </cell>
          <cell r="AY62">
            <v>-24.04918329214636</v>
          </cell>
          <cell r="AZ62">
            <v>0.17649999999999999</v>
          </cell>
          <cell r="BA62">
            <v>0.13475177304964547</v>
          </cell>
          <cell r="BC62">
            <v>-31.500000000000004</v>
          </cell>
          <cell r="BF62" t="str">
            <v>26/07/98</v>
          </cell>
          <cell r="BH62">
            <v>36023</v>
          </cell>
          <cell r="BI62">
            <v>29568.382999999998</v>
          </cell>
          <cell r="BJ62" t="str">
            <v>ראה מכתבנו מיום</v>
          </cell>
          <cell r="BK62" t="str">
            <v>סה"כ תאומי ההון: (סיכום שלילי יירשם בסוגריים)</v>
          </cell>
        </row>
        <row r="63">
          <cell r="AY63">
            <v>-68.687087546705385</v>
          </cell>
          <cell r="AZ63">
            <v>0.17649999999999999</v>
          </cell>
          <cell r="BA63">
            <v>0.12828858150257672</v>
          </cell>
          <cell r="BC63">
            <v>-94.5</v>
          </cell>
          <cell r="BF63" t="str">
            <v>17/08/98</v>
          </cell>
          <cell r="BH63" t="str">
            <v>קסלמן וקסלמן רו"ח</v>
          </cell>
        </row>
        <row r="64">
          <cell r="L64" t="str">
            <v>ראה מכתבנו מיום</v>
          </cell>
          <cell r="AJ64" t="str">
            <v xml:space="preserve"> </v>
          </cell>
          <cell r="AY64">
            <v>-29.644369347276591</v>
          </cell>
          <cell r="AZ64">
            <v>0.17649999999999999</v>
          </cell>
          <cell r="BA64">
            <v>8.3051288726893935E-2</v>
          </cell>
          <cell r="BC64">
            <v>-62.999999999999993</v>
          </cell>
          <cell r="BF64" t="str">
            <v>15/09/98</v>
          </cell>
          <cell r="BN64" t="str">
            <v>חותמת המייצג לשם זהוי:</v>
          </cell>
        </row>
        <row r="65">
          <cell r="AY65">
            <v>2.6126923779782443</v>
          </cell>
          <cell r="AZ65">
            <v>0.17649999999999999</v>
          </cell>
          <cell r="BA65">
            <v>-9.7595810521303727E-3</v>
          </cell>
          <cell r="BC65">
            <v>-47.25</v>
          </cell>
          <cell r="BF65" t="str">
            <v>15/10/98</v>
          </cell>
          <cell r="BS65" t="str">
            <v>קסלמן וקסלמן רו"ח</v>
          </cell>
        </row>
        <row r="66">
          <cell r="O66" t="str">
            <v>קסלמן וקסלמן רו"ח</v>
          </cell>
          <cell r="T66" t="str">
            <v xml:space="preserve">חותמת המייצג לשם זהוי: </v>
          </cell>
          <cell r="X66" t="str">
            <v xml:space="preserve">:חתימת המנהלים </v>
          </cell>
          <cell r="AY66">
            <v>0.19263999695580428</v>
          </cell>
          <cell r="AZ66">
            <v>0.17649999999999999</v>
          </cell>
          <cell r="BA66">
            <v>-2.1587910769967911E-3</v>
          </cell>
          <cell r="BC66">
            <v>-15.749999999999998</v>
          </cell>
          <cell r="BF66" t="str">
            <v>24/11/98</v>
          </cell>
        </row>
        <row r="67">
          <cell r="AX67" t="str">
            <v>7TG</v>
          </cell>
          <cell r="AY67">
            <v>1.4719636136825172</v>
          </cell>
          <cell r="AZ67">
            <v>0.17649999999999999</v>
          </cell>
          <cell r="BA67">
            <v>-5.4984460913219957E-3</v>
          </cell>
          <cell r="BC67">
            <v>-47.25</v>
          </cell>
          <cell r="BF67" t="str">
            <v>23/12/98</v>
          </cell>
        </row>
        <row r="68">
          <cell r="O68" t="str">
            <v>1TG</v>
          </cell>
          <cell r="AM68" t="str">
            <v>6tg</v>
          </cell>
          <cell r="AY68">
            <v>0</v>
          </cell>
          <cell r="AZ68">
            <v>0.17649999999999999</v>
          </cell>
          <cell r="BA68">
            <v>0</v>
          </cell>
          <cell r="BC68">
            <v>-55.838999999999999</v>
          </cell>
          <cell r="BF68" t="str">
            <v>31/12/98</v>
          </cell>
        </row>
        <row r="69">
          <cell r="BR69">
            <v>36037</v>
          </cell>
          <cell r="BS69" t="str">
            <v>ראה מכתבנו מיום</v>
          </cell>
        </row>
        <row r="71">
          <cell r="BC71">
            <v>-542.19900000000007</v>
          </cell>
        </row>
        <row r="72">
          <cell r="T72" t="str">
            <v>2tg</v>
          </cell>
          <cell r="AT72">
            <v>68.174000000000007</v>
          </cell>
          <cell r="AV72">
            <v>-68.174000000000007</v>
          </cell>
          <cell r="AX72">
            <v>-16258.099163942479</v>
          </cell>
          <cell r="BB72">
            <v>-68.174000000000007</v>
          </cell>
          <cell r="BC72" t="str">
            <v>קזוז רווח ראלי מהפסד הון</v>
          </cell>
          <cell r="BE72" t="str">
            <v>סה"כ</v>
          </cell>
        </row>
        <row r="74">
          <cell r="AZ74" t="str">
            <v>סה"כ נטו שנויים בהון ובנכסים במשך השנה:</v>
          </cell>
        </row>
        <row r="75">
          <cell r="AX75">
            <v>123638.39060872243</v>
          </cell>
        </row>
        <row r="76">
          <cell r="T76" t="str">
            <v>ערוצי זהב ושות'</v>
          </cell>
        </row>
        <row r="77">
          <cell r="T77" t="str">
            <v>שותפות רשומה</v>
          </cell>
        </row>
        <row r="78">
          <cell r="T78" t="str">
            <v>פרוטים</v>
          </cell>
          <cell r="BD78" t="str">
            <v>דיבידנד ששולם למעט מתוך דיבידנד שנתקבל</v>
          </cell>
        </row>
        <row r="79">
          <cell r="T79" t="str">
            <v>דוח רווח והפסד מותאם לצרכי מס הכנסה</v>
          </cell>
        </row>
        <row r="80">
          <cell r="T80" t="str">
            <v>לשנת המס 1998</v>
          </cell>
        </row>
        <row r="82">
          <cell r="AA82" t="str">
            <v>נסיעות</v>
          </cell>
          <cell r="AC82" t="str">
            <v>השתתפות</v>
          </cell>
        </row>
        <row r="83">
          <cell r="V83" t="str">
            <v>סה"כ</v>
          </cell>
          <cell r="X83" t="str">
            <v>רכב</v>
          </cell>
          <cell r="AA83" t="str">
            <v>לחו"ל</v>
          </cell>
          <cell r="AC83" t="str">
            <v>בהוצאות</v>
          </cell>
        </row>
        <row r="85">
          <cell r="V85">
            <v>3727.1759999999999</v>
          </cell>
          <cell r="X85">
            <v>3560.145</v>
          </cell>
          <cell r="AA85">
            <v>167.03100000000001</v>
          </cell>
          <cell r="AD85" t="str">
            <v>תפעול</v>
          </cell>
        </row>
        <row r="87">
          <cell r="V87">
            <v>180.64</v>
          </cell>
          <cell r="X87">
            <v>180.64</v>
          </cell>
          <cell r="AD87" t="str">
            <v>מכירה</v>
          </cell>
        </row>
        <row r="89">
          <cell r="V89">
            <v>762.74599999999998</v>
          </cell>
          <cell r="X89">
            <v>762.74599999999998</v>
          </cell>
          <cell r="AD89" t="str">
            <v>הנהלה</v>
          </cell>
        </row>
        <row r="91">
          <cell r="V91">
            <v>4670.5619999999999</v>
          </cell>
          <cell r="X91">
            <v>4503.5309999999999</v>
          </cell>
          <cell r="AA91">
            <v>167.03100000000001</v>
          </cell>
          <cell r="AC91">
            <v>0</v>
          </cell>
        </row>
        <row r="93">
          <cell r="V93">
            <v>0</v>
          </cell>
          <cell r="X93">
            <v>0</v>
          </cell>
          <cell r="AC93">
            <v>0</v>
          </cell>
          <cell r="AD93" t="str">
            <v>פחות פחת</v>
          </cell>
        </row>
        <row r="95">
          <cell r="V95">
            <v>4503.5309999999999</v>
          </cell>
          <cell r="X95">
            <v>4503.5309999999999</v>
          </cell>
          <cell r="AC95">
            <v>0</v>
          </cell>
        </row>
        <row r="96">
          <cell r="AD96" t="str">
            <v>הוון</v>
          </cell>
        </row>
        <row r="98">
          <cell r="V98">
            <v>4503.5309999999999</v>
          </cell>
          <cell r="X98">
            <v>4503.5309999999999</v>
          </cell>
          <cell r="AC98">
            <v>0</v>
          </cell>
          <cell r="AD98" t="str">
            <v>סה"כ הוצ'</v>
          </cell>
        </row>
        <row r="100">
          <cell r="AA100">
            <v>-157.4935299</v>
          </cell>
          <cell r="AD100" t="str">
            <v>מוכר</v>
          </cell>
        </row>
        <row r="102">
          <cell r="AA102">
            <v>9.5374701000000073</v>
          </cell>
          <cell r="AD102" t="str">
            <v>מעל למוכר</v>
          </cell>
        </row>
        <row r="104">
          <cell r="AD104" t="str">
            <v>הוצאות לא מוכרות</v>
          </cell>
        </row>
        <row r="105">
          <cell r="AC105">
            <v>27.323</v>
          </cell>
          <cell r="AE105" t="str">
            <v>בגוד</v>
          </cell>
        </row>
        <row r="106">
          <cell r="AC106">
            <v>88.558000000000007</v>
          </cell>
          <cell r="AE106" t="str">
            <v>כבודים</v>
          </cell>
        </row>
        <row r="107">
          <cell r="AC107">
            <v>0</v>
          </cell>
          <cell r="AD107" t="str">
            <v>טיולים ,מסיבות נופש,פרסים,נק' זהב</v>
          </cell>
        </row>
        <row r="108">
          <cell r="AC108">
            <v>1.446</v>
          </cell>
          <cell r="AE108" t="str">
            <v>מתנות</v>
          </cell>
        </row>
        <row r="109">
          <cell r="AC109">
            <v>0</v>
          </cell>
          <cell r="AE109" t="str">
            <v>חיוב טל"מ</v>
          </cell>
        </row>
        <row r="110">
          <cell r="AC110">
            <v>0</v>
          </cell>
          <cell r="AE110" t="str">
            <v>שווי</v>
          </cell>
        </row>
        <row r="111">
          <cell r="AC111">
            <v>0</v>
          </cell>
          <cell r="AD111" t="str">
            <v>שווי בכירים</v>
          </cell>
        </row>
        <row r="112">
          <cell r="AC112">
            <v>42.567</v>
          </cell>
          <cell r="AD112" t="str">
            <v>כבוד מחוץ לעסק</v>
          </cell>
        </row>
        <row r="114">
          <cell r="AC114">
            <v>159.89400000000001</v>
          </cell>
        </row>
        <row r="116">
          <cell r="AB116" t="str">
            <v>בדיקת "מעגל" רכוש</v>
          </cell>
        </row>
        <row r="117">
          <cell r="T117">
            <v>-26663.710000000006</v>
          </cell>
          <cell r="V117" t="str">
            <v xml:space="preserve"> בקורת תוספות רכוש קבוע</v>
          </cell>
          <cell r="AA117" t="str">
            <v>מס</v>
          </cell>
          <cell r="AC117" t="str">
            <v>ספרים</v>
          </cell>
        </row>
        <row r="118">
          <cell r="T118" t="str">
            <v>====</v>
          </cell>
          <cell r="AA118">
            <v>120746</v>
          </cell>
          <cell r="AC118">
            <v>122451.887</v>
          </cell>
          <cell r="AD118" t="str">
            <v>י.פ. רכוש קבוע</v>
          </cell>
        </row>
        <row r="119">
          <cell r="AA119">
            <v>45571.370999999999</v>
          </cell>
          <cell r="AC119">
            <v>45571.370999999999</v>
          </cell>
          <cell r="AD119" t="str">
            <v>רכישות השנה</v>
          </cell>
        </row>
        <row r="120">
          <cell r="O120">
            <v>11</v>
          </cell>
          <cell r="Q120">
            <v>11</v>
          </cell>
          <cell r="S120">
            <v>1</v>
          </cell>
          <cell r="T120">
            <v>9</v>
          </cell>
          <cell r="U120">
            <v>9</v>
          </cell>
          <cell r="V120">
            <v>9</v>
          </cell>
          <cell r="W120">
            <v>9</v>
          </cell>
          <cell r="X120">
            <v>9</v>
          </cell>
          <cell r="Y120">
            <v>1</v>
          </cell>
          <cell r="AA120">
            <v>-322.38900000000001</v>
          </cell>
          <cell r="AC120">
            <v>-322.38900000000001</v>
          </cell>
          <cell r="AD120" t="str">
            <v>תמורה ממכירת רכוש</v>
          </cell>
        </row>
        <row r="121">
          <cell r="T121">
            <v>0</v>
          </cell>
          <cell r="AA121">
            <v>23.48</v>
          </cell>
          <cell r="AC121">
            <v>533.00199999999995</v>
          </cell>
          <cell r="AD121" t="str">
            <v>רווח הון</v>
          </cell>
        </row>
        <row r="122">
          <cell r="AA122">
            <v>-17094.646000000001</v>
          </cell>
          <cell r="AC122">
            <v>0</v>
          </cell>
          <cell r="AD122" t="str">
            <v>פחת השנה</v>
          </cell>
        </row>
        <row r="123">
          <cell r="T123">
            <v>0</v>
          </cell>
          <cell r="AA123">
            <v>-1216.1489999999999</v>
          </cell>
          <cell r="AC123">
            <v>-1216.1489999999999</v>
          </cell>
          <cell r="AD123" t="str">
            <v>גריעת שלוחות וממירים</v>
          </cell>
        </row>
        <row r="124">
          <cell r="T124">
            <v>533.00199999999995</v>
          </cell>
          <cell r="V124" t="str">
            <v>רווח(הפסד)</v>
          </cell>
          <cell r="AA124">
            <v>147707.66699999999</v>
          </cell>
          <cell r="AC124">
            <v>167017.72200000001</v>
          </cell>
          <cell r="AD124" t="str">
            <v>י.ס. רכוש קבוע</v>
          </cell>
        </row>
        <row r="125">
          <cell r="V125" t="str">
            <v>נטרול הוצאות נתוק והפעלה</v>
          </cell>
          <cell r="AA125">
            <v>-32240.375999999989</v>
          </cell>
          <cell r="AC125">
            <v>-21917.114999999991</v>
          </cell>
          <cell r="AD125" t="str">
            <v>הפרש</v>
          </cell>
        </row>
        <row r="126">
          <cell r="T126">
            <v>-1216.1489999999999</v>
          </cell>
          <cell r="V126" t="str">
            <v>נטרול מחיקת ממירים</v>
          </cell>
          <cell r="AC126" t="str">
            <v>בדיקת סבירות ניכוי בשל פחת</v>
          </cell>
        </row>
        <row r="127">
          <cell r="T127">
            <v>-683.14699999999993</v>
          </cell>
          <cell r="V127" t="str">
            <v>תמורה</v>
          </cell>
        </row>
        <row r="128">
          <cell r="T128">
            <v>1005.5359999999999</v>
          </cell>
          <cell r="V128" t="str">
            <v>בקורת תמורה</v>
          </cell>
          <cell r="AA128">
            <v>0.58641713834859865</v>
          </cell>
          <cell r="AB128" t="str">
            <v>=</v>
          </cell>
          <cell r="AC128">
            <v>17094.646000000001</v>
          </cell>
          <cell r="AD128" t="str">
            <v>פחת למס 98=</v>
          </cell>
        </row>
        <row r="129">
          <cell r="T129">
            <v>322.38900000000001</v>
          </cell>
          <cell r="V129" t="str">
            <v>לפי טופס 1392</v>
          </cell>
          <cell r="AC129">
            <v>29151</v>
          </cell>
          <cell r="AD129" t="str">
            <v>פחת למס 97</v>
          </cell>
        </row>
        <row r="137">
          <cell r="AC137">
            <v>0.58641713834859865</v>
          </cell>
        </row>
        <row r="138">
          <cell r="AC138" t="e">
            <v>#VALUE!</v>
          </cell>
        </row>
        <row r="139">
          <cell r="AC139">
            <v>-17094.646000000001</v>
          </cell>
          <cell r="AD139" t="str">
            <v>פחת נומינלי השנה</v>
          </cell>
        </row>
        <row r="141">
          <cell r="AC141" t="e">
            <v>#VALUE!</v>
          </cell>
          <cell r="AD141" t="str">
            <v>ניכוי בשל פחת חזוי</v>
          </cell>
        </row>
        <row r="142">
          <cell r="AC142">
            <v>8384.4030000000002</v>
          </cell>
          <cell r="AD142" t="str">
            <v>ניכוי בשל פחת בספרים</v>
          </cell>
        </row>
        <row r="143">
          <cell r="AA143" t="e">
            <v>#VALUE!</v>
          </cell>
          <cell r="AC143" t="e">
            <v>#VALUE!</v>
          </cell>
          <cell r="AD143" t="str">
            <v>הפרש</v>
          </cell>
        </row>
        <row r="144">
          <cell r="Z144" t="str">
            <v>10TG</v>
          </cell>
        </row>
        <row r="147">
          <cell r="V147">
            <v>4503.5309999999999</v>
          </cell>
          <cell r="AA147" t="str">
            <v>|הוצאות אחזקת רכב בספרים לא כולל פחת</v>
          </cell>
        </row>
        <row r="148">
          <cell r="V148">
            <v>0</v>
          </cell>
          <cell r="AA148" t="str">
            <v>פחת כלי רכב לפי טופס י"א</v>
          </cell>
        </row>
        <row r="149">
          <cell r="AA149" t="str">
            <v>חויב כהכנסת עבודה בידי העובדים</v>
          </cell>
        </row>
        <row r="150">
          <cell r="V150">
            <v>-4103.1670941000002</v>
          </cell>
          <cell r="AA150" t="str">
            <v>הוצאות מוכרות על פי התקנות</v>
          </cell>
        </row>
        <row r="151">
          <cell r="T151">
            <v>400.36390589999974</v>
          </cell>
        </row>
        <row r="165">
          <cell r="AX165">
            <v>9</v>
          </cell>
        </row>
        <row r="169">
          <cell r="AA169">
            <v>9</v>
          </cell>
          <cell r="AL169">
            <v>10</v>
          </cell>
          <cell r="AM169">
            <v>9</v>
          </cell>
          <cell r="AN169">
            <v>9</v>
          </cell>
          <cell r="AO169">
            <v>9</v>
          </cell>
          <cell r="AQ169">
            <v>9</v>
          </cell>
          <cell r="AR169">
            <v>9</v>
          </cell>
          <cell r="AS169">
            <v>9</v>
          </cell>
          <cell r="AT169" t="str">
            <v xml:space="preserve">  |</v>
          </cell>
          <cell r="AU169" t="str">
            <v xml:space="preserve">    |</v>
          </cell>
          <cell r="AV169">
            <v>1</v>
          </cell>
          <cell r="AW169">
            <v>12</v>
          </cell>
        </row>
        <row r="170">
          <cell r="AA170" t="str">
            <v xml:space="preserve"> </v>
          </cell>
          <cell r="AL170" t="str">
            <v xml:space="preserve">       פירוט חישוב הנכסים הקבועים של החברה :‎7 מצורפת לנספח ‎3 'רשימה מס</v>
          </cell>
          <cell r="AT170" t="str">
            <v xml:space="preserve">  |</v>
          </cell>
          <cell r="AU170" t="str">
            <v xml:space="preserve">    |</v>
          </cell>
          <cell r="AX170" t="str">
            <v>עורק שרותי מידע מקומי בע"מ</v>
          </cell>
        </row>
        <row r="171">
          <cell r="AA171" t="str">
            <v xml:space="preserve"> </v>
          </cell>
          <cell r="AT171" t="str">
            <v xml:space="preserve">  |</v>
          </cell>
          <cell r="AU171" t="str">
            <v xml:space="preserve">    |</v>
          </cell>
          <cell r="AW171" t="str">
            <v xml:space="preserve">       פירוט חישוב תאומי ההון  </v>
          </cell>
          <cell r="AX171" t="str">
            <v>מממממממממממ</v>
          </cell>
        </row>
        <row r="172">
          <cell r="AT172" t="str">
            <v xml:space="preserve">  |</v>
          </cell>
          <cell r="AU172" t="str">
            <v xml:space="preserve">    |</v>
          </cell>
          <cell r="AV172" t="str">
            <v xml:space="preserve"> </v>
          </cell>
          <cell r="AW172" t="str">
            <v xml:space="preserve">       ממממממממממ</v>
          </cell>
        </row>
        <row r="173">
          <cell r="AA173" t="str">
            <v xml:space="preserve"> </v>
          </cell>
          <cell r="AM173" t="str">
            <v xml:space="preserve">      עורק שרותי מידע מקומי בע"מ</v>
          </cell>
          <cell r="AO173" t="str">
            <v>:(שם החברה (או האגודה השיתופית</v>
          </cell>
          <cell r="AT173" t="str">
            <v xml:space="preserve">  |</v>
          </cell>
          <cell r="AU173" t="str">
            <v xml:space="preserve">    |</v>
          </cell>
          <cell r="AV173" t="str">
            <v xml:space="preserve"> </v>
          </cell>
        </row>
        <row r="174">
          <cell r="AA174" t="str">
            <v xml:space="preserve">         ההון של ,‎1985-לתוספת א לחוק מס הכנסה (תאומים בשל אינפלציה) התשמ"ה ‎1 לפי סעיף</v>
          </cell>
          <cell r="AM174" t="str">
            <v>מממממממממממ</v>
          </cell>
          <cell r="AN174" t="str">
            <v>מממממממממממ</v>
          </cell>
          <cell r="AT174" t="str">
            <v xml:space="preserve">  |</v>
          </cell>
          <cell r="AU174" t="str">
            <v xml:space="preserve">    |</v>
          </cell>
          <cell r="AV174" t="str">
            <v xml:space="preserve">    1994 :שנת המס  </v>
          </cell>
        </row>
        <row r="175">
          <cell r="AT175" t="str">
            <v xml:space="preserve">  |</v>
          </cell>
          <cell r="AU175" t="str">
            <v xml:space="preserve">    |</v>
          </cell>
          <cell r="AV175" t="str">
            <v xml:space="preserve"> </v>
          </cell>
          <cell r="AX175" t="str">
            <v>_</v>
          </cell>
        </row>
        <row r="176">
          <cell r="AA176" t="str">
            <v xml:space="preserve"> </v>
          </cell>
          <cell r="AT176" t="str">
            <v xml:space="preserve">  |</v>
          </cell>
          <cell r="AU176" t="str">
            <v xml:space="preserve">    |</v>
          </cell>
          <cell r="AV176" t="str">
            <v xml:space="preserve">  תאומי ,‎1985-לתוספת  א לחוק  מס  הכנסה (תאומים בשל אינפלציה) התשמ"ה  ‎3  לפי סעיף</v>
          </cell>
          <cell r="AX176" t="str">
            <v xml:space="preserve">תאור הרישומים,היתרות,ההפקדות או הפעולות    |  </v>
          </cell>
          <cell r="AY176">
            <v>9</v>
          </cell>
          <cell r="AZ176">
            <v>9</v>
          </cell>
          <cell r="BA176">
            <v>9</v>
          </cell>
          <cell r="BB176" t="str">
            <v>|</v>
          </cell>
        </row>
        <row r="177">
          <cell r="AT177" t="str">
            <v xml:space="preserve">  |</v>
          </cell>
          <cell r="AU177" t="str">
            <v xml:space="preserve">    |</v>
          </cell>
          <cell r="AX177" t="str">
            <v xml:space="preserve">                       המחיבים תאום הון    |</v>
          </cell>
          <cell r="BB177" t="str">
            <v>|</v>
          </cell>
        </row>
        <row r="178">
          <cell r="AA178" t="str">
            <v xml:space="preserve">        ³</v>
          </cell>
          <cell r="AL178" t="str">
            <v>מ</v>
          </cell>
          <cell r="AM178" t="str">
            <v>מ|ממממממממממ</v>
          </cell>
          <cell r="AN178" t="str">
            <v>מ</v>
          </cell>
          <cell r="AO178" t="str">
            <v>ממממממממממממממממ|ממ</v>
          </cell>
          <cell r="AR178" t="str">
            <v>מ</v>
          </cell>
          <cell r="AS178" t="str">
            <v>ממ³</v>
          </cell>
          <cell r="AT178" t="str">
            <v xml:space="preserve">  |</v>
          </cell>
          <cell r="AU178" t="str">
            <v xml:space="preserve">    |</v>
          </cell>
          <cell r="AV178" t="str">
            <v xml:space="preserve"> </v>
          </cell>
          <cell r="AX178" t="str">
            <v>___________________</v>
          </cell>
          <cell r="BB178" t="str">
            <v>|</v>
          </cell>
        </row>
        <row r="179">
          <cell r="AA179" t="str">
            <v xml:space="preserve">        ³ תאור פריט לפי הרשום במאזן בתום שנת המס הקודמת³      הסכום     ³               </v>
          </cell>
          <cell r="AL179" t="str">
            <v xml:space="preserve">           ³                                                  ³    סעיף קטן³</v>
          </cell>
          <cell r="AN179" t="str">
            <v xml:space="preserve">תאור הנכסים הקבועים, לפי הרשום במאזן לתום  |  </v>
          </cell>
          <cell r="AR179" t="str">
            <v xml:space="preserve"> סעיף קטן</v>
          </cell>
          <cell r="AS179" t="str">
            <v xml:space="preserve">  |</v>
          </cell>
          <cell r="AT179" t="str">
            <v xml:space="preserve">  |</v>
          </cell>
          <cell r="AU179" t="str">
            <v xml:space="preserve">    |</v>
          </cell>
          <cell r="AW179" t="str">
            <v>_</v>
          </cell>
          <cell r="BB179" t="str">
            <v>|</v>
          </cell>
        </row>
        <row r="180">
          <cell r="AA180" t="str">
            <v xml:space="preserve">        ³</v>
          </cell>
          <cell r="AN180" t="str">
            <v xml:space="preserve">                           שנת המס הקודמת  |</v>
          </cell>
          <cell r="AR180" t="str">
            <v xml:space="preserve">  בהגדרה</v>
          </cell>
          <cell r="AS180" t="str">
            <v xml:space="preserve">  |</v>
          </cell>
          <cell r="AT180" t="str">
            <v xml:space="preserve">  |</v>
          </cell>
          <cell r="AU180" t="str">
            <v xml:space="preserve">    |</v>
          </cell>
          <cell r="AV180" t="str">
            <v xml:space="preserve">³                  ³         תאור הרישומים, היתרות, ההפקדות או      </v>
          </cell>
          <cell r="AW180" t="str">
            <v xml:space="preserve">             ³                                                  ³    סעיף קטן³</v>
          </cell>
          <cell r="AX180" t="str">
            <v xml:space="preserve"> סכום שנרשם בספרים כהוצאה אך לא הוצא</v>
          </cell>
          <cell r="BB180" t="str">
            <v>|</v>
          </cell>
        </row>
        <row r="181">
          <cell r="AA181" t="str">
            <v xml:space="preserve">        ³</v>
          </cell>
          <cell r="AL181" t="str">
            <v>מ</v>
          </cell>
          <cell r="AN181" t="str">
            <v>מ</v>
          </cell>
          <cell r="AO181" t="str">
            <v>ממממממממממממממממ|ממ</v>
          </cell>
          <cell r="AR181" t="str">
            <v>מ</v>
          </cell>
          <cell r="AS181" t="str">
            <v>ממ³</v>
          </cell>
          <cell r="AT181" t="str">
            <v xml:space="preserve">  |</v>
          </cell>
          <cell r="AU181" t="str">
            <v xml:space="preserve">    |</v>
          </cell>
          <cell r="AV181" t="str">
            <v>³     לזיהוי הפריט³                                                  ³        הסכום³</v>
          </cell>
          <cell r="AW181" t="str">
            <v xml:space="preserve">  לזיהוי הפריט³                                                  ³      הסכום³</v>
          </cell>
          <cell r="AX181" t="str">
            <v>מ</v>
          </cell>
          <cell r="BB181" t="str">
            <v>|</v>
          </cell>
        </row>
        <row r="182">
          <cell r="AA182" t="str">
            <v xml:space="preserve">        ³</v>
          </cell>
          <cell r="AQ182" t="str">
            <v xml:space="preserve">       |</v>
          </cell>
          <cell r="AS182" t="str">
            <v xml:space="preserve">  |</v>
          </cell>
          <cell r="AT182" t="str">
            <v xml:space="preserve">  |</v>
          </cell>
          <cell r="AU182" t="str">
            <v xml:space="preserve">    |</v>
          </cell>
          <cell r="AV182" t="str">
            <v>³____________________</v>
          </cell>
          <cell r="AW182" t="str">
            <v>____________________</v>
          </cell>
          <cell r="AX182" t="str">
            <v xml:space="preserve"> בפועל ולא הותר בנכוי לענין חישוב </v>
          </cell>
          <cell r="AY182" t="str">
            <v>מממממממממ</v>
          </cell>
          <cell r="BB182" t="str">
            <v>|</v>
          </cell>
        </row>
        <row r="183">
          <cell r="AA183" t="str">
            <v xml:space="preserve">        ³</v>
          </cell>
          <cell r="AO183" t="str">
            <v>ממממממממממממממממ|ממ</v>
          </cell>
          <cell r="AR183" t="str">
            <v>מ</v>
          </cell>
          <cell r="AS183" t="str">
            <v>ממ³</v>
          </cell>
          <cell r="AT183" t="str">
            <v xml:space="preserve">  |</v>
          </cell>
          <cell r="AU183" t="str">
            <v xml:space="preserve">    |</v>
          </cell>
          <cell r="AV183" t="str">
            <v>³                  ³                                                  ³            ³</v>
          </cell>
          <cell r="AX183" t="str">
            <v>מ</v>
          </cell>
          <cell r="BB183" t="str">
            <v>|</v>
          </cell>
        </row>
        <row r="184">
          <cell r="AA184" t="str">
            <v xml:space="preserve">        ³</v>
          </cell>
          <cell r="AQ184" t="str">
            <v xml:space="preserve">       |</v>
          </cell>
          <cell r="AS184" t="str">
            <v xml:space="preserve">  |</v>
          </cell>
          <cell r="AT184" t="str">
            <v xml:space="preserve">  |</v>
          </cell>
          <cell r="AU184" t="str">
            <v xml:space="preserve">    |</v>
          </cell>
          <cell r="AV184" t="str">
            <v>³</v>
          </cell>
          <cell r="AX184" t="str">
            <v xml:space="preserve">ההכנסה החייבת </v>
          </cell>
          <cell r="AY184" t="str">
            <v xml:space="preserve">         :ההון של החברה מסתכם כמפורט להלן</v>
          </cell>
          <cell r="BB184" t="str">
            <v>|</v>
          </cell>
        </row>
        <row r="185">
          <cell r="AA185" t="str">
            <v xml:space="preserve">        ³</v>
          </cell>
          <cell r="AL185" t="str">
            <v>מ</v>
          </cell>
          <cell r="AN185" t="str">
            <v>מ</v>
          </cell>
          <cell r="AO185" t="str">
            <v>ממממממממממממממממ|ממ</v>
          </cell>
          <cell r="AR185" t="str">
            <v>מ</v>
          </cell>
          <cell r="AS185" t="str">
            <v>ממ³</v>
          </cell>
          <cell r="AT185" t="str">
            <v xml:space="preserve">  |</v>
          </cell>
          <cell r="AU185" t="str">
            <v xml:space="preserve">    |</v>
          </cell>
          <cell r="AV185" t="str">
            <v>³</v>
          </cell>
          <cell r="AW185" t="str">
            <v>מ</v>
          </cell>
          <cell r="AX185" t="str">
            <v>מ</v>
          </cell>
          <cell r="BB185" t="str">
            <v>|</v>
          </cell>
        </row>
        <row r="186">
          <cell r="AA186" t="str">
            <v xml:space="preserve">        ³</v>
          </cell>
          <cell r="AM186" t="str">
            <v xml:space="preserve"> |</v>
          </cell>
          <cell r="AQ186" t="str">
            <v xml:space="preserve">       |</v>
          </cell>
          <cell r="AS186" t="str">
            <v xml:space="preserve">  |</v>
          </cell>
          <cell r="AT186" t="str">
            <v xml:space="preserve">  |</v>
          </cell>
          <cell r="AU186" t="str">
            <v xml:space="preserve">    |</v>
          </cell>
          <cell r="AV186" t="str">
            <v>³</v>
          </cell>
          <cell r="AY186" t="str">
            <v>_</v>
          </cell>
          <cell r="AZ186" t="str">
            <v>_</v>
          </cell>
          <cell r="BA186" t="str">
            <v>__</v>
          </cell>
          <cell r="BB186" t="str">
            <v>|</v>
          </cell>
        </row>
        <row r="187">
          <cell r="AA187" t="str">
            <v xml:space="preserve">        ³</v>
          </cell>
          <cell r="AL187" t="str">
            <v>מ</v>
          </cell>
          <cell r="AM187" t="str">
            <v>מ|ממממממממממ</v>
          </cell>
          <cell r="AN187" t="str">
            <v>מ</v>
          </cell>
          <cell r="AO187" t="str">
            <v>ממממממממממממממממ|ממ</v>
          </cell>
          <cell r="AR187" t="str">
            <v>מ</v>
          </cell>
          <cell r="AS187" t="str">
            <v>ממ³</v>
          </cell>
          <cell r="AT187" t="str">
            <v xml:space="preserve">  |</v>
          </cell>
          <cell r="AU187" t="str">
            <v xml:space="preserve">    |</v>
          </cell>
          <cell r="AV187" t="str">
            <v>³</v>
          </cell>
          <cell r="AW187" t="str">
            <v>מ</v>
          </cell>
          <cell r="BA187" t="str">
            <v xml:space="preserve">  |</v>
          </cell>
          <cell r="BB187" t="str">
            <v>|</v>
          </cell>
        </row>
        <row r="188">
          <cell r="AA188" t="str">
            <v xml:space="preserve">        ³</v>
          </cell>
          <cell r="AM188" t="str">
            <v xml:space="preserve"> |</v>
          </cell>
          <cell r="AQ188" t="str">
            <v xml:space="preserve">       |</v>
          </cell>
          <cell r="AS188" t="str">
            <v xml:space="preserve">  |</v>
          </cell>
          <cell r="AT188" t="str">
            <v xml:space="preserve">  |</v>
          </cell>
          <cell r="AU188" t="str">
            <v xml:space="preserve">    |</v>
          </cell>
          <cell r="AV188" t="str">
            <v>³</v>
          </cell>
          <cell r="BA188" t="str">
            <v xml:space="preserve">  |</v>
          </cell>
          <cell r="BB188" t="str">
            <v>|</v>
          </cell>
        </row>
        <row r="189">
          <cell r="AA189" t="str">
            <v xml:space="preserve">        ³</v>
          </cell>
          <cell r="AL189" t="str">
            <v>מ</v>
          </cell>
          <cell r="AM189" t="str">
            <v>מ|ממממממממממ</v>
          </cell>
          <cell r="AN189" t="str">
            <v>מ</v>
          </cell>
          <cell r="AO189" t="str">
            <v>ממממממממממממממממ|ממ</v>
          </cell>
          <cell r="AR189" t="str">
            <v>מ</v>
          </cell>
          <cell r="AS189" t="str">
            <v>ממ³</v>
          </cell>
          <cell r="AT189" t="str">
            <v xml:space="preserve">  |</v>
          </cell>
          <cell r="AU189" t="str">
            <v xml:space="preserve">    |</v>
          </cell>
          <cell r="AV189" t="str">
            <v>³</v>
          </cell>
          <cell r="AW189" t="str">
            <v>מ</v>
          </cell>
          <cell r="AX189" t="str">
            <v>מ</v>
          </cell>
          <cell r="AY189" t="str">
            <v>_</v>
          </cell>
          <cell r="BA189" t="str">
            <v>__³</v>
          </cell>
          <cell r="BB189" t="str">
            <v>|</v>
          </cell>
        </row>
        <row r="190">
          <cell r="AA190" t="str">
            <v xml:space="preserve">        ³</v>
          </cell>
          <cell r="AM190" t="str">
            <v xml:space="preserve"> |</v>
          </cell>
          <cell r="AQ190" t="str">
            <v xml:space="preserve">       |</v>
          </cell>
          <cell r="AS190" t="str">
            <v xml:space="preserve">  |</v>
          </cell>
          <cell r="AT190" t="str">
            <v xml:space="preserve">  |</v>
          </cell>
          <cell r="AU190" t="str">
            <v xml:space="preserve">    |</v>
          </cell>
          <cell r="AV190" t="str">
            <v>³</v>
          </cell>
          <cell r="AZ190" t="str">
            <v xml:space="preserve">       ³</v>
          </cell>
          <cell r="BA190" t="str">
            <v xml:space="preserve">  ³</v>
          </cell>
          <cell r="BB190" t="str">
            <v>|</v>
          </cell>
        </row>
        <row r="191">
          <cell r="AA191" t="str">
            <v xml:space="preserve">        ³</v>
          </cell>
          <cell r="AL191" t="str">
            <v>מ</v>
          </cell>
          <cell r="AM191" t="str">
            <v>מ|ממממממממממ</v>
          </cell>
          <cell r="AN191" t="str">
            <v>מ</v>
          </cell>
          <cell r="AO191" t="str">
            <v>ממממממממממממממממ|ממ</v>
          </cell>
          <cell r="AR191" t="str">
            <v>מ</v>
          </cell>
          <cell r="AS191" t="str">
            <v>ממ³</v>
          </cell>
          <cell r="AT191" t="str">
            <v xml:space="preserve">  |</v>
          </cell>
          <cell r="AU191" t="str">
            <v xml:space="preserve">    |</v>
          </cell>
          <cell r="AV191" t="str">
            <v>³</v>
          </cell>
          <cell r="AX191" t="str">
            <v>מ</v>
          </cell>
          <cell r="AZ191" t="str">
            <v xml:space="preserve">       ³</v>
          </cell>
          <cell r="BA191" t="str">
            <v xml:space="preserve">  ³</v>
          </cell>
          <cell r="BB191" t="str">
            <v>|</v>
          </cell>
        </row>
        <row r="192">
          <cell r="AA192" t="str">
            <v xml:space="preserve">        ³</v>
          </cell>
          <cell r="AM192" t="str">
            <v xml:space="preserve"> |</v>
          </cell>
          <cell r="AQ192" t="str">
            <v xml:space="preserve">       |</v>
          </cell>
          <cell r="AS192" t="str">
            <v xml:space="preserve">  |</v>
          </cell>
          <cell r="AT192" t="str">
            <v xml:space="preserve">  |</v>
          </cell>
          <cell r="AU192" t="str">
            <v xml:space="preserve">    |</v>
          </cell>
          <cell r="AV192" t="str">
            <v>³</v>
          </cell>
          <cell r="AY192" t="str">
            <v>מ</v>
          </cell>
          <cell r="BA192" t="str">
            <v>ממ³</v>
          </cell>
          <cell r="BB192" t="str">
            <v>|</v>
          </cell>
        </row>
        <row r="193">
          <cell r="AA193" t="str">
            <v xml:space="preserve">        ³</v>
          </cell>
          <cell r="AL193" t="str">
            <v>מ</v>
          </cell>
          <cell r="AM193" t="str">
            <v>מ|ממממממממממ</v>
          </cell>
          <cell r="AN193" t="str">
            <v>מ</v>
          </cell>
          <cell r="AO193" t="str">
            <v>ממממממממממממממממ|ממ</v>
          </cell>
          <cell r="AR193" t="str">
            <v>מ</v>
          </cell>
          <cell r="AS193" t="str">
            <v>ממ³</v>
          </cell>
          <cell r="AT193" t="str">
            <v xml:space="preserve">  |</v>
          </cell>
          <cell r="AU193" t="str">
            <v xml:space="preserve">    |</v>
          </cell>
          <cell r="AV193" t="str">
            <v>³</v>
          </cell>
          <cell r="AW193" t="str">
            <v>מ</v>
          </cell>
          <cell r="AX193" t="str">
            <v>מ</v>
          </cell>
          <cell r="AZ193" t="str">
            <v xml:space="preserve">       ³</v>
          </cell>
          <cell r="BA193" t="str">
            <v xml:space="preserve">  ³</v>
          </cell>
          <cell r="BB193" t="str">
            <v>|</v>
          </cell>
        </row>
        <row r="194">
          <cell r="AA194" t="str">
            <v xml:space="preserve">        ³</v>
          </cell>
          <cell r="AM194" t="str">
            <v xml:space="preserve"> |</v>
          </cell>
          <cell r="AQ194" t="str">
            <v xml:space="preserve">       |</v>
          </cell>
          <cell r="AS194" t="str">
            <v xml:space="preserve">  |</v>
          </cell>
          <cell r="AT194" t="str">
            <v xml:space="preserve">  |</v>
          </cell>
          <cell r="AU194" t="str">
            <v xml:space="preserve">    |</v>
          </cell>
          <cell r="AV194" t="str">
            <v>³</v>
          </cell>
          <cell r="AY194" t="str">
            <v>מ</v>
          </cell>
          <cell r="BA194" t="str">
            <v>ממ³</v>
          </cell>
          <cell r="BB194" t="str">
            <v>|</v>
          </cell>
        </row>
        <row r="195">
          <cell r="AA195" t="str">
            <v xml:space="preserve">        ³</v>
          </cell>
          <cell r="AL195" t="str">
            <v>מ</v>
          </cell>
          <cell r="AM195" t="str">
            <v>מ|ממממממממממ</v>
          </cell>
          <cell r="AN195" t="str">
            <v>מ</v>
          </cell>
          <cell r="AO195" t="str">
            <v>ממממממממממממממממ|ממ</v>
          </cell>
          <cell r="AR195" t="str">
            <v>מ</v>
          </cell>
          <cell r="AS195" t="str">
            <v>ממ³</v>
          </cell>
          <cell r="AT195" t="str">
            <v xml:space="preserve">  |</v>
          </cell>
          <cell r="AU195" t="str">
            <v xml:space="preserve">    |</v>
          </cell>
          <cell r="AV195" t="str">
            <v>³</v>
          </cell>
          <cell r="AW195" t="str">
            <v>מ</v>
          </cell>
          <cell r="AX195" t="str">
            <v>מ</v>
          </cell>
          <cell r="AZ195" t="str">
            <v xml:space="preserve">       ³</v>
          </cell>
          <cell r="BA195" t="str">
            <v xml:space="preserve">  ³</v>
          </cell>
          <cell r="BB195" t="str">
            <v>|</v>
          </cell>
        </row>
        <row r="196">
          <cell r="AA196" t="str">
            <v xml:space="preserve">        ³</v>
          </cell>
          <cell r="AM196" t="str">
            <v xml:space="preserve"> |</v>
          </cell>
          <cell r="AQ196" t="str">
            <v xml:space="preserve">       |</v>
          </cell>
          <cell r="AS196" t="str">
            <v xml:space="preserve">  |</v>
          </cell>
          <cell r="AT196" t="str">
            <v xml:space="preserve">  |</v>
          </cell>
          <cell r="AU196" t="str">
            <v xml:space="preserve">    |</v>
          </cell>
          <cell r="AV196" t="str">
            <v>³</v>
          </cell>
          <cell r="AY196" t="str">
            <v>מ</v>
          </cell>
          <cell r="BA196" t="str">
            <v>ממ³</v>
          </cell>
          <cell r="BB196" t="str">
            <v>|</v>
          </cell>
        </row>
        <row r="197">
          <cell r="AA197" t="str">
            <v xml:space="preserve">        ³</v>
          </cell>
          <cell r="AL197" t="str">
            <v>מ</v>
          </cell>
          <cell r="AM197" t="str">
            <v>מ|ממממממממממ</v>
          </cell>
          <cell r="AN197" t="str">
            <v>מ</v>
          </cell>
          <cell r="AO197" t="str">
            <v>ממממממממממממממממ|ממ</v>
          </cell>
          <cell r="AR197" t="str">
            <v>מ</v>
          </cell>
          <cell r="AS197" t="str">
            <v>ממ³</v>
          </cell>
          <cell r="AT197" t="str">
            <v xml:space="preserve">  |</v>
          </cell>
          <cell r="AU197" t="str">
            <v xml:space="preserve">    |</v>
          </cell>
          <cell r="AV197" t="str">
            <v>³</v>
          </cell>
          <cell r="AW197" t="str">
            <v>מ</v>
          </cell>
          <cell r="AX197" t="str">
            <v>מ</v>
          </cell>
          <cell r="AZ197" t="str">
            <v xml:space="preserve">       ³</v>
          </cell>
          <cell r="BA197" t="str">
            <v xml:space="preserve">  ³</v>
          </cell>
          <cell r="BB197" t="str">
            <v>|</v>
          </cell>
        </row>
        <row r="198">
          <cell r="AA198" t="str">
            <v xml:space="preserve">        ³</v>
          </cell>
          <cell r="AM198" t="str">
            <v xml:space="preserve"> |</v>
          </cell>
          <cell r="AQ198" t="str">
            <v xml:space="preserve">       |</v>
          </cell>
          <cell r="AS198" t="str">
            <v xml:space="preserve">  |</v>
          </cell>
          <cell r="AT198" t="str">
            <v xml:space="preserve">  |</v>
          </cell>
          <cell r="AU198" t="str">
            <v xml:space="preserve">    |</v>
          </cell>
          <cell r="AV198" t="str">
            <v>³</v>
          </cell>
          <cell r="BA198" t="str">
            <v>ממ³</v>
          </cell>
          <cell r="BB198" t="str">
            <v>|</v>
          </cell>
        </row>
        <row r="199">
          <cell r="AA199" t="str">
            <v xml:space="preserve">        ³</v>
          </cell>
          <cell r="AL199" t="str">
            <v>מ</v>
          </cell>
          <cell r="AM199" t="str">
            <v>מ|ממממממממממ</v>
          </cell>
          <cell r="AN199" t="str">
            <v>מ</v>
          </cell>
          <cell r="AO199" t="str">
            <v>ממממממממממממממממ|ממ</v>
          </cell>
          <cell r="AR199" t="str">
            <v>מ</v>
          </cell>
          <cell r="AS199" t="str">
            <v>ממ³</v>
          </cell>
          <cell r="AT199" t="str">
            <v xml:space="preserve">  |</v>
          </cell>
          <cell r="AU199" t="str">
            <v xml:space="preserve">    |</v>
          </cell>
          <cell r="AV199" t="str">
            <v>³</v>
          </cell>
          <cell r="AW199" t="str">
            <v>מ</v>
          </cell>
          <cell r="AX199" t="str">
            <v>מ</v>
          </cell>
          <cell r="AZ199" t="str">
            <v xml:space="preserve">       ³</v>
          </cell>
          <cell r="BA199" t="str">
            <v xml:space="preserve">  ³</v>
          </cell>
          <cell r="BB199" t="str">
            <v>|</v>
          </cell>
        </row>
        <row r="200">
          <cell r="AA200" t="str">
            <v xml:space="preserve">        ³</v>
          </cell>
          <cell r="AM200" t="str">
            <v xml:space="preserve"> |</v>
          </cell>
          <cell r="AQ200" t="str">
            <v xml:space="preserve">       |</v>
          </cell>
          <cell r="AS200" t="str">
            <v xml:space="preserve">  |</v>
          </cell>
          <cell r="AT200" t="str">
            <v xml:space="preserve">  |</v>
          </cell>
          <cell r="AU200" t="str">
            <v xml:space="preserve">    |</v>
          </cell>
          <cell r="AV200" t="str">
            <v>³</v>
          </cell>
          <cell r="AY200" t="str">
            <v>מ</v>
          </cell>
          <cell r="BA200" t="str">
            <v>ממ³</v>
          </cell>
          <cell r="BB200" t="str">
            <v>|</v>
          </cell>
        </row>
        <row r="201">
          <cell r="AA201" t="str">
            <v xml:space="preserve">        ³</v>
          </cell>
          <cell r="AL201" t="str">
            <v>מ</v>
          </cell>
          <cell r="AM201" t="str">
            <v>מ|ממממממממממ</v>
          </cell>
          <cell r="AN201" t="str">
            <v>מ</v>
          </cell>
          <cell r="AO201" t="str">
            <v>ממממממממממממממממ|ממ</v>
          </cell>
          <cell r="AR201" t="str">
            <v>מ</v>
          </cell>
          <cell r="AS201" t="str">
            <v>ממ³</v>
          </cell>
          <cell r="AT201" t="str">
            <v xml:space="preserve">  |</v>
          </cell>
          <cell r="AU201" t="str">
            <v xml:space="preserve">    |</v>
          </cell>
          <cell r="AV201" t="str">
            <v>³</v>
          </cell>
          <cell r="AW201" t="str">
            <v>מ</v>
          </cell>
          <cell r="AX201" t="str">
            <v>מ</v>
          </cell>
          <cell r="AZ201" t="str">
            <v xml:space="preserve">       ³</v>
          </cell>
          <cell r="BA201" t="str">
            <v xml:space="preserve">  ³</v>
          </cell>
          <cell r="BB201" t="str">
            <v>|</v>
          </cell>
        </row>
        <row r="202">
          <cell r="AA202" t="str">
            <v xml:space="preserve">        ³</v>
          </cell>
          <cell r="AM202" t="str">
            <v xml:space="preserve"> |</v>
          </cell>
          <cell r="AQ202" t="str">
            <v xml:space="preserve">       |</v>
          </cell>
          <cell r="AS202" t="str">
            <v xml:space="preserve">  |</v>
          </cell>
          <cell r="AT202" t="str">
            <v xml:space="preserve">  |</v>
          </cell>
          <cell r="AU202" t="str">
            <v xml:space="preserve">    |</v>
          </cell>
          <cell r="AV202" t="str">
            <v>³</v>
          </cell>
          <cell r="AY202" t="str">
            <v>מ</v>
          </cell>
          <cell r="BA202" t="str">
            <v>ממ³</v>
          </cell>
          <cell r="BB202" t="str">
            <v>|</v>
          </cell>
        </row>
        <row r="203">
          <cell r="AA203" t="str">
            <v xml:space="preserve">        ³</v>
          </cell>
          <cell r="AL203" t="str">
            <v>מ</v>
          </cell>
          <cell r="AM203" t="str">
            <v>מ|ממממממממממ</v>
          </cell>
          <cell r="AN203" t="str">
            <v>מ</v>
          </cell>
          <cell r="AO203" t="str">
            <v>ממממממממממממממממ|ממ</v>
          </cell>
          <cell r="AR203" t="str">
            <v>מ</v>
          </cell>
          <cell r="AS203" t="str">
            <v>ממ³</v>
          </cell>
          <cell r="AT203" t="str">
            <v xml:space="preserve">  |</v>
          </cell>
          <cell r="AU203" t="str">
            <v xml:space="preserve">    |</v>
          </cell>
          <cell r="AV203" t="str">
            <v>³</v>
          </cell>
          <cell r="AW203" t="str">
            <v>מ</v>
          </cell>
          <cell r="AX203" t="str">
            <v>מ</v>
          </cell>
          <cell r="AZ203" t="str">
            <v xml:space="preserve">       ³</v>
          </cell>
          <cell r="BA203" t="str">
            <v xml:space="preserve">  ³</v>
          </cell>
          <cell r="BB203" t="str">
            <v>|</v>
          </cell>
        </row>
        <row r="204">
          <cell r="AA204" t="str">
            <v xml:space="preserve">        ³</v>
          </cell>
          <cell r="AM204" t="str">
            <v xml:space="preserve"> |</v>
          </cell>
          <cell r="AQ204" t="str">
            <v xml:space="preserve">       |</v>
          </cell>
          <cell r="AS204" t="str">
            <v xml:space="preserve">  |</v>
          </cell>
          <cell r="AT204" t="str">
            <v xml:space="preserve">  |</v>
          </cell>
          <cell r="AU204" t="str">
            <v xml:space="preserve">    |</v>
          </cell>
          <cell r="AV204" t="str">
            <v>³</v>
          </cell>
          <cell r="AY204" t="str">
            <v>מ</v>
          </cell>
          <cell r="BA204" t="str">
            <v>ממ³</v>
          </cell>
          <cell r="BB204" t="str">
            <v>|</v>
          </cell>
        </row>
        <row r="205">
          <cell r="AA205" t="str">
            <v xml:space="preserve">        ³</v>
          </cell>
          <cell r="AL205" t="str">
            <v>מ</v>
          </cell>
          <cell r="AM205" t="str">
            <v>מ|ממממממממממ</v>
          </cell>
          <cell r="AN205" t="str">
            <v>מ</v>
          </cell>
          <cell r="AO205" t="str">
            <v>ממממממממממממממממ|ממ</v>
          </cell>
          <cell r="AR205" t="str">
            <v>מ</v>
          </cell>
          <cell r="AS205" t="str">
            <v>ממ³</v>
          </cell>
          <cell r="AT205" t="str">
            <v xml:space="preserve">  |</v>
          </cell>
          <cell r="AU205" t="str">
            <v xml:space="preserve">    |</v>
          </cell>
          <cell r="AV205" t="str">
            <v>³</v>
          </cell>
          <cell r="AW205" t="str">
            <v>מ</v>
          </cell>
          <cell r="AX205" t="str">
            <v>מ</v>
          </cell>
          <cell r="AZ205" t="str">
            <v xml:space="preserve">       ³</v>
          </cell>
          <cell r="BA205" t="str">
            <v xml:space="preserve">  ³</v>
          </cell>
          <cell r="BB205" t="str">
            <v>|</v>
          </cell>
        </row>
        <row r="206">
          <cell r="AA206" t="str">
            <v xml:space="preserve">        ³</v>
          </cell>
          <cell r="AM206" t="str">
            <v xml:space="preserve"> |</v>
          </cell>
          <cell r="AQ206" t="str">
            <v xml:space="preserve">       |</v>
          </cell>
          <cell r="AS206" t="str">
            <v xml:space="preserve">  |</v>
          </cell>
          <cell r="AT206" t="str">
            <v xml:space="preserve">  |</v>
          </cell>
          <cell r="AU206" t="str">
            <v xml:space="preserve">    |</v>
          </cell>
          <cell r="AV206" t="str">
            <v>³</v>
          </cell>
          <cell r="AY206" t="str">
            <v>מ</v>
          </cell>
          <cell r="BA206" t="str">
            <v>ממ³</v>
          </cell>
          <cell r="BB206" t="str">
            <v>|</v>
          </cell>
        </row>
        <row r="207">
          <cell r="AA207" t="str">
            <v xml:space="preserve">        ³</v>
          </cell>
          <cell r="AL207" t="str">
            <v>מ</v>
          </cell>
          <cell r="AM207" t="str">
            <v>מ|ממממממממממ</v>
          </cell>
          <cell r="AN207" t="str">
            <v>מ</v>
          </cell>
          <cell r="AO207" t="str">
            <v>ממממממממממממממממ|ממ</v>
          </cell>
          <cell r="AR207" t="str">
            <v>מ</v>
          </cell>
          <cell r="AS207" t="str">
            <v>ממ³</v>
          </cell>
          <cell r="AT207" t="str">
            <v xml:space="preserve">  |</v>
          </cell>
          <cell r="AU207" t="str">
            <v xml:space="preserve">    |</v>
          </cell>
          <cell r="AV207" t="str">
            <v>³</v>
          </cell>
          <cell r="AW207" t="str">
            <v>מ</v>
          </cell>
          <cell r="AX207" t="str">
            <v>מ</v>
          </cell>
          <cell r="AZ207" t="str">
            <v xml:space="preserve">       ³</v>
          </cell>
          <cell r="BA207" t="str">
            <v xml:space="preserve">  ³</v>
          </cell>
          <cell r="BB207" t="str">
            <v>|</v>
          </cell>
        </row>
        <row r="208">
          <cell r="AA208" t="str">
            <v xml:space="preserve">        ³</v>
          </cell>
          <cell r="AM208" t="str">
            <v xml:space="preserve"> |</v>
          </cell>
          <cell r="AQ208" t="str">
            <v xml:space="preserve">       |</v>
          </cell>
          <cell r="AS208" t="str">
            <v xml:space="preserve">  |</v>
          </cell>
          <cell r="AT208" t="str">
            <v xml:space="preserve">  |</v>
          </cell>
          <cell r="AU208" t="str">
            <v xml:space="preserve">    |</v>
          </cell>
          <cell r="AV208" t="str">
            <v>³</v>
          </cell>
          <cell r="AY208" t="str">
            <v>מ</v>
          </cell>
          <cell r="BA208" t="str">
            <v>ממ³</v>
          </cell>
          <cell r="BB208" t="str">
            <v>|</v>
          </cell>
        </row>
        <row r="209">
          <cell r="AA209" t="str">
            <v xml:space="preserve">        ³</v>
          </cell>
          <cell r="AL209" t="str">
            <v>מ</v>
          </cell>
          <cell r="AM209" t="str">
            <v>מ|ממממממממממ</v>
          </cell>
          <cell r="AN209" t="str">
            <v>מ</v>
          </cell>
          <cell r="AO209" t="str">
            <v>ממממממממממממממממ|ממ</v>
          </cell>
          <cell r="AR209" t="str">
            <v>מ</v>
          </cell>
          <cell r="AS209" t="str">
            <v>ממ³</v>
          </cell>
          <cell r="AT209" t="str">
            <v xml:space="preserve">  |</v>
          </cell>
          <cell r="AU209" t="str">
            <v xml:space="preserve">    |</v>
          </cell>
          <cell r="AV209" t="str">
            <v>³</v>
          </cell>
          <cell r="AW209" t="str">
            <v>מ</v>
          </cell>
          <cell r="AX209" t="str">
            <v>מ</v>
          </cell>
          <cell r="AZ209" t="str">
            <v xml:space="preserve">       ³</v>
          </cell>
          <cell r="BA209" t="str">
            <v xml:space="preserve">  ³</v>
          </cell>
          <cell r="BB209" t="str">
            <v>|</v>
          </cell>
        </row>
        <row r="210">
          <cell r="AA210" t="str">
            <v xml:space="preserve">        ³</v>
          </cell>
          <cell r="AM210" t="str">
            <v xml:space="preserve"> |</v>
          </cell>
          <cell r="AQ210" t="str">
            <v xml:space="preserve">       |</v>
          </cell>
          <cell r="AS210" t="str">
            <v xml:space="preserve">  |</v>
          </cell>
          <cell r="AT210" t="str">
            <v xml:space="preserve">  |</v>
          </cell>
          <cell r="AU210" t="str">
            <v xml:space="preserve">    |</v>
          </cell>
          <cell r="AV210" t="str">
            <v>³</v>
          </cell>
          <cell r="AY210" t="str">
            <v>מ</v>
          </cell>
          <cell r="BA210" t="str">
            <v>ממ³</v>
          </cell>
          <cell r="BB210" t="str">
            <v>|</v>
          </cell>
        </row>
        <row r="211">
          <cell r="AA211" t="str">
            <v xml:space="preserve">        ³</v>
          </cell>
          <cell r="AL211" t="str">
            <v>מ</v>
          </cell>
          <cell r="AM211" t="str">
            <v>מ|ממממממממממ</v>
          </cell>
          <cell r="AN211" t="str">
            <v>מ</v>
          </cell>
          <cell r="AO211" t="str">
            <v>ממממממממממממממממ|ממ</v>
          </cell>
          <cell r="AR211" t="str">
            <v>מ</v>
          </cell>
          <cell r="AS211" t="str">
            <v>ממ³</v>
          </cell>
          <cell r="AT211" t="str">
            <v xml:space="preserve">  |</v>
          </cell>
          <cell r="AU211" t="str">
            <v xml:space="preserve">    |</v>
          </cell>
          <cell r="AV211" t="str">
            <v>³</v>
          </cell>
          <cell r="AW211" t="str">
            <v>מ</v>
          </cell>
          <cell r="AX211" t="str">
            <v>מ</v>
          </cell>
          <cell r="AZ211" t="str">
            <v xml:space="preserve">       ³</v>
          </cell>
          <cell r="BA211" t="str">
            <v xml:space="preserve">  ³</v>
          </cell>
          <cell r="BB211" t="str">
            <v>|</v>
          </cell>
        </row>
        <row r="212">
          <cell r="AA212" t="str">
            <v xml:space="preserve">        ³</v>
          </cell>
          <cell r="AM212" t="str">
            <v xml:space="preserve"> |</v>
          </cell>
          <cell r="AQ212" t="str">
            <v xml:space="preserve">       |</v>
          </cell>
          <cell r="AS212" t="str">
            <v xml:space="preserve">  |</v>
          </cell>
          <cell r="AT212" t="str">
            <v xml:space="preserve">  |</v>
          </cell>
          <cell r="AU212" t="str">
            <v xml:space="preserve">    |</v>
          </cell>
          <cell r="AV212" t="str">
            <v>³</v>
          </cell>
          <cell r="AY212" t="str">
            <v>מ</v>
          </cell>
          <cell r="BA212" t="str">
            <v>ממ³</v>
          </cell>
          <cell r="BB212" t="str">
            <v>|</v>
          </cell>
        </row>
        <row r="213">
          <cell r="AA213" t="str">
            <v xml:space="preserve">        ³</v>
          </cell>
          <cell r="AL213" t="str">
            <v>מ</v>
          </cell>
          <cell r="AM213" t="str">
            <v>מ|ממממממממממ</v>
          </cell>
          <cell r="AN213" t="str">
            <v>מ</v>
          </cell>
          <cell r="AO213" t="str">
            <v>ממממממממממממממממ|ממ</v>
          </cell>
          <cell r="AR213" t="str">
            <v>מ</v>
          </cell>
          <cell r="AS213" t="str">
            <v>ממ³</v>
          </cell>
          <cell r="AT213" t="str">
            <v xml:space="preserve">  |</v>
          </cell>
          <cell r="AU213" t="str">
            <v xml:space="preserve">    |</v>
          </cell>
          <cell r="AV213" t="str">
            <v>³</v>
          </cell>
          <cell r="AW213" t="str">
            <v>מ</v>
          </cell>
          <cell r="AX213" t="str">
            <v>מ</v>
          </cell>
          <cell r="AZ213" t="str">
            <v xml:space="preserve">       ³</v>
          </cell>
          <cell r="BA213" t="str">
            <v xml:space="preserve">  ³</v>
          </cell>
          <cell r="BB213" t="str">
            <v>|</v>
          </cell>
        </row>
        <row r="214">
          <cell r="AA214" t="str">
            <v xml:space="preserve">        ³</v>
          </cell>
          <cell r="AM214" t="str">
            <v xml:space="preserve"> |</v>
          </cell>
          <cell r="AQ214" t="str">
            <v xml:space="preserve">       |</v>
          </cell>
          <cell r="AS214" t="str">
            <v xml:space="preserve">  |</v>
          </cell>
          <cell r="AT214" t="str">
            <v xml:space="preserve">  |</v>
          </cell>
          <cell r="AU214" t="str">
            <v xml:space="preserve">    |</v>
          </cell>
          <cell r="AV214" t="str">
            <v>³</v>
          </cell>
          <cell r="AY214" t="str">
            <v>מ</v>
          </cell>
          <cell r="BA214" t="str">
            <v>ממ³</v>
          </cell>
          <cell r="BB214" t="str">
            <v>|</v>
          </cell>
        </row>
        <row r="215">
          <cell r="AA215" t="str">
            <v xml:space="preserve">        ³</v>
          </cell>
          <cell r="AL215" t="str">
            <v>מ</v>
          </cell>
          <cell r="AM215" t="str">
            <v>מ|ממממממממממ</v>
          </cell>
          <cell r="AN215" t="str">
            <v>מ</v>
          </cell>
          <cell r="AO215" t="str">
            <v>ממממממממממממממממ|ממ</v>
          </cell>
          <cell r="AR215" t="str">
            <v>מ</v>
          </cell>
          <cell r="AS215" t="str">
            <v>ממ³</v>
          </cell>
          <cell r="AT215" t="str">
            <v xml:space="preserve">  |</v>
          </cell>
          <cell r="AU215" t="str">
            <v xml:space="preserve">    |</v>
          </cell>
          <cell r="AV215" t="str">
            <v>³</v>
          </cell>
          <cell r="AW215" t="str">
            <v>מ</v>
          </cell>
          <cell r="AX215" t="str">
            <v>מ</v>
          </cell>
          <cell r="AZ215" t="str">
            <v xml:space="preserve">       ³</v>
          </cell>
          <cell r="BA215" t="str">
            <v xml:space="preserve">  ³</v>
          </cell>
          <cell r="BB215" t="str">
            <v>|</v>
          </cell>
        </row>
        <row r="216">
          <cell r="AA216" t="str">
            <v xml:space="preserve">        ³</v>
          </cell>
          <cell r="AM216" t="str">
            <v xml:space="preserve"> |</v>
          </cell>
          <cell r="AQ216" t="str">
            <v xml:space="preserve">       |</v>
          </cell>
          <cell r="AS216" t="str">
            <v xml:space="preserve">  |</v>
          </cell>
          <cell r="AT216" t="str">
            <v xml:space="preserve">  |</v>
          </cell>
          <cell r="AU216" t="str">
            <v xml:space="preserve">    |</v>
          </cell>
          <cell r="AV216" t="str">
            <v>³</v>
          </cell>
          <cell r="AY216" t="str">
            <v>מ</v>
          </cell>
          <cell r="BA216" t="str">
            <v>ממ³</v>
          </cell>
          <cell r="BB216" t="str">
            <v>|</v>
          </cell>
        </row>
        <row r="217">
          <cell r="AA217" t="str">
            <v xml:space="preserve">        ³</v>
          </cell>
          <cell r="AL217" t="str">
            <v>מ</v>
          </cell>
          <cell r="AM217" t="str">
            <v>מ|ממממממממממ</v>
          </cell>
          <cell r="AN217" t="str">
            <v>מ</v>
          </cell>
          <cell r="AO217" t="str">
            <v>ממממממממממממממממ|ממ</v>
          </cell>
          <cell r="AR217" t="str">
            <v>מ</v>
          </cell>
          <cell r="AS217" t="str">
            <v>ממ³</v>
          </cell>
          <cell r="AT217" t="str">
            <v xml:space="preserve">  |</v>
          </cell>
          <cell r="AU217" t="str">
            <v xml:space="preserve">    |</v>
          </cell>
          <cell r="AV217" t="str">
            <v>³</v>
          </cell>
          <cell r="AW217" t="str">
            <v>מ</v>
          </cell>
          <cell r="AX217" t="str">
            <v>מ</v>
          </cell>
          <cell r="AZ217" t="str">
            <v xml:space="preserve">       ³</v>
          </cell>
          <cell r="BA217" t="str">
            <v xml:space="preserve">  ³</v>
          </cell>
          <cell r="BB217" t="str">
            <v>|</v>
          </cell>
        </row>
        <row r="218">
          <cell r="AA218" t="str">
            <v xml:space="preserve">        ³</v>
          </cell>
          <cell r="AM218" t="str">
            <v xml:space="preserve"> |</v>
          </cell>
          <cell r="AQ218" t="str">
            <v xml:space="preserve">       |</v>
          </cell>
          <cell r="AS218" t="str">
            <v xml:space="preserve">  |</v>
          </cell>
          <cell r="AT218" t="str">
            <v xml:space="preserve">  |</v>
          </cell>
          <cell r="AU218" t="str">
            <v xml:space="preserve">    |</v>
          </cell>
          <cell r="AV218" t="str">
            <v>³</v>
          </cell>
          <cell r="AY218" t="str">
            <v>מ</v>
          </cell>
          <cell r="BA218" t="str">
            <v>ממ³</v>
          </cell>
          <cell r="BB218" t="str">
            <v>|</v>
          </cell>
        </row>
        <row r="219">
          <cell r="AA219" t="str">
            <v xml:space="preserve">        ³</v>
          </cell>
          <cell r="AL219" t="str">
            <v>מ</v>
          </cell>
          <cell r="AM219" t="str">
            <v>מ|ממממממממממ</v>
          </cell>
          <cell r="AN219" t="str">
            <v>מ</v>
          </cell>
          <cell r="AO219" t="str">
            <v>ממממממממממממממממ|ממ</v>
          </cell>
          <cell r="AR219" t="str">
            <v>מ</v>
          </cell>
          <cell r="AS219" t="str">
            <v>ממ³</v>
          </cell>
          <cell r="AT219" t="str">
            <v xml:space="preserve">  |</v>
          </cell>
          <cell r="AU219" t="str">
            <v xml:space="preserve">    |</v>
          </cell>
          <cell r="AV219" t="str">
            <v>³</v>
          </cell>
          <cell r="AW219" t="str">
            <v>מ</v>
          </cell>
          <cell r="AX219" t="str">
            <v>מ</v>
          </cell>
          <cell r="AZ219" t="str">
            <v xml:space="preserve">       ³</v>
          </cell>
          <cell r="BA219" t="str">
            <v xml:space="preserve">  ³</v>
          </cell>
          <cell r="BB219" t="str">
            <v>|</v>
          </cell>
        </row>
        <row r="220">
          <cell r="AA220" t="str">
            <v xml:space="preserve">        ³</v>
          </cell>
          <cell r="AM220" t="str">
            <v xml:space="preserve"> |</v>
          </cell>
          <cell r="AQ220" t="str">
            <v xml:space="preserve">       |</v>
          </cell>
          <cell r="AS220" t="str">
            <v xml:space="preserve">  |</v>
          </cell>
          <cell r="AT220" t="str">
            <v xml:space="preserve">  |</v>
          </cell>
          <cell r="AU220" t="str">
            <v xml:space="preserve">    |</v>
          </cell>
          <cell r="AV220" t="str">
            <v>³</v>
          </cell>
          <cell r="AY220" t="str">
            <v>מ</v>
          </cell>
          <cell r="BA220" t="str">
            <v>ממ³</v>
          </cell>
          <cell r="BB220" t="str">
            <v>|</v>
          </cell>
        </row>
        <row r="221">
          <cell r="AA221" t="str">
            <v xml:space="preserve">        ³</v>
          </cell>
          <cell r="AL221" t="str">
            <v>מ</v>
          </cell>
          <cell r="AM221" t="str">
            <v>מ|ממממממממממ</v>
          </cell>
          <cell r="AN221" t="str">
            <v>מ</v>
          </cell>
          <cell r="AO221" t="str">
            <v>ממממממממממממממממ|ממ</v>
          </cell>
          <cell r="AR221" t="str">
            <v>מ</v>
          </cell>
          <cell r="AS221" t="str">
            <v>ממ³</v>
          </cell>
          <cell r="AT221" t="str">
            <v xml:space="preserve">  |</v>
          </cell>
          <cell r="AU221" t="str">
            <v xml:space="preserve">    |</v>
          </cell>
          <cell r="AV221" t="str">
            <v>³</v>
          </cell>
          <cell r="AW221" t="str">
            <v>מ</v>
          </cell>
          <cell r="AX221" t="str">
            <v>מ</v>
          </cell>
          <cell r="AZ221" t="str">
            <v xml:space="preserve">       ³</v>
          </cell>
          <cell r="BA221" t="str">
            <v xml:space="preserve">  ³</v>
          </cell>
          <cell r="BB221" t="str">
            <v>|</v>
          </cell>
        </row>
        <row r="222">
          <cell r="AA222" t="str">
            <v xml:space="preserve">        ³</v>
          </cell>
          <cell r="AM222" t="str">
            <v xml:space="preserve"> |</v>
          </cell>
          <cell r="AQ222" t="str">
            <v xml:space="preserve">       |</v>
          </cell>
          <cell r="AS222" t="str">
            <v xml:space="preserve">  |</v>
          </cell>
          <cell r="AT222" t="str">
            <v xml:space="preserve">  |</v>
          </cell>
          <cell r="AU222" t="str">
            <v xml:space="preserve">    |</v>
          </cell>
          <cell r="AV222" t="str">
            <v>³</v>
          </cell>
          <cell r="AY222" t="str">
            <v>מ</v>
          </cell>
          <cell r="BA222" t="str">
            <v>ממ³</v>
          </cell>
          <cell r="BB222" t="str">
            <v>|</v>
          </cell>
        </row>
        <row r="223">
          <cell r="AA223" t="str">
            <v xml:space="preserve">        ³</v>
          </cell>
          <cell r="AL223" t="str">
            <v>מ</v>
          </cell>
          <cell r="AM223" t="str">
            <v>מ|ממממממממממ</v>
          </cell>
          <cell r="AN223" t="str">
            <v>מ</v>
          </cell>
          <cell r="AO223" t="str">
            <v>ממממממממממממממממ|ממ</v>
          </cell>
          <cell r="AR223" t="str">
            <v>מ</v>
          </cell>
          <cell r="AS223" t="str">
            <v>ממ³</v>
          </cell>
          <cell r="AT223" t="str">
            <v xml:space="preserve">  |</v>
          </cell>
          <cell r="AU223" t="str">
            <v xml:space="preserve">    |</v>
          </cell>
          <cell r="AV223" t="str">
            <v>³</v>
          </cell>
          <cell r="AW223" t="str">
            <v>מ</v>
          </cell>
          <cell r="AX223" t="str">
            <v>מ</v>
          </cell>
          <cell r="AZ223" t="str">
            <v xml:space="preserve">       ³</v>
          </cell>
          <cell r="BA223" t="str">
            <v xml:space="preserve">  ³</v>
          </cell>
          <cell r="BB223" t="str">
            <v>|</v>
          </cell>
        </row>
        <row r="224">
          <cell r="AA224" t="str">
            <v xml:space="preserve">        ³</v>
          </cell>
          <cell r="AM224" t="str">
            <v xml:space="preserve"> |</v>
          </cell>
          <cell r="AQ224" t="str">
            <v xml:space="preserve">       |</v>
          </cell>
          <cell r="AS224" t="str">
            <v xml:space="preserve">  |</v>
          </cell>
          <cell r="AT224" t="str">
            <v xml:space="preserve">  |</v>
          </cell>
          <cell r="AU224" t="str">
            <v xml:space="preserve">    |</v>
          </cell>
          <cell r="AV224" t="str">
            <v>³</v>
          </cell>
          <cell r="AY224" t="str">
            <v>מ</v>
          </cell>
          <cell r="BA224" t="str">
            <v>ממ³</v>
          </cell>
          <cell r="BB224" t="str">
            <v>|</v>
          </cell>
        </row>
        <row r="225">
          <cell r="AA225" t="str">
            <v xml:space="preserve">        ³</v>
          </cell>
          <cell r="AL225" t="str">
            <v>מ</v>
          </cell>
          <cell r="AM225" t="str">
            <v>מ|ממממממממממ</v>
          </cell>
          <cell r="AN225" t="str">
            <v>מ</v>
          </cell>
          <cell r="AO225" t="str">
            <v>ממממממממממממממממ|ממ</v>
          </cell>
          <cell r="AR225" t="str">
            <v>מ</v>
          </cell>
          <cell r="AS225" t="str">
            <v>ממ³</v>
          </cell>
          <cell r="AT225" t="str">
            <v xml:space="preserve">  |</v>
          </cell>
          <cell r="AU225" t="str">
            <v xml:space="preserve">    |</v>
          </cell>
          <cell r="AV225" t="str">
            <v>³</v>
          </cell>
          <cell r="AW225" t="str">
            <v>מ</v>
          </cell>
          <cell r="AX225" t="str">
            <v>מ</v>
          </cell>
          <cell r="AZ225" t="str">
            <v xml:space="preserve">       ³</v>
          </cell>
          <cell r="BA225" t="str">
            <v xml:space="preserve">  ³</v>
          </cell>
          <cell r="BB225" t="str">
            <v>|</v>
          </cell>
        </row>
        <row r="226">
          <cell r="AA226" t="str">
            <v xml:space="preserve">        ³</v>
          </cell>
          <cell r="AM226" t="str">
            <v xml:space="preserve"> |</v>
          </cell>
          <cell r="AQ226" t="str">
            <v xml:space="preserve">       |</v>
          </cell>
          <cell r="AS226" t="str">
            <v xml:space="preserve">  |</v>
          </cell>
          <cell r="AT226" t="str">
            <v xml:space="preserve">  |</v>
          </cell>
          <cell r="AU226" t="str">
            <v xml:space="preserve">    |</v>
          </cell>
          <cell r="AV226" t="str">
            <v>³</v>
          </cell>
          <cell r="AY226" t="str">
            <v>מ</v>
          </cell>
          <cell r="BA226" t="str">
            <v>ממ³</v>
          </cell>
          <cell r="BB226" t="str">
            <v>|</v>
          </cell>
        </row>
        <row r="227">
          <cell r="AA227" t="str">
            <v xml:space="preserve">        ³</v>
          </cell>
          <cell r="AL227" t="str">
            <v>מ</v>
          </cell>
          <cell r="AM227" t="str">
            <v>מ|ממממממממממ</v>
          </cell>
          <cell r="AN227" t="str">
            <v>מ</v>
          </cell>
          <cell r="AO227" t="str">
            <v>ממממממממממממממממ|ממ</v>
          </cell>
          <cell r="AR227" t="str">
            <v>מ</v>
          </cell>
          <cell r="AS227" t="str">
            <v>ממ³</v>
          </cell>
          <cell r="AT227" t="str">
            <v xml:space="preserve">  |</v>
          </cell>
          <cell r="AU227" t="str">
            <v xml:space="preserve">    |</v>
          </cell>
          <cell r="AV227" t="str">
            <v>³</v>
          </cell>
          <cell r="AW227" t="str">
            <v>מ</v>
          </cell>
          <cell r="AZ227" t="str">
            <v xml:space="preserve">       ³</v>
          </cell>
          <cell r="BA227" t="str">
            <v xml:space="preserve">  ³</v>
          </cell>
          <cell r="BB227" t="str">
            <v>|</v>
          </cell>
        </row>
        <row r="228">
          <cell r="AA228" t="str">
            <v xml:space="preserve">        ³============³==================================================³===============³</v>
          </cell>
          <cell r="AM228" t="str">
            <v xml:space="preserve"> ³</v>
          </cell>
          <cell r="AQ228" t="str">
            <v xml:space="preserve">       |</v>
          </cell>
          <cell r="AS228" t="str">
            <v xml:space="preserve">  |</v>
          </cell>
          <cell r="AT228" t="str">
            <v xml:space="preserve">  |</v>
          </cell>
          <cell r="AU228" t="str">
            <v xml:space="preserve">    |</v>
          </cell>
          <cell r="AV228" t="str">
            <v>³</v>
          </cell>
          <cell r="AY228" t="str">
            <v>מ</v>
          </cell>
          <cell r="BA228" t="str">
            <v>ממ³</v>
          </cell>
          <cell r="BB228" t="str">
            <v>|</v>
          </cell>
        </row>
        <row r="229">
          <cell r="AA229" t="str">
            <v xml:space="preserve">        ³</v>
          </cell>
          <cell r="AR229" t="str">
            <v>========================</v>
          </cell>
          <cell r="AS229" t="str">
            <v>==|</v>
          </cell>
          <cell r="AT229" t="str">
            <v xml:space="preserve">  |</v>
          </cell>
          <cell r="AU229" t="str">
            <v xml:space="preserve">    |</v>
          </cell>
          <cell r="AV229" t="str">
            <v>³</v>
          </cell>
          <cell r="AW229" t="str">
            <v>מ</v>
          </cell>
          <cell r="AZ229" t="str">
            <v xml:space="preserve">       ³</v>
          </cell>
          <cell r="BA229" t="str">
            <v xml:space="preserve">  ³</v>
          </cell>
          <cell r="BB229" t="str">
            <v>|</v>
          </cell>
        </row>
        <row r="230">
          <cell r="AA230" t="str">
            <v xml:space="preserve">        ============================================================================</v>
          </cell>
          <cell r="AL230">
            <v>124233.86020000001</v>
          </cell>
          <cell r="AM230" t="str">
            <v xml:space="preserve"> ³                        :סה"כ סכום הנכסים הקבועים |            </v>
          </cell>
          <cell r="AS230" t="str">
            <v xml:space="preserve">  |</v>
          </cell>
          <cell r="AT230" t="str">
            <v xml:space="preserve">  |</v>
          </cell>
          <cell r="AU230" t="str">
            <v xml:space="preserve">    |</v>
          </cell>
          <cell r="AV230" t="str">
            <v>³=============³==================================================³===============³</v>
          </cell>
          <cell r="AY230" t="str">
            <v>מ</v>
          </cell>
          <cell r="BA230" t="str">
            <v>ממ³</v>
          </cell>
          <cell r="BB230" t="str">
            <v>|</v>
          </cell>
        </row>
        <row r="231">
          <cell r="AA231" t="str">
            <v xml:space="preserve"> </v>
          </cell>
          <cell r="AR231" t="str">
            <v>==============</v>
          </cell>
          <cell r="AS231" t="str">
            <v>===</v>
          </cell>
          <cell r="AT231" t="str">
            <v xml:space="preserve">  |</v>
          </cell>
          <cell r="AU231" t="str">
            <v xml:space="preserve">    |</v>
          </cell>
          <cell r="AV231" t="str">
            <v>³                  ³                                                  ³            ³</v>
          </cell>
          <cell r="AW231">
            <v>0</v>
          </cell>
          <cell r="AZ231" t="str">
            <v xml:space="preserve">       ³</v>
          </cell>
          <cell r="BA231" t="str">
            <v xml:space="preserve">  ³</v>
          </cell>
          <cell r="BB231" t="str">
            <v>|</v>
          </cell>
        </row>
        <row r="232">
          <cell r="AT232" t="str">
            <v xml:space="preserve">  |</v>
          </cell>
          <cell r="AU232" t="str">
            <v xml:space="preserve">    |</v>
          </cell>
          <cell r="AV232" t="str">
            <v>==================================================================================</v>
          </cell>
          <cell r="AY232" t="str">
            <v>מ</v>
          </cell>
          <cell r="BA232" t="str">
            <v>ממ³</v>
          </cell>
          <cell r="BB232" t="str">
            <v>|</v>
          </cell>
        </row>
        <row r="233">
          <cell r="AT233" t="str">
            <v xml:space="preserve">  |</v>
          </cell>
          <cell r="AU233" t="str">
            <v xml:space="preserve">    |</v>
          </cell>
          <cell r="AZ233" t="str">
            <v xml:space="preserve">       ³</v>
          </cell>
          <cell r="BA233" t="str">
            <v xml:space="preserve">  ³</v>
          </cell>
          <cell r="BB233" t="str">
            <v>|</v>
          </cell>
        </row>
        <row r="234">
          <cell r="AT234" t="str">
            <v xml:space="preserve">  |</v>
          </cell>
          <cell r="AU234" t="str">
            <v xml:space="preserve">    |</v>
          </cell>
          <cell r="AY234" t="str">
            <v>מ</v>
          </cell>
          <cell r="BA234" t="str">
            <v>ממ³</v>
          </cell>
          <cell r="BB234" t="str">
            <v>|</v>
          </cell>
        </row>
        <row r="235">
          <cell r="AZ235" t="str">
            <v xml:space="preserve">       ³</v>
          </cell>
          <cell r="BA235" t="str">
            <v xml:space="preserve">  ³</v>
          </cell>
          <cell r="BB235" t="str">
            <v>|</v>
          </cell>
        </row>
        <row r="236">
          <cell r="AY236" t="str">
            <v>מ</v>
          </cell>
          <cell r="BA236" t="str">
            <v>ממ³</v>
          </cell>
          <cell r="BB236" t="str">
            <v>|</v>
          </cell>
        </row>
        <row r="237">
          <cell r="BB237" t="str">
            <v>|</v>
          </cell>
        </row>
        <row r="238">
          <cell r="BB238" t="str">
            <v>|</v>
          </cell>
        </row>
        <row r="239">
          <cell r="BB239" t="str">
            <v>|</v>
          </cell>
        </row>
        <row r="240">
          <cell r="BB240" t="str">
            <v>|</v>
          </cell>
        </row>
        <row r="241">
          <cell r="BB241" t="str">
            <v>|</v>
          </cell>
        </row>
        <row r="256">
          <cell r="T256" t="str">
            <v>|ש"ח על פי הסכם XXX,XXX כולל פחת כבלים בעת הנחתם ונכוי בשל פחת בגינו בסך כולל של</v>
          </cell>
        </row>
        <row r="257">
          <cell r="T257" t="str">
            <v>עם פקיד השומה מיום 15.1.96.</v>
          </cell>
        </row>
      </sheetData>
      <sheetData sheetId="7">
        <row r="9">
          <cell r="O9" t="str">
            <v>משרדי</v>
          </cell>
          <cell r="R9" t="str">
            <v>31 בדצמבר</v>
          </cell>
          <cell r="U9" t="str">
            <v>התחשבנות ישנה</v>
          </cell>
          <cell r="AG9" t="str">
            <v xml:space="preserve">  1997</v>
          </cell>
          <cell r="AI9" t="str">
            <v xml:space="preserve">  1998   </v>
          </cell>
          <cell r="AZ9" t="str">
            <v>חייבים ויתרות חובה - אחרים</v>
          </cell>
          <cell r="BH9" t="str">
            <v>-2 ˜…</v>
          </cell>
          <cell r="BP9" t="str">
            <v>מרכז</v>
          </cell>
          <cell r="BR9" t="str">
            <v>דרום</v>
          </cell>
        </row>
        <row r="10">
          <cell r="R10" t="str">
            <v xml:space="preserve">  1997</v>
          </cell>
          <cell r="T10" t="str">
            <v xml:space="preserve">  1998   </v>
          </cell>
          <cell r="V10" t="str">
            <v>באור</v>
          </cell>
          <cell r="AG10" t="str">
            <v>ב א ל פ י ם</v>
          </cell>
          <cell r="AK10" t="str">
            <v>באור</v>
          </cell>
          <cell r="BP10" t="str">
            <v>ערוצי</v>
          </cell>
          <cell r="BR10" t="str">
            <v>השרון</v>
          </cell>
        </row>
        <row r="11">
          <cell r="R11" t="str">
            <v>ב א ל פ י ם</v>
          </cell>
          <cell r="BE11" t="str">
            <v>|-חברות צדדים קשורים</v>
          </cell>
          <cell r="BP11" t="str">
            <v>זהב</v>
          </cell>
          <cell r="BR11" t="str">
            <v>תקשורת</v>
          </cell>
        </row>
        <row r="12">
          <cell r="AG12">
            <v>30025</v>
          </cell>
          <cell r="AI12">
            <v>18292</v>
          </cell>
          <cell r="AK12">
            <v>-15</v>
          </cell>
          <cell r="AM12" t="str">
            <v>הכנסות</v>
          </cell>
          <cell r="BE12" t="str">
            <v>|יתרות צמודות למדד</v>
          </cell>
          <cell r="BL12" t="str">
            <v xml:space="preserve">  1997</v>
          </cell>
          <cell r="BN12" t="str">
            <v xml:space="preserve">  1998   </v>
          </cell>
          <cell r="BP12" t="str">
            <v>(1985)</v>
          </cell>
          <cell r="BR12" t="str">
            <v>1990</v>
          </cell>
        </row>
        <row r="13">
          <cell r="AS13">
            <v>4121</v>
          </cell>
          <cell r="AU13">
            <v>1110</v>
          </cell>
          <cell r="BE13" t="str">
            <v>המחירים לצרכן</v>
          </cell>
          <cell r="BL13" t="str">
            <v>סה"כ</v>
          </cell>
          <cell r="BN13" t="str">
            <v>סה"כ</v>
          </cell>
          <cell r="BP13" t="str">
            <v>בע"מ</v>
          </cell>
          <cell r="BR13" t="str">
            <v>בע"מ</v>
          </cell>
        </row>
        <row r="14">
          <cell r="AG14">
            <v>1497</v>
          </cell>
          <cell r="AI14">
            <v>-27</v>
          </cell>
          <cell r="AK14">
            <v>-16</v>
          </cell>
          <cell r="AM14" t="str">
            <v>הוצאות תפעול</v>
          </cell>
          <cell r="BP14" t="str">
            <v>(2)</v>
          </cell>
          <cell r="BR14" t="str">
            <v>(1)</v>
          </cell>
        </row>
        <row r="15">
          <cell r="Z15" t="str">
            <v>ר כ ו ש</v>
          </cell>
          <cell r="AS15">
            <v>2130</v>
          </cell>
          <cell r="AU15">
            <v>-2574.2004064152843</v>
          </cell>
          <cell r="BC15" t="str">
            <v>מס הכנסה - החזר לקבל</v>
          </cell>
          <cell r="BL15" t="str">
            <v>אלפי ש"ח</v>
          </cell>
        </row>
        <row r="16">
          <cell r="Z16" t="str">
            <v>רכוש שוטף:</v>
          </cell>
          <cell r="AG16">
            <v>28528</v>
          </cell>
          <cell r="AI16">
            <v>18319</v>
          </cell>
          <cell r="AM16" t="str">
            <v>רווח גולמי</v>
          </cell>
          <cell r="BL16" t="str">
            <v xml:space="preserve"> </v>
          </cell>
        </row>
        <row r="17">
          <cell r="R17">
            <v>24</v>
          </cell>
          <cell r="T17">
            <v>4</v>
          </cell>
          <cell r="X17" t="str">
            <v>מזומנים ושווי מזומנים</v>
          </cell>
          <cell r="AG17" t="str">
            <v>|-----</v>
          </cell>
          <cell r="AI17" t="str">
            <v>|-----</v>
          </cell>
          <cell r="AS17">
            <v>372</v>
          </cell>
          <cell r="AU17">
            <v>0</v>
          </cell>
          <cell r="BD17" t="str">
            <v>חייבים שונים</v>
          </cell>
          <cell r="BL17">
            <v>101202</v>
          </cell>
          <cell r="BN17">
            <v>50162</v>
          </cell>
          <cell r="BP17">
            <v>46386</v>
          </cell>
          <cell r="BR17">
            <v>3776</v>
          </cell>
        </row>
        <row r="18">
          <cell r="X18" t="str">
            <v>|הלוואות לזמן קצר לחברה מסונפת צמודות למדד</v>
          </cell>
          <cell r="AM18" t="str">
            <v>הוצאות מכירה, הנהלה וכלליות:</v>
          </cell>
        </row>
        <row r="19">
          <cell r="R19">
            <v>0</v>
          </cell>
          <cell r="T19">
            <v>0</v>
          </cell>
          <cell r="X19" t="str">
            <v>ואינן נושאות רבית</v>
          </cell>
          <cell r="AS19">
            <v>6623</v>
          </cell>
          <cell r="AU19">
            <v>-1464.2004064152843</v>
          </cell>
        </row>
        <row r="20">
          <cell r="R20">
            <v>2589</v>
          </cell>
          <cell r="T20">
            <v>2575</v>
          </cell>
          <cell r="V20">
            <v>-4</v>
          </cell>
          <cell r="X20" t="str">
            <v>|חברה בת - חלות שוטפת של הלואה לזמן ארוך</v>
          </cell>
          <cell r="AG20">
            <v>8097</v>
          </cell>
          <cell r="AI20">
            <v>3</v>
          </cell>
          <cell r="AK20">
            <v>-17</v>
          </cell>
          <cell r="AM20" t="str">
            <v>מכירה ושרותי שווק</v>
          </cell>
          <cell r="BL20">
            <v>-5194</v>
          </cell>
          <cell r="BN20">
            <v>-14401</v>
          </cell>
          <cell r="BP20">
            <v>0</v>
          </cell>
          <cell r="BR20">
            <v>-14401</v>
          </cell>
        </row>
        <row r="21">
          <cell r="Z21" t="str">
            <v>חייבים ויתרות חובה:</v>
          </cell>
          <cell r="AG21">
            <v>7385</v>
          </cell>
          <cell r="AI21">
            <v>8503</v>
          </cell>
          <cell r="AK21">
            <v>-18</v>
          </cell>
          <cell r="AM21" t="str">
            <v>הנהלה וכלליות</v>
          </cell>
        </row>
        <row r="22">
          <cell r="R22">
            <v>3303</v>
          </cell>
          <cell r="T22">
            <v>3783</v>
          </cell>
          <cell r="Z22" t="str">
            <v>חברה בת - הכנסות לקבל</v>
          </cell>
          <cell r="AG22">
            <v>15482</v>
          </cell>
          <cell r="AI22">
            <v>8506</v>
          </cell>
          <cell r="BE22" t="str">
            <v>השקעה בשותפות</v>
          </cell>
          <cell r="BH22" t="str">
            <v>-3 ˜…</v>
          </cell>
          <cell r="BL22">
            <v>-62522</v>
          </cell>
          <cell r="BN22">
            <v>8691</v>
          </cell>
          <cell r="BP22">
            <v>7735</v>
          </cell>
          <cell r="BR22">
            <v>956</v>
          </cell>
        </row>
        <row r="23">
          <cell r="R23">
            <v>3320</v>
          </cell>
          <cell r="T23">
            <v>-1464.2004064152843</v>
          </cell>
          <cell r="V23">
            <v>-2</v>
          </cell>
          <cell r="Z23" t="str">
            <v>אחרים</v>
          </cell>
          <cell r="AG23" t="str">
            <v>|-----</v>
          </cell>
          <cell r="AI23" t="str">
            <v>|-----</v>
          </cell>
          <cell r="BL23">
            <v>-2588.8339999999998</v>
          </cell>
          <cell r="BN23">
            <v>-2575</v>
          </cell>
          <cell r="BP23">
            <v>-2575</v>
          </cell>
        </row>
        <row r="24">
          <cell r="AS24" t="str">
            <v>חלק החברה</v>
          </cell>
          <cell r="AW24" t="str">
            <v>חלק המיעוט</v>
          </cell>
        </row>
        <row r="25">
          <cell r="R25">
            <v>9236</v>
          </cell>
          <cell r="T25">
            <v>4897.7995935847157</v>
          </cell>
          <cell r="Z25" t="str">
            <v>ס ך  רכוש שוטף</v>
          </cell>
          <cell r="AG25">
            <v>13046</v>
          </cell>
          <cell r="AI25">
            <v>9813</v>
          </cell>
          <cell r="AM25" t="str">
            <v>רווח מפעולות רגילות</v>
          </cell>
          <cell r="AS25" t="str">
            <v>בשותפות (%70)(*)</v>
          </cell>
          <cell r="AW25" t="str">
            <v>בשותפות (%30)(*)</v>
          </cell>
          <cell r="BA25" t="str">
            <v>סה"כ השותפות</v>
          </cell>
          <cell r="BL25">
            <v>6491</v>
          </cell>
          <cell r="BN25">
            <v>5538</v>
          </cell>
          <cell r="BP25">
            <v>6361</v>
          </cell>
          <cell r="BR25">
            <v>-823</v>
          </cell>
        </row>
        <row r="26">
          <cell r="R26" t="str">
            <v>|-----</v>
          </cell>
          <cell r="T26" t="str">
            <v>|-----</v>
          </cell>
          <cell r="AG26" t="str">
            <v xml:space="preserve"> </v>
          </cell>
          <cell r="AS26" t="str">
            <v xml:space="preserve">  1997</v>
          </cell>
          <cell r="AU26" t="str">
            <v xml:space="preserve">  1998   </v>
          </cell>
          <cell r="AW26" t="str">
            <v xml:space="preserve">  1997</v>
          </cell>
          <cell r="AY26" t="str">
            <v xml:space="preserve">  1998   </v>
          </cell>
          <cell r="BA26" t="str">
            <v xml:space="preserve">  1997</v>
          </cell>
          <cell r="BC26" t="str">
            <v xml:space="preserve">  1998   </v>
          </cell>
          <cell r="BL26">
            <v>10185</v>
          </cell>
          <cell r="BN26">
            <v>11062</v>
          </cell>
          <cell r="BP26">
            <v>-4538</v>
          </cell>
          <cell r="BR26">
            <v>15600</v>
          </cell>
        </row>
        <row r="27">
          <cell r="AG27">
            <v>6268</v>
          </cell>
          <cell r="AI27">
            <v>18381</v>
          </cell>
          <cell r="AK27">
            <v>-19</v>
          </cell>
          <cell r="AM27" t="str">
            <v>הכנסות מימון - נטו</v>
          </cell>
          <cell r="AS27" t="str">
            <v>אלפי ש"ח</v>
          </cell>
        </row>
        <row r="28">
          <cell r="AG28">
            <v>36</v>
          </cell>
          <cell r="AI28">
            <v>194</v>
          </cell>
          <cell r="AM28" t="str">
            <v>הכנסות (הוצאות) אחרות - נטו</v>
          </cell>
          <cell r="BL28">
            <v>47573.165999999997</v>
          </cell>
          <cell r="BN28">
            <v>58477</v>
          </cell>
          <cell r="BP28">
            <v>53369</v>
          </cell>
          <cell r="BR28">
            <v>5108</v>
          </cell>
        </row>
        <row r="29">
          <cell r="AA29" t="str">
            <v>השקעות:</v>
          </cell>
          <cell r="AS29" t="e">
            <v>#REF!</v>
          </cell>
          <cell r="AU29">
            <v>45801.907000000007</v>
          </cell>
          <cell r="AW29">
            <v>37598</v>
          </cell>
          <cell r="AY29">
            <v>34048</v>
          </cell>
          <cell r="BA29" t="e">
            <v>#REF!</v>
          </cell>
          <cell r="BC29">
            <v>79849.907000000007</v>
          </cell>
          <cell r="BE29" t="str">
            <v>לתחילת השנה</v>
          </cell>
        </row>
        <row r="30">
          <cell r="R30" t="e">
            <v>#REF!</v>
          </cell>
          <cell r="T30">
            <v>138965</v>
          </cell>
          <cell r="V30">
            <v>-3</v>
          </cell>
          <cell r="Z30" t="str">
            <v>השקעה בשותפות</v>
          </cell>
          <cell r="AG30">
            <v>19350</v>
          </cell>
          <cell r="AI30">
            <v>28388</v>
          </cell>
          <cell r="AM30" t="str">
            <v>רווח לפני מסים על ההכנסה</v>
          </cell>
          <cell r="AS30" t="e">
            <v>#REF!</v>
          </cell>
          <cell r="AU30" t="e">
            <v>#REF!</v>
          </cell>
          <cell r="AW30">
            <v>-30622</v>
          </cell>
          <cell r="AY30" t="e">
            <v>#REF!</v>
          </cell>
          <cell r="BA30" t="e">
            <v>#REF!</v>
          </cell>
          <cell r="BC30" t="e">
            <v>#REF!</v>
          </cell>
          <cell r="BE30" t="str">
            <v>החזר השקעה, נטו</v>
          </cell>
          <cell r="BL30">
            <v>-2588.8340000000026</v>
          </cell>
        </row>
        <row r="31">
          <cell r="R31">
            <v>47573.165999999997</v>
          </cell>
          <cell r="T31">
            <v>58478</v>
          </cell>
          <cell r="V31">
            <v>-4</v>
          </cell>
          <cell r="Z31" t="str">
            <v>השקעות בחברות בנות</v>
          </cell>
          <cell r="AS31" t="e">
            <v>#REF!</v>
          </cell>
          <cell r="AU31">
            <v>22762</v>
          </cell>
          <cell r="AW31">
            <v>4881</v>
          </cell>
          <cell r="AY31">
            <v>0</v>
          </cell>
          <cell r="BA31" t="e">
            <v>#REF!</v>
          </cell>
          <cell r="BC31" t="e">
            <v>#REF!</v>
          </cell>
          <cell r="BE31" t="str">
            <v>הפרשי הצמדה וריבית</v>
          </cell>
          <cell r="BP31" t="str">
            <v>חלק</v>
          </cell>
        </row>
        <row r="32">
          <cell r="R32">
            <v>17144.994999999999</v>
          </cell>
          <cell r="T32">
            <v>20124</v>
          </cell>
          <cell r="V32">
            <v>-5</v>
          </cell>
          <cell r="Y32" t="str">
            <v>השקעות בתאגידים בשליטה משותפת</v>
          </cell>
          <cell r="AG32">
            <v>-6883</v>
          </cell>
          <cell r="AI32" t="e">
            <v>#REF!</v>
          </cell>
          <cell r="AK32">
            <v>-21</v>
          </cell>
          <cell r="AM32" t="str">
            <v>מסים על ההכנסה</v>
          </cell>
          <cell r="AS32" t="e">
            <v>#REF!</v>
          </cell>
          <cell r="AU32" t="e">
            <v>#REF!</v>
          </cell>
          <cell r="AW32">
            <v>14398</v>
          </cell>
          <cell r="AY32" t="e">
            <v>#REF!</v>
          </cell>
          <cell r="BA32" t="e">
            <v>#REF!</v>
          </cell>
          <cell r="BC32" t="e">
            <v>#REF!</v>
          </cell>
          <cell r="BE32" t="str">
            <v>רווח השנה לאחר ייחוס המס</v>
          </cell>
          <cell r="BP32" t="str">
            <v>החברה</v>
          </cell>
        </row>
        <row r="33">
          <cell r="R33">
            <v>0</v>
          </cell>
          <cell r="T33">
            <v>0</v>
          </cell>
          <cell r="V33">
            <v>-6</v>
          </cell>
          <cell r="Z33" t="str">
            <v>השקעה בחברה מסונפת</v>
          </cell>
          <cell r="AS33">
            <v>17144</v>
          </cell>
          <cell r="AU33" t="e">
            <v>#REF!</v>
          </cell>
          <cell r="AW33">
            <v>7793</v>
          </cell>
          <cell r="AY33" t="e">
            <v>#REF!</v>
          </cell>
          <cell r="BA33">
            <v>24937</v>
          </cell>
          <cell r="BC33" t="e">
            <v>#REF!</v>
          </cell>
          <cell r="BE33" t="str">
            <v>מיסים שיוחסו לרווח</v>
          </cell>
          <cell r="BP33" t="str">
            <v>ברווחים</v>
          </cell>
        </row>
        <row r="34">
          <cell r="R34">
            <v>39239</v>
          </cell>
          <cell r="T34">
            <v>99012</v>
          </cell>
          <cell r="V34">
            <v>-7</v>
          </cell>
          <cell r="Z34" t="str">
            <v>השקעות אחרות</v>
          </cell>
          <cell r="AG34">
            <v>12467</v>
          </cell>
          <cell r="AI34" t="e">
            <v>#REF!</v>
          </cell>
          <cell r="BP34" t="str">
            <v>בנכוי</v>
          </cell>
        </row>
        <row r="35">
          <cell r="AS35" t="e">
            <v>#REF!</v>
          </cell>
          <cell r="AU35">
            <v>138903</v>
          </cell>
          <cell r="AW35">
            <v>34048</v>
          </cell>
          <cell r="AY35" t="e">
            <v>#REF!</v>
          </cell>
          <cell r="BA35" t="e">
            <v>#REF!</v>
          </cell>
          <cell r="BC35" t="e">
            <v>#REF!</v>
          </cell>
          <cell r="BE35" t="str">
            <v>לסוף השנה</v>
          </cell>
          <cell r="BL35" t="str">
            <v xml:space="preserve">  1997</v>
          </cell>
          <cell r="BN35" t="str">
            <v xml:space="preserve">  1998   </v>
          </cell>
          <cell r="BP35" t="str">
            <v>דיבידנד,</v>
          </cell>
          <cell r="BR35" t="str">
            <v>הון</v>
          </cell>
        </row>
        <row r="36">
          <cell r="R36" t="e">
            <v>#REF!</v>
          </cell>
          <cell r="T36">
            <v>316579</v>
          </cell>
          <cell r="AG36" t="e">
            <v>#REF!</v>
          </cell>
          <cell r="AI36" t="e">
            <v>#REF!</v>
          </cell>
          <cell r="AK36">
            <v>-3</v>
          </cell>
          <cell r="AM36" t="str">
            <v>|חלקה של החברה ברווח השותפות</v>
          </cell>
          <cell r="BL36" t="str">
            <v>סה"כ</v>
          </cell>
          <cell r="BN36" t="str">
            <v>סה"כ</v>
          </cell>
          <cell r="BP36" t="str">
            <v>(בהפסדים)</v>
          </cell>
          <cell r="BR36" t="str">
            <v>מניות</v>
          </cell>
        </row>
        <row r="37">
          <cell r="R37" t="str">
            <v>|-----</v>
          </cell>
          <cell r="T37" t="str">
            <v>|-----</v>
          </cell>
          <cell r="AM37" t="str">
            <v>|חלקה של החברה ברווח השותפות</v>
          </cell>
          <cell r="BE37" t="str">
            <v>מוניטין בשותפות</v>
          </cell>
          <cell r="BL37" t="str">
            <v>אלפי ש"ח</v>
          </cell>
        </row>
        <row r="38">
          <cell r="AG38">
            <v>858</v>
          </cell>
          <cell r="AI38">
            <v>1034</v>
          </cell>
          <cell r="AK38">
            <v>-5</v>
          </cell>
          <cell r="AM38" t="str">
            <v>בשליטה משותפת</v>
          </cell>
          <cell r="BL38" t="str">
            <v xml:space="preserve"> </v>
          </cell>
        </row>
        <row r="39">
          <cell r="V39">
            <v>-8</v>
          </cell>
          <cell r="Z39" t="str">
            <v>רכוש קבוע:</v>
          </cell>
          <cell r="AG39">
            <v>10185</v>
          </cell>
          <cell r="AI39">
            <v>11062</v>
          </cell>
          <cell r="AK39">
            <v>-4</v>
          </cell>
          <cell r="AM39" t="str">
            <v>|חלקה של החברה ברווחי חברות בנות</v>
          </cell>
          <cell r="AS39">
            <v>186</v>
          </cell>
          <cell r="AU39">
            <v>124</v>
          </cell>
          <cell r="BE39" t="str">
            <v>לתחילת השנה</v>
          </cell>
          <cell r="BL39">
            <v>3776</v>
          </cell>
          <cell r="BN39">
            <v>5108</v>
          </cell>
          <cell r="BP39">
            <v>4026</v>
          </cell>
          <cell r="BR39">
            <v>0</v>
          </cell>
        </row>
        <row r="40">
          <cell r="R40">
            <v>2148</v>
          </cell>
          <cell r="T40">
            <v>0</v>
          </cell>
          <cell r="Z40" t="str">
            <v>העלות</v>
          </cell>
          <cell r="AM40" t="str">
            <v>|חלקה של החברה בהפסד חברה</v>
          </cell>
          <cell r="AS40">
            <v>-62</v>
          </cell>
          <cell r="AU40">
            <v>-62</v>
          </cell>
          <cell r="BE40" t="str">
            <v>הפחתה</v>
          </cell>
          <cell r="BL40" t="str">
            <v>-----</v>
          </cell>
          <cell r="BN40" t="str">
            <v>-----</v>
          </cell>
          <cell r="BP40" t="str">
            <v>------</v>
          </cell>
          <cell r="BR40" t="str">
            <v>-----</v>
          </cell>
        </row>
        <row r="41">
          <cell r="R41">
            <v>564</v>
          </cell>
          <cell r="T41">
            <v>0</v>
          </cell>
          <cell r="Z41" t="str">
            <v>ב נ י כ ו י - פחת שנצבר</v>
          </cell>
          <cell r="AG41">
            <v>-588</v>
          </cell>
          <cell r="AI41">
            <v>1825</v>
          </cell>
          <cell r="AK41">
            <v>-5</v>
          </cell>
          <cell r="AM41" t="str">
            <v>בשליטה משותפת</v>
          </cell>
        </row>
        <row r="42">
          <cell r="AG42">
            <v>-29681</v>
          </cell>
          <cell r="AI42">
            <v>-29350</v>
          </cell>
          <cell r="AK42">
            <v>-6</v>
          </cell>
          <cell r="AM42" t="str">
            <v>|חלקה של החברה בהפסדי חברה מסונפת</v>
          </cell>
          <cell r="AS42">
            <v>124</v>
          </cell>
          <cell r="AU42">
            <v>62</v>
          </cell>
          <cell r="BE42" t="str">
            <v>לסוף השנה</v>
          </cell>
          <cell r="BL42">
            <v>46386</v>
          </cell>
          <cell r="BN42">
            <v>55945</v>
          </cell>
          <cell r="BP42">
            <v>-6529</v>
          </cell>
          <cell r="BR42">
            <v>1</v>
          </cell>
        </row>
        <row r="43">
          <cell r="R43">
            <v>1584</v>
          </cell>
          <cell r="T43">
            <v>0</v>
          </cell>
          <cell r="BL43">
            <v>-2588.8339999999998</v>
          </cell>
          <cell r="BN43">
            <v>-2575</v>
          </cell>
          <cell r="BP43">
            <v>0</v>
          </cell>
          <cell r="BR43">
            <v>0</v>
          </cell>
        </row>
        <row r="44">
          <cell r="R44" t="str">
            <v>|-----</v>
          </cell>
          <cell r="T44" t="str">
            <v>|-----</v>
          </cell>
          <cell r="AG44" t="e">
            <v>#REF!</v>
          </cell>
          <cell r="AI44" t="e">
            <v>#REF!</v>
          </cell>
          <cell r="AM44" t="str">
            <v>רווח נקי לשנה</v>
          </cell>
          <cell r="AS44" t="e">
            <v>#REF!</v>
          </cell>
          <cell r="AU44">
            <v>138965</v>
          </cell>
          <cell r="BD44" t="str">
            <v>סה"כ חלק החברה בשותפות</v>
          </cell>
          <cell r="BL44">
            <v>43797.165999999997</v>
          </cell>
          <cell r="BN44">
            <v>53370</v>
          </cell>
          <cell r="BP44">
            <v>-6529</v>
          </cell>
          <cell r="BR44">
            <v>1</v>
          </cell>
        </row>
        <row r="45">
          <cell r="R45" t="str">
            <v xml:space="preserve"> </v>
          </cell>
          <cell r="BL45" t="str">
            <v>-----</v>
          </cell>
          <cell r="BN45" t="str">
            <v>-----</v>
          </cell>
          <cell r="BP45" t="str">
            <v>------</v>
          </cell>
          <cell r="BR45" t="str">
            <v>-----</v>
          </cell>
        </row>
        <row r="46">
          <cell r="Z46" t="str">
            <v>רכוש אחר והוצאות נדחות,</v>
          </cell>
          <cell r="AG46">
            <v>95373</v>
          </cell>
          <cell r="AI46" t="e">
            <v>#REF!</v>
          </cell>
          <cell r="AM46" t="str">
            <v>יתרת רווח לתחילת השנה</v>
          </cell>
          <cell r="AZ46" t="str">
            <v>חלק החברה ברווח השותפות - הצגה ברו"ה:</v>
          </cell>
          <cell r="BL46">
            <v>47573.165999999997</v>
          </cell>
          <cell r="BN46">
            <v>58478</v>
          </cell>
          <cell r="BP46">
            <v>-2503</v>
          </cell>
          <cell r="BR46">
            <v>1</v>
          </cell>
        </row>
        <row r="47">
          <cell r="R47">
            <v>18</v>
          </cell>
          <cell r="T47">
            <v>18</v>
          </cell>
          <cell r="V47">
            <v>-9</v>
          </cell>
          <cell r="Z47" t="str">
            <v xml:space="preserve">לאחר הפחתה שנצברה     </v>
          </cell>
        </row>
        <row r="48">
          <cell r="R48" t="str">
            <v>|-----</v>
          </cell>
          <cell r="T48" t="str">
            <v>|-----</v>
          </cell>
          <cell r="V48" t="str">
            <v xml:space="preserve">  </v>
          </cell>
          <cell r="AG48">
            <v>-93519</v>
          </cell>
          <cell r="AI48">
            <v>0</v>
          </cell>
          <cell r="AM48" t="str">
            <v>דיבידנד</v>
          </cell>
          <cell r="AS48" t="e">
            <v>#REF!</v>
          </cell>
          <cell r="AU48" t="e">
            <v>#REF!</v>
          </cell>
          <cell r="BD48" t="str">
            <v xml:space="preserve">חלקה ברווח השנה כדלעיל </v>
          </cell>
        </row>
        <row r="50">
          <cell r="R50" t="e">
            <v>#REF!</v>
          </cell>
          <cell r="T50">
            <v>321494.79959358473</v>
          </cell>
          <cell r="AG50" t="e">
            <v>#REF!</v>
          </cell>
          <cell r="AI50" t="e">
            <v>#REF!</v>
          </cell>
          <cell r="AM50" t="str">
            <v>יתרת רווח לסוף השנה</v>
          </cell>
          <cell r="AS50">
            <v>-62</v>
          </cell>
          <cell r="AU50">
            <v>-62</v>
          </cell>
          <cell r="BE50" t="str">
            <v>הפחתת מוניטין</v>
          </cell>
          <cell r="BL50" t="str">
            <v>|דרום השרון תקשורת .‎5% ההלוואות צמודות למדד ונושאות רבית בשעור</v>
          </cell>
        </row>
        <row r="51">
          <cell r="BL51" t="str">
            <v>|בע"מ (להלן-"דרה"ש") הלוותה את כספי ההלוואות שקיבלה לחברה בת שלה (‎1990)</v>
          </cell>
        </row>
        <row r="52">
          <cell r="R52" t="e">
            <v>#REF!</v>
          </cell>
          <cell r="T52" t="e">
            <v>#REF!</v>
          </cell>
          <cell r="AS52" t="e">
            <v>#REF!</v>
          </cell>
          <cell r="AU52" t="e">
            <v>#REF!</v>
          </cell>
          <cell r="BL52" t="str">
            <v>|הלוואות לזמן ‎1997 ט.ל.מ. - טלויזיה למנויים בע"מ (להלן "טל"מ"). טל"מ קיבלה בשנת</v>
          </cell>
        </row>
        <row r="53">
          <cell r="BL53" t="str">
            <v>|ארוך מבנקים ופרעה בכספי הלוואות אלה את רוב ההלוואות מדרה"ש ודרה"ש פרעה</v>
          </cell>
        </row>
        <row r="54">
          <cell r="BL54" t="str">
            <v>|31.12.98 במקביל את מרבית ההלוואות מהחברה. מועד הפרעון של יתרת ההלוואות ליום</v>
          </cell>
        </row>
        <row r="55">
          <cell r="AS55" t="str">
            <v>|אך לא פחות משעור עליית שער ‎5% חשבונות השותפים צמודים למדד בתוספת רבית בשעור של</v>
          </cell>
          <cell r="BL55" t="str">
            <v>טרם נקבע.</v>
          </cell>
        </row>
        <row r="56">
          <cell r="X56" t="str">
            <v>מנהל</v>
          </cell>
          <cell r="AS56" t="str">
            <v>הדולר, על בסיס שנתי.</v>
          </cell>
        </row>
        <row r="57">
          <cell r="BL57" t="str">
            <v>|(באמצעות חברה מסונפת לא פעילה ‎6.22% מזה) ‎67.45% - דרה"ש מחזיקה ב</v>
          </cell>
        </row>
        <row r="58">
          <cell r="AS58" t="str">
            <v>|,(ש"ח ‎2,275,700) $700,000 סך של ‎1996 על פי הסכם בין השותפים מגיע למיעוט בשנת</v>
          </cell>
          <cell r="BG58" t="str">
            <v>(*)</v>
          </cell>
          <cell r="BL58" t="str">
            <v>|בטל"מ העוסקת בשידור תכניות למנויים באמצעות רשת כבלים תמורת דמי</v>
          </cell>
        </row>
        <row r="59">
          <cell r="X59" t="str">
            <v>מנהל</v>
          </cell>
          <cell r="AS59" t="str">
            <v>|לשנה לפני חלוקת הרווחים $‎350,000 במשך שש שנים סכום של ‎1997 והחל בשנת</v>
          </cell>
          <cell r="BL59" t="str">
            <v>|מנוי חודשיים. לטל"מ הוקנו זכיונות להפעלת שידורי טלויזיה בכבלים באזורים</v>
          </cell>
        </row>
        <row r="60">
          <cell r="AS60" t="str">
            <v>(בשנת החשבון 1,237,600 ש"ח). יתרת הרווח מחולקת לפי יחס של 30:70.</v>
          </cell>
          <cell r="BL60" t="str">
            <v>העיקריים הבאים: דרום השרון, יואב אשכול, הר אילת והר הנגב.</v>
          </cell>
        </row>
        <row r="61">
          <cell r="AK61" t="str">
            <v>הבאורים לדוחות הכספיים מהווים חלק בלתי נפרד מהם.</v>
          </cell>
          <cell r="BL61" t="str">
            <v>פרט להחזקת טל"מ כאמור אין לדרה"ש פעילות אחרת.</v>
          </cell>
        </row>
        <row r="62">
          <cell r="X62" t="str">
            <v>תאריך אישור הדוחות הכספיים:      1998.</v>
          </cell>
        </row>
        <row r="64">
          <cell r="AL64">
            <v>5</v>
          </cell>
          <cell r="BA64">
            <v>8</v>
          </cell>
        </row>
        <row r="66">
          <cell r="X66">
            <v>3</v>
          </cell>
        </row>
        <row r="76">
          <cell r="AA76">
            <v>0</v>
          </cell>
        </row>
        <row r="77">
          <cell r="R77" t="str">
            <v>31 בדצמבר</v>
          </cell>
        </row>
        <row r="78">
          <cell r="R78" t="str">
            <v xml:space="preserve">  1997</v>
          </cell>
          <cell r="T78" t="str">
            <v xml:space="preserve">  1998   </v>
          </cell>
          <cell r="V78" t="str">
            <v>באור</v>
          </cell>
        </row>
        <row r="79">
          <cell r="R79" t="str">
            <v>ב א ל פ י ם</v>
          </cell>
        </row>
        <row r="82">
          <cell r="Z82" t="str">
            <v>התחייבויות  והון</v>
          </cell>
        </row>
        <row r="83">
          <cell r="Y83" t="str">
            <v>התחייבויות שוטפות:</v>
          </cell>
        </row>
        <row r="84">
          <cell r="R84">
            <v>2589</v>
          </cell>
          <cell r="T84">
            <v>2575</v>
          </cell>
          <cell r="V84">
            <v>-12</v>
          </cell>
          <cell r="Y84" t="str">
            <v>חלות שוטפת של הלוואה לזמן ארוך</v>
          </cell>
        </row>
        <row r="85">
          <cell r="R85">
            <v>531</v>
          </cell>
          <cell r="T85">
            <v>3159</v>
          </cell>
          <cell r="V85">
            <v>-10</v>
          </cell>
          <cell r="Z85" t="str">
            <v>זכאים ויתרות זכות</v>
          </cell>
        </row>
        <row r="87">
          <cell r="R87">
            <v>3120</v>
          </cell>
          <cell r="T87">
            <v>5734</v>
          </cell>
          <cell r="Z87" t="str">
            <v>ס ך  התחייבויות שוטפות</v>
          </cell>
        </row>
        <row r="88">
          <cell r="R88" t="str">
            <v>-</v>
          </cell>
          <cell r="T88" t="str">
            <v>-</v>
          </cell>
        </row>
        <row r="92">
          <cell r="Z92" t="str">
            <v>התחייבויות לזמן ארוך:</v>
          </cell>
        </row>
        <row r="93">
          <cell r="R93">
            <v>336</v>
          </cell>
          <cell r="T93">
            <v>0</v>
          </cell>
          <cell r="V93">
            <v>-11</v>
          </cell>
          <cell r="Y93" t="str">
            <v>|התחייבות בשל סיום יחסי עובד-מעביד</v>
          </cell>
        </row>
        <row r="94">
          <cell r="R94">
            <v>6243</v>
          </cell>
          <cell r="T94">
            <v>1588</v>
          </cell>
          <cell r="V94">
            <v>-6</v>
          </cell>
          <cell r="Y94" t="str">
            <v>הפרשה להפסדים בגין חברה מסונפת</v>
          </cell>
        </row>
        <row r="95">
          <cell r="Y95" t="str">
            <v>הלוואות:</v>
          </cell>
        </row>
        <row r="96">
          <cell r="R96">
            <v>35382</v>
          </cell>
          <cell r="T96">
            <v>35809</v>
          </cell>
          <cell r="V96">
            <v>-12</v>
          </cell>
          <cell r="Y96" t="str">
            <v>הלוואה מתאגיד בנקאי</v>
          </cell>
        </row>
        <row r="97">
          <cell r="R97">
            <v>122900</v>
          </cell>
          <cell r="T97">
            <v>63344</v>
          </cell>
          <cell r="V97">
            <v>-13</v>
          </cell>
          <cell r="Y97" t="str">
            <v>הלוואות מחברות צדדים קשורים</v>
          </cell>
        </row>
        <row r="98">
          <cell r="R98" t="str">
            <v xml:space="preserve"> </v>
          </cell>
        </row>
        <row r="99">
          <cell r="R99">
            <v>164861</v>
          </cell>
          <cell r="T99">
            <v>100741</v>
          </cell>
          <cell r="Z99" t="str">
            <v>ס ך  התחייבויות לזמן ארוך</v>
          </cell>
        </row>
        <row r="100">
          <cell r="R100" t="str">
            <v>-</v>
          </cell>
          <cell r="T100" t="str">
            <v>-</v>
          </cell>
        </row>
        <row r="103">
          <cell r="R103">
            <v>167981</v>
          </cell>
          <cell r="T103">
            <v>106475</v>
          </cell>
          <cell r="Y103" t="str">
            <v>ס ך  התחייבויות</v>
          </cell>
        </row>
        <row r="104">
          <cell r="R104" t="str">
            <v>-</v>
          </cell>
          <cell r="T104" t="str">
            <v>-</v>
          </cell>
        </row>
        <row r="108">
          <cell r="R108" t="str">
            <v xml:space="preserve"> </v>
          </cell>
          <cell r="AA108" t="str">
            <v>הון ועודפים:</v>
          </cell>
        </row>
        <row r="109">
          <cell r="R109">
            <v>5</v>
          </cell>
          <cell r="T109">
            <v>5</v>
          </cell>
          <cell r="V109">
            <v>-14</v>
          </cell>
          <cell r="AA109" t="str">
            <v>הון מניות</v>
          </cell>
        </row>
        <row r="110">
          <cell r="R110" t="e">
            <v>#REF!</v>
          </cell>
          <cell r="T110" t="e">
            <v>#REF!</v>
          </cell>
          <cell r="AA110" t="str">
            <v>יתרת רווח</v>
          </cell>
        </row>
        <row r="112">
          <cell r="R112" t="e">
            <v>#REF!</v>
          </cell>
          <cell r="T112" t="e">
            <v>#REF!</v>
          </cell>
        </row>
        <row r="113">
          <cell r="R113" t="str">
            <v>-</v>
          </cell>
          <cell r="T113" t="str">
            <v>-</v>
          </cell>
        </row>
        <row r="115">
          <cell r="R115" t="e">
            <v>#REF!</v>
          </cell>
          <cell r="T115" t="e">
            <v>#REF!</v>
          </cell>
        </row>
        <row r="123">
          <cell r="R123" t="str">
            <v xml:space="preserve"> </v>
          </cell>
        </row>
        <row r="124">
          <cell r="R124" t="str">
            <v xml:space="preserve"> </v>
          </cell>
        </row>
        <row r="125">
          <cell r="R125" t="str">
            <v>הבאורים לדוחות הכספיים מהווים חלק בלתי נפרד מהם.</v>
          </cell>
        </row>
        <row r="126">
          <cell r="R126" t="str">
            <v xml:space="preserve"> </v>
          </cell>
        </row>
        <row r="127">
          <cell r="R127" t="str">
            <v xml:space="preserve"> </v>
          </cell>
        </row>
        <row r="128">
          <cell r="R128" t="str">
            <v xml:space="preserve"> </v>
          </cell>
        </row>
        <row r="132">
          <cell r="X132">
            <v>4</v>
          </cell>
        </row>
        <row r="145">
          <cell r="BL145" t="str">
            <v>|לדעת הנהלת השותפות לא ייגרמו הפסדים נוספים לתאריך המאזן - אם יאושר הסדר קבוע</v>
          </cell>
        </row>
        <row r="146">
          <cell r="BL146" t="str">
            <v>|בתנאים שסוכמו עם הממונה על ההגבלים העסקיים או אם תתקבל החלטה אחרת של בית הדין</v>
          </cell>
        </row>
        <row r="147">
          <cell r="BL147" t="str">
            <v>- מעבר להפרשה הרשומה בגין הפסדים שנצברו.</v>
          </cell>
        </row>
        <row r="149">
          <cell r="BL149" t="str">
            <v>|הגישה החברה המסונפת, ביחד עם בעלי מניותיה, בקשה חדשה לאישור ‎1995 בחודש פברואר</v>
          </cell>
        </row>
        <row r="150">
          <cell r="BL150" t="str">
            <v>|הסדר כובל. בית הדין להגבלים עסקיים נתן היתר זמני לנהוג בהתאם לתנאים</v>
          </cell>
        </row>
        <row r="151">
          <cell r="BL151" t="str">
            <v>|שסוכמו בין הממונה על הגבלים עסקיים לבין הצדדים להסדר. תוקף ההיתר הזמני הינו לשנה</v>
          </cell>
        </row>
        <row r="152">
          <cell r="BL152" t="str">
            <v xml:space="preserve">מיום מתן ההיתר (1 באפריל 1995) או עד להחלטה אחרת של בית הדין לפי המוקדם. </v>
          </cell>
        </row>
        <row r="153">
          <cell r="BL153" t="str">
            <v>|,אין אפשרות להעריך אם מתום השנה הנ"ל או לפי החלטה אחרת של בית הדין לפי המוקדם</v>
          </cell>
        </row>
        <row r="154">
          <cell r="BL154" t="str">
            <v>|כתוצאה מהאמור לעיל, תוכל החברה המסונפת להמשיך לפעול כ "עסק חי" או אם תוכל השותפות</v>
          </cell>
        </row>
        <row r="155">
          <cell r="R155">
            <v>1996</v>
          </cell>
          <cell r="T155">
            <v>1997</v>
          </cell>
          <cell r="BL155" t="str">
            <v>להמשיך להחזיק במניות החברה.</v>
          </cell>
        </row>
        <row r="157">
          <cell r="S157" t="str">
            <v>{</v>
          </cell>
          <cell r="T157">
            <v>411</v>
          </cell>
          <cell r="W157" t="str">
            <v>מדריכי פנאי</v>
          </cell>
        </row>
        <row r="158">
          <cell r="R158">
            <v>17144.994999999999</v>
          </cell>
          <cell r="S158" t="str">
            <v>{</v>
          </cell>
          <cell r="T158">
            <v>18133</v>
          </cell>
          <cell r="W158" t="str">
            <v>נטקום</v>
          </cell>
        </row>
        <row r="159">
          <cell r="R159">
            <v>-6243</v>
          </cell>
          <cell r="T159">
            <v>-1587.7897499999999</v>
          </cell>
          <cell r="W159" t="str">
            <v>קווי זהב</v>
          </cell>
        </row>
        <row r="160">
          <cell r="R160">
            <v>10901.994999999999</v>
          </cell>
          <cell r="T160">
            <v>16956.21025</v>
          </cell>
        </row>
        <row r="162">
          <cell r="S162" t="str">
            <v>{</v>
          </cell>
          <cell r="T162">
            <v>1034</v>
          </cell>
          <cell r="W162" t="str">
            <v>מדריכי פנאי</v>
          </cell>
        </row>
        <row r="163">
          <cell r="R163">
            <v>530.46100000000001</v>
          </cell>
          <cell r="S163" t="str">
            <v>{</v>
          </cell>
          <cell r="T163" t="e">
            <v>#REF!</v>
          </cell>
          <cell r="W163" t="str">
            <v>נטקום</v>
          </cell>
        </row>
        <row r="164">
          <cell r="R164">
            <v>-29681</v>
          </cell>
          <cell r="T164">
            <v>-29350</v>
          </cell>
          <cell r="W164" t="str">
            <v>קווי זהב</v>
          </cell>
        </row>
        <row r="165">
          <cell r="R165">
            <v>-29150.539000000001</v>
          </cell>
          <cell r="T165" t="e">
            <v>#REF!</v>
          </cell>
          <cell r="BR165" t="str">
            <v>נייר עבודה קווי זהב</v>
          </cell>
        </row>
        <row r="167">
          <cell r="BP167" t="str">
            <v>סה"כ</v>
          </cell>
          <cell r="BR167" t="str">
            <v>ע"ח הון מניות</v>
          </cell>
        </row>
        <row r="168">
          <cell r="BP168">
            <v>10208.061</v>
          </cell>
          <cell r="BR168">
            <v>10208.061</v>
          </cell>
        </row>
        <row r="169">
          <cell r="BP169">
            <v>12877.098</v>
          </cell>
          <cell r="BR169">
            <v>-25</v>
          </cell>
        </row>
        <row r="170">
          <cell r="BP170">
            <v>12.912000000000001</v>
          </cell>
          <cell r="BR170">
            <v>0</v>
          </cell>
        </row>
        <row r="172">
          <cell r="BP172">
            <v>23098.071</v>
          </cell>
          <cell r="BR172">
            <v>10183.061</v>
          </cell>
        </row>
        <row r="174">
          <cell r="BP174" t="e">
            <v>#REF!</v>
          </cell>
          <cell r="BR174">
            <v>2448</v>
          </cell>
        </row>
        <row r="178">
          <cell r="BP178">
            <v>7941</v>
          </cell>
          <cell r="BR178">
            <v>0</v>
          </cell>
        </row>
        <row r="179">
          <cell r="BP179">
            <v>0</v>
          </cell>
        </row>
        <row r="182">
          <cell r="BP182">
            <v>23111.258000000002</v>
          </cell>
          <cell r="BR182">
            <v>10196.248</v>
          </cell>
        </row>
        <row r="183">
          <cell r="BP183">
            <v>7108.9690000000001</v>
          </cell>
          <cell r="BR183">
            <v>3136.3420000000001</v>
          </cell>
        </row>
        <row r="187">
          <cell r="BL187" t="str">
            <v>|מהווה השקעה בחברה מסונפת קווי זהב תקשורת בינלאומית בע"מ אשר זכתה במכרז לשיחות בינלאומיות</v>
          </cell>
        </row>
        <row r="188">
          <cell r="BL188" t="str">
            <v>בשנת 1997 והחלה את פעילותה בשנת 1997. חלק החברה בחברה המסונפת %25.</v>
          </cell>
        </row>
        <row r="189">
          <cell r="BN189" t="str">
            <v>תמורת ההלוואות הונפק בשנת 1997 הון מניות.</v>
          </cell>
        </row>
        <row r="203">
          <cell r="N203" t="str">
            <v>באור 1-</v>
          </cell>
        </row>
        <row r="207">
          <cell r="M207" t="str">
            <v>א.</v>
          </cell>
        </row>
        <row r="209">
          <cell r="L209" t="str">
            <v>(1</v>
          </cell>
        </row>
        <row r="214">
          <cell r="L214" t="str">
            <v>(2</v>
          </cell>
        </row>
        <row r="221">
          <cell r="L221" t="str">
            <v>(3</v>
          </cell>
        </row>
        <row r="228">
          <cell r="L228" t="str">
            <v>(4</v>
          </cell>
        </row>
        <row r="230">
          <cell r="R230" t="str">
            <v>ד. חלק  מהאזורים  דלעיל  נמצא  בתקופת  "הפעלה חלקית" ( מערך הטלויזיה  בכבלים</v>
          </cell>
        </row>
        <row r="231">
          <cell r="R231" t="str">
            <v xml:space="preserve">                    .באזור זה נמצא בחלקו בהקמה ובחלקו מופעל) או בשלב פתוח</v>
          </cell>
        </row>
        <row r="232">
          <cell r="L232" t="str">
            <v>(5</v>
          </cell>
        </row>
        <row r="234">
          <cell r="L234" t="str">
            <v>(6</v>
          </cell>
        </row>
        <row r="236">
          <cell r="L236" t="str">
            <v>(7</v>
          </cell>
        </row>
        <row r="239">
          <cell r="M239" t="str">
            <v>ב.</v>
          </cell>
        </row>
        <row r="244">
          <cell r="M244" t="str">
            <v>ג.</v>
          </cell>
        </row>
        <row r="246">
          <cell r="L246" t="str">
            <v>(1</v>
          </cell>
        </row>
        <row r="249">
          <cell r="L249" t="str">
            <v>(2</v>
          </cell>
        </row>
        <row r="254">
          <cell r="M254" t="str">
            <v>ד.</v>
          </cell>
        </row>
        <row r="256">
          <cell r="L256" t="str">
            <v>(1</v>
          </cell>
        </row>
        <row r="257">
          <cell r="L257" t="str">
            <v>(2</v>
          </cell>
        </row>
        <row r="258">
          <cell r="L258" t="str">
            <v>(3</v>
          </cell>
        </row>
        <row r="260">
          <cell r="M260" t="str">
            <v>ה.</v>
          </cell>
        </row>
        <row r="262">
          <cell r="L262" t="str">
            <v>(1</v>
          </cell>
        </row>
        <row r="271">
          <cell r="N271" t="str">
            <v>באור 1-</v>
          </cell>
        </row>
        <row r="273">
          <cell r="M273" t="str">
            <v>ה.</v>
          </cell>
        </row>
        <row r="275">
          <cell r="L275" t="str">
            <v>(2</v>
          </cell>
        </row>
        <row r="282">
          <cell r="M282" t="str">
            <v>ו.</v>
          </cell>
        </row>
        <row r="287">
          <cell r="L287" t="str">
            <v xml:space="preserve"> -</v>
          </cell>
          <cell r="S287" t="str">
            <v>ה.</v>
          </cell>
        </row>
        <row r="289">
          <cell r="M289" t="str">
            <v>ז.</v>
          </cell>
        </row>
        <row r="295">
          <cell r="M295" t="str">
            <v>ח.</v>
          </cell>
        </row>
        <row r="297">
          <cell r="L297" t="str">
            <v>(1</v>
          </cell>
        </row>
        <row r="298">
          <cell r="L298" t="str">
            <v>(2</v>
          </cell>
        </row>
        <row r="300">
          <cell r="L300" t="str">
            <v>(3</v>
          </cell>
        </row>
        <row r="315">
          <cell r="T315" t="str">
            <v xml:space="preserve">            .הישירות והיתרה מנוכית מהוצאות ההתקנה</v>
          </cell>
        </row>
        <row r="320">
          <cell r="M320" t="str">
            <v>ט.</v>
          </cell>
        </row>
        <row r="337">
          <cell r="N337" t="str">
            <v>באור 1-</v>
          </cell>
        </row>
        <row r="340">
          <cell r="M340" t="str">
            <v>י.</v>
          </cell>
        </row>
        <row r="360">
          <cell r="M360" t="str">
            <v>ו.</v>
          </cell>
        </row>
        <row r="637">
          <cell r="M637" t="str">
            <v>שמ5</v>
          </cell>
        </row>
        <row r="705">
          <cell r="K705" t="str">
            <v>שמ7</v>
          </cell>
        </row>
      </sheetData>
      <sheetData sheetId="8">
        <row r="9">
          <cell r="R9" t="str">
            <v>31 בדצמבר</v>
          </cell>
        </row>
        <row r="143">
          <cell r="BS143" t="str">
            <v xml:space="preserve"> </v>
          </cell>
        </row>
        <row r="144">
          <cell r="BS144" t="str">
            <v xml:space="preserve"> </v>
          </cell>
        </row>
        <row r="145">
          <cell r="BS145" t="str">
            <v>ערוצי זהב ושות'</v>
          </cell>
        </row>
        <row r="146">
          <cell r="BS146" t="str">
            <v>שותפות רשומה</v>
          </cell>
        </row>
        <row r="150">
          <cell r="BS150" t="str">
            <v>פרוטוקול מאסיפת השותפים</v>
          </cell>
        </row>
        <row r="151">
          <cell r="BS151" t="str">
            <v>שנתקיימה ביום</v>
          </cell>
        </row>
        <row r="159">
          <cell r="BS159" t="str">
            <v>1. אשור הדוחות הכספיים ליום 31 בדצמבר 1998.</v>
          </cell>
        </row>
        <row r="161">
          <cell r="BS161" t="str">
            <v>2. אשור עסקאות עם צדדים קשורים.</v>
          </cell>
        </row>
        <row r="163">
          <cell r="BS163" t="str">
            <v>3. אשור חיובי ט.ל.מ בהשתתפות בהוצאות:</v>
          </cell>
        </row>
        <row r="165">
          <cell r="BS165" t="str">
            <v xml:space="preserve">    א. ההוצאות שהיוו בסיס לחיוב.</v>
          </cell>
        </row>
        <row r="167">
          <cell r="BS167" t="str">
            <v xml:space="preserve">    ב. אופן חשוב החיוב.</v>
          </cell>
        </row>
        <row r="175">
          <cell r="BS175" t="str">
            <v>1. לאשר הדוחות הכספיים הנומינלים ליום 31 בדצמבר 1998.</v>
          </cell>
        </row>
        <row r="177">
          <cell r="BS177" t="str">
            <v>2. לאשר את העסקאות עם צדדים קשורים כמפורט בדוחות</v>
          </cell>
        </row>
        <row r="178">
          <cell r="BS178" t="str">
            <v xml:space="preserve">   הכספיים הנ"ל.</v>
          </cell>
        </row>
        <row r="180">
          <cell r="BS180" t="str">
            <v>3. לאשר חיובי ט.ל.מ בהשתתפות בהוצאות כדלקמן:</v>
          </cell>
        </row>
        <row r="182">
          <cell r="BS182" t="str">
            <v xml:space="preserve">    א. ההוצאות שהיוו בסיס לחיוב, כמפורט בנספח א' לפרוטוקול.</v>
          </cell>
        </row>
        <row r="184">
          <cell r="BS184" t="str">
            <v xml:space="preserve">    ב. אופן חשוב החיוב, כמפורט בנספח ב' לפרוטוקול.</v>
          </cell>
        </row>
        <row r="185">
          <cell r="BS185" t="str">
            <v>4. לאשר חלוקת אובדן הממירים במלאי בין ערוצי זהב לט.ל.מ</v>
          </cell>
        </row>
        <row r="205">
          <cell r="BS205" t="str">
            <v xml:space="preserve"> </v>
          </cell>
        </row>
        <row r="207">
          <cell r="BS207" t="str">
            <v>ערוצי זהב ושות' 31.12.98</v>
          </cell>
        </row>
        <row r="209">
          <cell r="BS209" t="str">
            <v>נספח א' לפרוטוקול</v>
          </cell>
        </row>
        <row r="211">
          <cell r="BS211" t="str">
            <v>השתתפות ט.ל.מ בהוצאות ערוצי זהב</v>
          </cell>
        </row>
        <row r="270">
          <cell r="BS270" t="str">
            <v>ערוצי זהב ושות' 31.12.97</v>
          </cell>
        </row>
        <row r="272">
          <cell r="BS272" t="str">
            <v>נספח ב' לפרוטוקול</v>
          </cell>
        </row>
        <row r="274">
          <cell r="BS274" t="str">
            <v>השתתפות ט.ל.מ בהוצאות ערוצי זהב</v>
          </cell>
        </row>
        <row r="338">
          <cell r="BS338" t="e">
            <v>#VALUE!</v>
          </cell>
        </row>
      </sheetData>
      <sheetData sheetId="9" refreshError="1"/>
      <sheetData sheetId="10" refreshError="1"/>
      <sheetData sheetId="11" refreshError="1"/>
      <sheetData sheetId="12" refreshError="1"/>
      <sheetData sheetId="13" refreshError="1"/>
      <sheetData sheetId="14" refreshError="1"/>
      <sheetData sheetId="15"/>
      <sheetData sheetId="16"/>
      <sheetData sheetId="17">
        <row r="9">
          <cell r="O9" t="str">
            <v>משרדי</v>
          </cell>
        </row>
      </sheetData>
      <sheetData sheetId="18">
        <row r="9">
          <cell r="O9" t="str">
            <v>משרדי</v>
          </cell>
        </row>
      </sheetData>
      <sheetData sheetId="19">
        <row r="9">
          <cell r="R9" t="str">
            <v>31 בדצמבר</v>
          </cell>
        </row>
      </sheetData>
      <sheetData sheetId="20"/>
      <sheetData sheetId="21"/>
      <sheetData sheetId="22">
        <row r="9">
          <cell r="O9" t="str">
            <v>משרדי</v>
          </cell>
        </row>
      </sheetData>
      <sheetData sheetId="23">
        <row r="9">
          <cell r="O9" t="str">
            <v>משרדי</v>
          </cell>
        </row>
      </sheetData>
      <sheetData sheetId="24">
        <row r="9">
          <cell r="R9" t="str">
            <v>31 בדצמבר</v>
          </cell>
        </row>
      </sheetData>
      <sheetData sheetId="25"/>
      <sheetData sheetId="26"/>
      <sheetData sheetId="27">
        <row r="9">
          <cell r="O9" t="str">
            <v>משרדי</v>
          </cell>
        </row>
      </sheetData>
      <sheetData sheetId="28">
        <row r="9">
          <cell r="O9" t="str">
            <v>משרדי</v>
          </cell>
        </row>
      </sheetData>
      <sheetData sheetId="29">
        <row r="9">
          <cell r="R9" t="str">
            <v>31 בדצמבר</v>
          </cell>
        </row>
      </sheetData>
      <sheetData sheetId="30"/>
      <sheetData sheetId="31"/>
      <sheetData sheetId="32">
        <row r="9">
          <cell r="O9" t="str">
            <v>משרדי</v>
          </cell>
        </row>
      </sheetData>
      <sheetData sheetId="33">
        <row r="9">
          <cell r="O9" t="str">
            <v>משרדי</v>
          </cell>
        </row>
      </sheetData>
      <sheetData sheetId="34">
        <row r="9">
          <cell r="R9" t="str">
            <v>31 בדצמבר</v>
          </cell>
        </row>
      </sheetData>
      <sheetData sheetId="35"/>
      <sheetData sheetId="36"/>
      <sheetData sheetId="37">
        <row r="9">
          <cell r="O9" t="str">
            <v>משרדי</v>
          </cell>
        </row>
      </sheetData>
      <sheetData sheetId="38">
        <row r="9">
          <cell r="O9" t="str">
            <v>משרדי</v>
          </cell>
        </row>
      </sheetData>
      <sheetData sheetId="39">
        <row r="9">
          <cell r="R9" t="str">
            <v>31 בדצמבר</v>
          </cell>
        </row>
      </sheetData>
      <sheetData sheetId="40"/>
      <sheetData sheetId="41"/>
      <sheetData sheetId="42">
        <row r="9">
          <cell r="O9" t="str">
            <v>משרדי</v>
          </cell>
        </row>
      </sheetData>
      <sheetData sheetId="43">
        <row r="9">
          <cell r="O9" t="str">
            <v>משרדי</v>
          </cell>
        </row>
      </sheetData>
      <sheetData sheetId="44">
        <row r="9">
          <cell r="R9" t="str">
            <v>31 בדצמבר</v>
          </cell>
        </row>
      </sheetData>
      <sheetData sheetId="45" refreshError="1"/>
      <sheetData sheetId="46" refreshError="1"/>
      <sheetData sheetId="47"/>
      <sheetData sheetId="48"/>
      <sheetData sheetId="49" refreshError="1"/>
      <sheetData sheetId="50" refreshError="1"/>
      <sheetData sheetId="51"/>
      <sheetData sheetId="52"/>
      <sheetData sheetId="5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s number"/>
      <sheetName val="Sheet2"/>
      <sheetName val="הקצאות מימושים ופקיעות"/>
      <sheetName val="Oracle"/>
    </sheetNames>
    <sheetDataSet>
      <sheetData sheetId="0" refreshError="1"/>
      <sheetData sheetId="1" refreshError="1"/>
      <sheetData sheetId="2"/>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גיליון1"/>
      <sheetName val="ריכוז לפי רכיבים"/>
      <sheetName val="פרוט לפי עובדים"/>
      <sheetName val="הצגה לעובד בודד"/>
      <sheetName val="אין יותר"/>
      <sheetName val="גיליון3"/>
    </sheetNames>
    <sheetDataSet>
      <sheetData sheetId="0">
        <row r="1">
          <cell r="A1" t="str">
            <v>שם החברה</v>
          </cell>
          <cell r="B1" t="str">
            <v>שנת מס</v>
          </cell>
          <cell r="C1" t="str">
            <v>מספר עובד</v>
          </cell>
          <cell r="D1" t="str">
            <v>שם העובד</v>
          </cell>
          <cell r="E1" t="str">
            <v>מספר חודש</v>
          </cell>
          <cell r="F1" t="str">
            <v>מספר רכיב</v>
          </cell>
          <cell r="G1" t="str">
            <v>שם רכיב שכר</v>
          </cell>
          <cell r="H1" t="str">
            <v>סיכום ברוטו</v>
          </cell>
          <cell r="I1" t="str">
            <v>סיכום כמות</v>
          </cell>
          <cell r="J1" t="str">
            <v>שם מחלקה</v>
          </cell>
        </row>
        <row r="2">
          <cell r="A2" t="str">
            <v>רד סי אופטיקל נטוורק</v>
          </cell>
          <cell r="B2">
            <v>2004</v>
          </cell>
          <cell r="C2">
            <v>1</v>
          </cell>
          <cell r="D2" t="str">
            <v>בוקר יוסי</v>
          </cell>
          <cell r="E2">
            <v>1</v>
          </cell>
          <cell r="F2">
            <v>24</v>
          </cell>
          <cell r="G2" t="str">
            <v>שוויארוחות</v>
          </cell>
          <cell r="H2">
            <v>450</v>
          </cell>
          <cell r="I2">
            <v>1</v>
          </cell>
          <cell r="J2" t="str">
            <v>הנהלה</v>
          </cell>
        </row>
        <row r="3">
          <cell r="A3" t="str">
            <v>רד סי אופטיקל נטוורק</v>
          </cell>
          <cell r="B3">
            <v>2004</v>
          </cell>
          <cell r="C3">
            <v>1</v>
          </cell>
          <cell r="D3" t="str">
            <v>בוקר יוסי</v>
          </cell>
          <cell r="E3">
            <v>1</v>
          </cell>
          <cell r="F3">
            <v>40</v>
          </cell>
          <cell r="G3" t="str">
            <v>רכב קב' 2</v>
          </cell>
          <cell r="H3">
            <v>980</v>
          </cell>
          <cell r="I3">
            <v>0</v>
          </cell>
          <cell r="J3" t="str">
            <v>הנהלה</v>
          </cell>
        </row>
        <row r="4">
          <cell r="A4" t="str">
            <v>רד סי אופטיקל נטוורק</v>
          </cell>
          <cell r="B4">
            <v>2004</v>
          </cell>
          <cell r="C4">
            <v>1</v>
          </cell>
          <cell r="D4" t="str">
            <v>בוקר יוסי</v>
          </cell>
          <cell r="E4">
            <v>1</v>
          </cell>
          <cell r="F4">
            <v>47</v>
          </cell>
          <cell r="G4" t="str">
            <v>שווי פלא</v>
          </cell>
          <cell r="H4">
            <v>85</v>
          </cell>
          <cell r="I4">
            <v>0</v>
          </cell>
          <cell r="J4" t="str">
            <v>הנהלה</v>
          </cell>
        </row>
        <row r="5">
          <cell r="A5" t="str">
            <v>רד סי אופטיקל נטוורק</v>
          </cell>
          <cell r="B5">
            <v>2004</v>
          </cell>
          <cell r="C5">
            <v>1</v>
          </cell>
          <cell r="D5" t="str">
            <v>בוקר יוסי</v>
          </cell>
          <cell r="E5">
            <v>1</v>
          </cell>
          <cell r="F5">
            <v>91</v>
          </cell>
          <cell r="G5" t="str">
            <v>זק.השתלמות</v>
          </cell>
          <cell r="H5">
            <v>881.69</v>
          </cell>
          <cell r="I5">
            <v>0</v>
          </cell>
          <cell r="J5" t="str">
            <v>הנהלה</v>
          </cell>
        </row>
        <row r="6">
          <cell r="A6" t="str">
            <v>רד סי אופטיקל נטוורק</v>
          </cell>
          <cell r="B6">
            <v>2004</v>
          </cell>
          <cell r="C6">
            <v>1</v>
          </cell>
          <cell r="D6" t="str">
            <v>בוקר יוסי</v>
          </cell>
          <cell r="E6">
            <v>2</v>
          </cell>
          <cell r="F6">
            <v>24</v>
          </cell>
          <cell r="G6" t="str">
            <v>שוויארוחות</v>
          </cell>
          <cell r="H6">
            <v>319.5</v>
          </cell>
          <cell r="I6">
            <v>0.71</v>
          </cell>
          <cell r="J6" t="str">
            <v>הנהלה</v>
          </cell>
        </row>
        <row r="7">
          <cell r="A7" t="str">
            <v>רד סי אופטיקל נטוורק</v>
          </cell>
          <cell r="B7">
            <v>2004</v>
          </cell>
          <cell r="C7">
            <v>1</v>
          </cell>
          <cell r="D7" t="str">
            <v>בוקר יוסי</v>
          </cell>
          <cell r="E7">
            <v>2</v>
          </cell>
          <cell r="F7">
            <v>40</v>
          </cell>
          <cell r="G7" t="str">
            <v>רכב קב' 2</v>
          </cell>
          <cell r="H7">
            <v>980</v>
          </cell>
          <cell r="I7">
            <v>0</v>
          </cell>
          <cell r="J7" t="str">
            <v>הנהלה</v>
          </cell>
        </row>
        <row r="8">
          <cell r="A8" t="str">
            <v>רד סי אופטיקל נטוורק</v>
          </cell>
          <cell r="B8">
            <v>2004</v>
          </cell>
          <cell r="C8">
            <v>1</v>
          </cell>
          <cell r="D8" t="str">
            <v>בוקר יוסי</v>
          </cell>
          <cell r="E8">
            <v>2</v>
          </cell>
          <cell r="F8">
            <v>47</v>
          </cell>
          <cell r="G8" t="str">
            <v>שווי פלא</v>
          </cell>
          <cell r="H8">
            <v>85</v>
          </cell>
          <cell r="I8">
            <v>0</v>
          </cell>
          <cell r="J8" t="str">
            <v>הנהלה</v>
          </cell>
        </row>
        <row r="9">
          <cell r="A9" t="str">
            <v>רד סי אופטיקל נטוורק</v>
          </cell>
          <cell r="B9">
            <v>2004</v>
          </cell>
          <cell r="C9">
            <v>1</v>
          </cell>
          <cell r="D9" t="str">
            <v>בוקר יוסי</v>
          </cell>
          <cell r="E9">
            <v>2</v>
          </cell>
          <cell r="F9">
            <v>91</v>
          </cell>
          <cell r="G9" t="str">
            <v>זק.השתלמות</v>
          </cell>
          <cell r="H9">
            <v>881.69</v>
          </cell>
          <cell r="I9">
            <v>0</v>
          </cell>
          <cell r="J9" t="str">
            <v>הנהלה</v>
          </cell>
        </row>
        <row r="10">
          <cell r="A10" t="str">
            <v>רד סי אופטיקל נטוורק</v>
          </cell>
          <cell r="B10">
            <v>2004</v>
          </cell>
          <cell r="C10">
            <v>1</v>
          </cell>
          <cell r="D10" t="str">
            <v>בוקר יוסי</v>
          </cell>
          <cell r="E10">
            <v>3</v>
          </cell>
          <cell r="F10">
            <v>22</v>
          </cell>
          <cell r="G10" t="str">
            <v>שווי מתנות</v>
          </cell>
          <cell r="H10">
            <v>186.25</v>
          </cell>
          <cell r="I10">
            <v>0</v>
          </cell>
          <cell r="J10" t="str">
            <v>הנהלה</v>
          </cell>
        </row>
        <row r="11">
          <cell r="A11" t="str">
            <v>רד סי אופטיקל נטוורק</v>
          </cell>
          <cell r="B11">
            <v>2004</v>
          </cell>
          <cell r="C11">
            <v>1</v>
          </cell>
          <cell r="D11" t="str">
            <v>בוקר יוסי</v>
          </cell>
          <cell r="E11">
            <v>3</v>
          </cell>
          <cell r="F11">
            <v>24</v>
          </cell>
          <cell r="G11" t="str">
            <v>שוויארוחות</v>
          </cell>
          <cell r="H11">
            <v>409.5</v>
          </cell>
          <cell r="I11">
            <v>0.91</v>
          </cell>
          <cell r="J11" t="str">
            <v>הנהלה</v>
          </cell>
        </row>
        <row r="12">
          <cell r="A12" t="str">
            <v>רד סי אופטיקל נטוורק</v>
          </cell>
          <cell r="B12">
            <v>2004</v>
          </cell>
          <cell r="C12">
            <v>1</v>
          </cell>
          <cell r="D12" t="str">
            <v>בוקר יוסי</v>
          </cell>
          <cell r="E12">
            <v>3</v>
          </cell>
          <cell r="F12">
            <v>40</v>
          </cell>
          <cell r="G12" t="str">
            <v>רכב קב' 2</v>
          </cell>
          <cell r="H12">
            <v>980</v>
          </cell>
          <cell r="I12">
            <v>0</v>
          </cell>
          <cell r="J12" t="str">
            <v>הנהלה</v>
          </cell>
        </row>
        <row r="13">
          <cell r="A13" t="str">
            <v>רד סי אופטיקל נטוורק</v>
          </cell>
          <cell r="B13">
            <v>2004</v>
          </cell>
          <cell r="C13">
            <v>1</v>
          </cell>
          <cell r="D13" t="str">
            <v>בוקר יוסי</v>
          </cell>
          <cell r="E13">
            <v>3</v>
          </cell>
          <cell r="F13">
            <v>47</v>
          </cell>
          <cell r="G13" t="str">
            <v>שווי פלא</v>
          </cell>
          <cell r="H13">
            <v>85</v>
          </cell>
          <cell r="I13">
            <v>0</v>
          </cell>
          <cell r="J13" t="str">
            <v>הנהלה</v>
          </cell>
        </row>
        <row r="14">
          <cell r="A14" t="str">
            <v>רד סי אופטיקל נטוורק</v>
          </cell>
          <cell r="B14">
            <v>2004</v>
          </cell>
          <cell r="C14">
            <v>1</v>
          </cell>
          <cell r="D14" t="str">
            <v>בוקר יוסי</v>
          </cell>
          <cell r="E14">
            <v>3</v>
          </cell>
          <cell r="F14">
            <v>91</v>
          </cell>
          <cell r="G14" t="str">
            <v>זק.השתלמות</v>
          </cell>
          <cell r="H14">
            <v>858.29</v>
          </cell>
          <cell r="I14">
            <v>0</v>
          </cell>
          <cell r="J14" t="str">
            <v>הנהלה</v>
          </cell>
        </row>
        <row r="15">
          <cell r="A15" t="str">
            <v>רד סי אופטיקל נטוורק</v>
          </cell>
          <cell r="B15">
            <v>2004</v>
          </cell>
          <cell r="C15">
            <v>1</v>
          </cell>
          <cell r="D15" t="str">
            <v>בוקר יוסי</v>
          </cell>
          <cell r="E15">
            <v>4</v>
          </cell>
          <cell r="F15">
            <v>24</v>
          </cell>
          <cell r="G15" t="str">
            <v>שוויארוחות</v>
          </cell>
          <cell r="H15">
            <v>139.5</v>
          </cell>
          <cell r="I15">
            <v>0.31</v>
          </cell>
          <cell r="J15" t="str">
            <v>הנהלה</v>
          </cell>
        </row>
        <row r="16">
          <cell r="A16" t="str">
            <v>רד סי אופטיקל נטוורק</v>
          </cell>
          <cell r="B16">
            <v>2004</v>
          </cell>
          <cell r="C16">
            <v>1</v>
          </cell>
          <cell r="D16" t="str">
            <v>בוקר יוסי</v>
          </cell>
          <cell r="E16">
            <v>4</v>
          </cell>
          <cell r="F16">
            <v>40</v>
          </cell>
          <cell r="G16" t="str">
            <v>רכב קב' 2</v>
          </cell>
          <cell r="H16">
            <v>980</v>
          </cell>
          <cell r="I16">
            <v>0</v>
          </cell>
          <cell r="J16" t="str">
            <v>הנהלה</v>
          </cell>
        </row>
        <row r="17">
          <cell r="A17" t="str">
            <v>רד סי אופטיקל נטוורק</v>
          </cell>
          <cell r="B17">
            <v>2004</v>
          </cell>
          <cell r="C17">
            <v>1</v>
          </cell>
          <cell r="D17" t="str">
            <v>בוקר יוסי</v>
          </cell>
          <cell r="E17">
            <v>4</v>
          </cell>
          <cell r="F17">
            <v>47</v>
          </cell>
          <cell r="G17" t="str">
            <v>שווי פלא</v>
          </cell>
          <cell r="H17">
            <v>85</v>
          </cell>
          <cell r="I17">
            <v>0</v>
          </cell>
          <cell r="J17" t="str">
            <v>הנהלה</v>
          </cell>
        </row>
        <row r="18">
          <cell r="A18" t="str">
            <v>רד סי אופטיקל נטוורק</v>
          </cell>
          <cell r="B18">
            <v>2004</v>
          </cell>
          <cell r="C18">
            <v>1</v>
          </cell>
          <cell r="D18" t="str">
            <v>בוקר יוסי</v>
          </cell>
          <cell r="E18">
            <v>4</v>
          </cell>
          <cell r="F18">
            <v>91</v>
          </cell>
          <cell r="G18" t="str">
            <v>זק.השתלמות</v>
          </cell>
          <cell r="H18">
            <v>858.29</v>
          </cell>
          <cell r="I18">
            <v>0</v>
          </cell>
          <cell r="J18" t="str">
            <v>הנהלה</v>
          </cell>
        </row>
        <row r="19">
          <cell r="A19" t="str">
            <v>רד סי אופטיקל נטוורק</v>
          </cell>
          <cell r="B19">
            <v>2004</v>
          </cell>
          <cell r="C19">
            <v>1</v>
          </cell>
          <cell r="D19" t="str">
            <v>בוקר יוסי</v>
          </cell>
          <cell r="E19">
            <v>5</v>
          </cell>
          <cell r="F19">
            <v>24</v>
          </cell>
          <cell r="G19" t="str">
            <v>שוויארוחות</v>
          </cell>
          <cell r="H19">
            <v>450</v>
          </cell>
          <cell r="I19">
            <v>1</v>
          </cell>
          <cell r="J19" t="str">
            <v>הנהלה</v>
          </cell>
        </row>
        <row r="20">
          <cell r="A20" t="str">
            <v>רד סי אופטיקל נטוורק</v>
          </cell>
          <cell r="B20">
            <v>2004</v>
          </cell>
          <cell r="C20">
            <v>1</v>
          </cell>
          <cell r="D20" t="str">
            <v>בוקר יוסי</v>
          </cell>
          <cell r="E20">
            <v>5</v>
          </cell>
          <cell r="F20">
            <v>40</v>
          </cell>
          <cell r="G20" t="str">
            <v>רכב קב' 2</v>
          </cell>
          <cell r="H20">
            <v>980</v>
          </cell>
          <cell r="I20">
            <v>0</v>
          </cell>
          <cell r="J20" t="str">
            <v>הנהלה</v>
          </cell>
        </row>
        <row r="21">
          <cell r="A21" t="str">
            <v>רד סי אופטיקל נטוורק</v>
          </cell>
          <cell r="B21">
            <v>2004</v>
          </cell>
          <cell r="C21">
            <v>1</v>
          </cell>
          <cell r="D21" t="str">
            <v>בוקר יוסי</v>
          </cell>
          <cell r="E21">
            <v>5</v>
          </cell>
          <cell r="F21">
            <v>47</v>
          </cell>
          <cell r="G21" t="str">
            <v>שווי פלא</v>
          </cell>
          <cell r="H21">
            <v>85</v>
          </cell>
          <cell r="I21">
            <v>0</v>
          </cell>
          <cell r="J21" t="str">
            <v>הנהלה</v>
          </cell>
        </row>
        <row r="22">
          <cell r="A22" t="str">
            <v>רד סי אופטיקל נטוורק</v>
          </cell>
          <cell r="B22">
            <v>2004</v>
          </cell>
          <cell r="C22">
            <v>1</v>
          </cell>
          <cell r="D22" t="str">
            <v>בוקר יוסי</v>
          </cell>
          <cell r="E22">
            <v>5</v>
          </cell>
          <cell r="F22">
            <v>91</v>
          </cell>
          <cell r="G22" t="str">
            <v>זק.השתלמות</v>
          </cell>
          <cell r="H22">
            <v>858.29</v>
          </cell>
          <cell r="I22">
            <v>0</v>
          </cell>
          <cell r="J22" t="str">
            <v>הנהלה</v>
          </cell>
        </row>
        <row r="23">
          <cell r="A23" t="str">
            <v>רד סי אופטיקל נטוורק</v>
          </cell>
          <cell r="B23">
            <v>2004</v>
          </cell>
          <cell r="C23">
            <v>1</v>
          </cell>
          <cell r="D23" t="str">
            <v>בוקר יוסי</v>
          </cell>
          <cell r="E23">
            <v>6</v>
          </cell>
          <cell r="F23">
            <v>24</v>
          </cell>
          <cell r="G23" t="str">
            <v>שוויארוחות</v>
          </cell>
          <cell r="H23">
            <v>450</v>
          </cell>
          <cell r="I23">
            <v>1</v>
          </cell>
          <cell r="J23" t="str">
            <v>הנהלה</v>
          </cell>
        </row>
        <row r="24">
          <cell r="A24" t="str">
            <v>רד סי אופטיקל נטוורק</v>
          </cell>
          <cell r="B24">
            <v>2004</v>
          </cell>
          <cell r="C24">
            <v>1</v>
          </cell>
          <cell r="D24" t="str">
            <v>בוקר יוסי</v>
          </cell>
          <cell r="E24">
            <v>6</v>
          </cell>
          <cell r="F24">
            <v>40</v>
          </cell>
          <cell r="G24" t="str">
            <v>רכב קב' 2</v>
          </cell>
          <cell r="H24">
            <v>980</v>
          </cell>
          <cell r="I24">
            <v>0</v>
          </cell>
          <cell r="J24" t="str">
            <v>הנהלה</v>
          </cell>
        </row>
        <row r="25">
          <cell r="A25" t="str">
            <v>רד סי אופטיקל נטוורק</v>
          </cell>
          <cell r="B25">
            <v>2004</v>
          </cell>
          <cell r="C25">
            <v>1</v>
          </cell>
          <cell r="D25" t="str">
            <v>בוקר יוסי</v>
          </cell>
          <cell r="E25">
            <v>6</v>
          </cell>
          <cell r="F25">
            <v>47</v>
          </cell>
          <cell r="G25" t="str">
            <v>שווי פלא</v>
          </cell>
          <cell r="H25">
            <v>85</v>
          </cell>
          <cell r="I25">
            <v>0</v>
          </cell>
          <cell r="J25" t="str">
            <v>הנהלה</v>
          </cell>
        </row>
        <row r="26">
          <cell r="A26" t="str">
            <v>רד סי אופטיקל נטוורק</v>
          </cell>
          <cell r="B26">
            <v>2004</v>
          </cell>
          <cell r="C26">
            <v>1</v>
          </cell>
          <cell r="D26" t="str">
            <v>בוקר יוסי</v>
          </cell>
          <cell r="E26">
            <v>6</v>
          </cell>
          <cell r="F26">
            <v>91</v>
          </cell>
          <cell r="G26" t="str">
            <v>זק.השתלמות</v>
          </cell>
          <cell r="H26">
            <v>858.29</v>
          </cell>
          <cell r="I26">
            <v>0</v>
          </cell>
          <cell r="J26" t="str">
            <v>הנהלה</v>
          </cell>
        </row>
        <row r="27">
          <cell r="A27" t="str">
            <v>רד סי אופטיקל נטוורק</v>
          </cell>
          <cell r="B27">
            <v>2004</v>
          </cell>
          <cell r="C27">
            <v>1</v>
          </cell>
          <cell r="D27" t="str">
            <v>בוקר יוסי</v>
          </cell>
          <cell r="E27">
            <v>7</v>
          </cell>
          <cell r="F27">
            <v>24</v>
          </cell>
          <cell r="G27" t="str">
            <v>שוויארוחות</v>
          </cell>
          <cell r="H27">
            <v>450</v>
          </cell>
          <cell r="I27">
            <v>1</v>
          </cell>
          <cell r="J27" t="str">
            <v>הנהלה</v>
          </cell>
        </row>
        <row r="28">
          <cell r="A28" t="str">
            <v>רד סי אופטיקל נטוורק</v>
          </cell>
          <cell r="B28">
            <v>2004</v>
          </cell>
          <cell r="C28">
            <v>1</v>
          </cell>
          <cell r="D28" t="str">
            <v>בוקר יוסי</v>
          </cell>
          <cell r="E28">
            <v>7</v>
          </cell>
          <cell r="F28">
            <v>40</v>
          </cell>
          <cell r="G28" t="str">
            <v>רכב קב' 2</v>
          </cell>
          <cell r="H28">
            <v>980</v>
          </cell>
          <cell r="I28">
            <v>0</v>
          </cell>
          <cell r="J28" t="str">
            <v>הנהלה</v>
          </cell>
        </row>
        <row r="29">
          <cell r="A29" t="str">
            <v>רד סי אופטיקל נטוורק</v>
          </cell>
          <cell r="B29">
            <v>2004</v>
          </cell>
          <cell r="C29">
            <v>1</v>
          </cell>
          <cell r="D29" t="str">
            <v>בוקר יוסי</v>
          </cell>
          <cell r="E29">
            <v>7</v>
          </cell>
          <cell r="F29">
            <v>47</v>
          </cell>
          <cell r="G29" t="str">
            <v>שווי פלא</v>
          </cell>
          <cell r="H29">
            <v>85</v>
          </cell>
          <cell r="I29">
            <v>0</v>
          </cell>
          <cell r="J29" t="str">
            <v>הנהלה</v>
          </cell>
        </row>
        <row r="30">
          <cell r="A30" t="str">
            <v>רד סי אופטיקל נטוורק</v>
          </cell>
          <cell r="B30">
            <v>2004</v>
          </cell>
          <cell r="C30">
            <v>1</v>
          </cell>
          <cell r="D30" t="str">
            <v>בוקר יוסי</v>
          </cell>
          <cell r="E30">
            <v>7</v>
          </cell>
          <cell r="F30">
            <v>91</v>
          </cell>
          <cell r="G30" t="str">
            <v>זק.השתלמות</v>
          </cell>
          <cell r="H30">
            <v>9273.89</v>
          </cell>
          <cell r="I30">
            <v>0</v>
          </cell>
          <cell r="J30" t="str">
            <v>הנהלה</v>
          </cell>
        </row>
        <row r="31">
          <cell r="A31" t="str">
            <v>רד סי אופטיקל נטוורק</v>
          </cell>
          <cell r="B31">
            <v>2004</v>
          </cell>
          <cell r="C31">
            <v>1</v>
          </cell>
          <cell r="D31" t="str">
            <v>בוקר יוסי</v>
          </cell>
          <cell r="E31">
            <v>7</v>
          </cell>
          <cell r="F31">
            <v>93</v>
          </cell>
          <cell r="G31" t="str">
            <v>זק.תגמולים</v>
          </cell>
          <cell r="H31">
            <v>3915</v>
          </cell>
          <cell r="I31">
            <v>0</v>
          </cell>
          <cell r="J31" t="str">
            <v>הנהלה</v>
          </cell>
        </row>
        <row r="32">
          <cell r="A32" t="str">
            <v>רד סי אופטיקל נטוורק</v>
          </cell>
          <cell r="B32">
            <v>2004</v>
          </cell>
          <cell r="C32">
            <v>1</v>
          </cell>
          <cell r="D32" t="str">
            <v>בוקר יוסי</v>
          </cell>
          <cell r="E32">
            <v>8</v>
          </cell>
          <cell r="F32">
            <v>24</v>
          </cell>
          <cell r="G32" t="str">
            <v>שוויארוחות</v>
          </cell>
          <cell r="H32">
            <v>483</v>
          </cell>
          <cell r="I32">
            <v>23</v>
          </cell>
          <cell r="J32" t="str">
            <v>הנהלה</v>
          </cell>
        </row>
        <row r="33">
          <cell r="A33" t="str">
            <v>רד סי אופטיקל נטוורק</v>
          </cell>
          <cell r="B33">
            <v>2004</v>
          </cell>
          <cell r="C33">
            <v>1</v>
          </cell>
          <cell r="D33" t="str">
            <v>בוקר יוסי</v>
          </cell>
          <cell r="E33">
            <v>8</v>
          </cell>
          <cell r="F33">
            <v>40</v>
          </cell>
          <cell r="G33" t="str">
            <v>רכב קב' 2</v>
          </cell>
          <cell r="H33">
            <v>980</v>
          </cell>
          <cell r="I33">
            <v>0</v>
          </cell>
          <cell r="J33" t="str">
            <v>הנהלה</v>
          </cell>
        </row>
        <row r="34">
          <cell r="A34" t="str">
            <v>רד סי אופטיקל נטוורק</v>
          </cell>
          <cell r="B34">
            <v>2004</v>
          </cell>
          <cell r="C34">
            <v>1</v>
          </cell>
          <cell r="D34" t="str">
            <v>בוקר יוסי</v>
          </cell>
          <cell r="E34">
            <v>8</v>
          </cell>
          <cell r="F34">
            <v>47</v>
          </cell>
          <cell r="G34" t="str">
            <v>שווי פלא</v>
          </cell>
          <cell r="H34">
            <v>85</v>
          </cell>
          <cell r="I34">
            <v>0</v>
          </cell>
          <cell r="J34" t="str">
            <v>הנהלה</v>
          </cell>
        </row>
        <row r="35">
          <cell r="A35" t="str">
            <v>רד סי אופטיקל נטוורק</v>
          </cell>
          <cell r="B35">
            <v>2004</v>
          </cell>
          <cell r="C35">
            <v>1</v>
          </cell>
          <cell r="D35" t="str">
            <v>בוקר יוסי</v>
          </cell>
          <cell r="E35">
            <v>8</v>
          </cell>
          <cell r="F35">
            <v>91</v>
          </cell>
          <cell r="G35" t="str">
            <v>זק.השתלמות</v>
          </cell>
          <cell r="H35">
            <v>1472.79</v>
          </cell>
          <cell r="I35">
            <v>0</v>
          </cell>
          <cell r="J35" t="str">
            <v>הנהלה</v>
          </cell>
        </row>
        <row r="36">
          <cell r="A36" t="str">
            <v>רד סי אופטיקל נטוורק</v>
          </cell>
          <cell r="B36">
            <v>2004</v>
          </cell>
          <cell r="C36">
            <v>1</v>
          </cell>
          <cell r="D36" t="str">
            <v>בוקר יוסי</v>
          </cell>
          <cell r="E36">
            <v>8</v>
          </cell>
          <cell r="F36">
            <v>93</v>
          </cell>
          <cell r="G36" t="str">
            <v>זק.תגמולים</v>
          </cell>
          <cell r="H36">
            <v>167.45</v>
          </cell>
          <cell r="I36">
            <v>0</v>
          </cell>
          <cell r="J36" t="str">
            <v>הנהלה</v>
          </cell>
        </row>
        <row r="37">
          <cell r="A37" t="str">
            <v>רד סי אופטיקל נטוורק</v>
          </cell>
          <cell r="B37">
            <v>2004</v>
          </cell>
          <cell r="C37">
            <v>1</v>
          </cell>
          <cell r="D37" t="str">
            <v>בוקר יוסי</v>
          </cell>
          <cell r="E37">
            <v>9</v>
          </cell>
          <cell r="F37">
            <v>22</v>
          </cell>
          <cell r="G37" t="str">
            <v>שווי מתנות</v>
          </cell>
          <cell r="H37">
            <v>459.25</v>
          </cell>
          <cell r="I37">
            <v>0</v>
          </cell>
          <cell r="J37" t="str">
            <v>הנהלה</v>
          </cell>
        </row>
        <row r="38">
          <cell r="A38" t="str">
            <v>רד סי אופטיקל נטוורק</v>
          </cell>
          <cell r="B38">
            <v>2004</v>
          </cell>
          <cell r="C38">
            <v>1</v>
          </cell>
          <cell r="D38" t="str">
            <v>בוקר יוסי</v>
          </cell>
          <cell r="E38">
            <v>9</v>
          </cell>
          <cell r="F38">
            <v>24</v>
          </cell>
          <cell r="G38" t="str">
            <v>שוויארוחות</v>
          </cell>
          <cell r="H38">
            <v>378</v>
          </cell>
          <cell r="I38">
            <v>18</v>
          </cell>
          <cell r="J38" t="str">
            <v>הנהלה</v>
          </cell>
        </row>
        <row r="39">
          <cell r="A39" t="str">
            <v>רד סי אופטיקל נטוורק</v>
          </cell>
          <cell r="B39">
            <v>2004</v>
          </cell>
          <cell r="C39">
            <v>1</v>
          </cell>
          <cell r="D39" t="str">
            <v>בוקר יוסי</v>
          </cell>
          <cell r="E39">
            <v>9</v>
          </cell>
          <cell r="F39">
            <v>40</v>
          </cell>
          <cell r="G39" t="str">
            <v>רכב קב' 2</v>
          </cell>
          <cell r="H39">
            <v>980</v>
          </cell>
          <cell r="I39">
            <v>0</v>
          </cell>
          <cell r="J39" t="str">
            <v>הנהלה</v>
          </cell>
        </row>
        <row r="40">
          <cell r="A40" t="str">
            <v>רד סי אופטיקל נטוורק</v>
          </cell>
          <cell r="B40">
            <v>2004</v>
          </cell>
          <cell r="C40">
            <v>1</v>
          </cell>
          <cell r="D40" t="str">
            <v>בוקר יוסי</v>
          </cell>
          <cell r="E40">
            <v>9</v>
          </cell>
          <cell r="F40">
            <v>47</v>
          </cell>
          <cell r="G40" t="str">
            <v>שווי פלא</v>
          </cell>
          <cell r="H40">
            <v>85</v>
          </cell>
          <cell r="I40">
            <v>0</v>
          </cell>
          <cell r="J40" t="str">
            <v>הנהלה</v>
          </cell>
        </row>
        <row r="41">
          <cell r="A41" t="str">
            <v>רד סי אופטיקל נטוורק</v>
          </cell>
          <cell r="B41">
            <v>2004</v>
          </cell>
          <cell r="C41">
            <v>1</v>
          </cell>
          <cell r="D41" t="str">
            <v>בוקר יוסי</v>
          </cell>
          <cell r="E41">
            <v>9</v>
          </cell>
          <cell r="F41">
            <v>91</v>
          </cell>
          <cell r="G41" t="str">
            <v>זק.השתלמות</v>
          </cell>
          <cell r="H41">
            <v>858.29</v>
          </cell>
          <cell r="I41">
            <v>0</v>
          </cell>
          <cell r="J41" t="str">
            <v>הנהלה</v>
          </cell>
        </row>
        <row r="42">
          <cell r="A42" t="str">
            <v>רד סי אופטיקל נטוורק</v>
          </cell>
          <cell r="B42">
            <v>2004</v>
          </cell>
          <cell r="C42">
            <v>1</v>
          </cell>
          <cell r="D42" t="str">
            <v>בוקר יוסי</v>
          </cell>
          <cell r="E42">
            <v>9</v>
          </cell>
          <cell r="F42">
            <v>93</v>
          </cell>
          <cell r="G42" t="str">
            <v>זק.תגמולים</v>
          </cell>
          <cell r="H42">
            <v>-242.2</v>
          </cell>
          <cell r="I42">
            <v>0</v>
          </cell>
          <cell r="J42" t="str">
            <v>הנהלה</v>
          </cell>
        </row>
        <row r="43">
          <cell r="A43" t="str">
            <v>רד סי אופטיקל נטוורק</v>
          </cell>
          <cell r="B43">
            <v>2004</v>
          </cell>
          <cell r="C43">
            <v>1</v>
          </cell>
          <cell r="D43" t="str">
            <v>בוקר יוסי</v>
          </cell>
          <cell r="E43">
            <v>10</v>
          </cell>
          <cell r="F43">
            <v>24</v>
          </cell>
          <cell r="G43" t="str">
            <v>שוויארוחות</v>
          </cell>
          <cell r="H43">
            <v>399</v>
          </cell>
          <cell r="I43">
            <v>19</v>
          </cell>
          <cell r="J43" t="str">
            <v>הנהלה</v>
          </cell>
        </row>
        <row r="44">
          <cell r="A44" t="str">
            <v>רד סי אופטיקל נטוורק</v>
          </cell>
          <cell r="B44">
            <v>2004</v>
          </cell>
          <cell r="C44">
            <v>1</v>
          </cell>
          <cell r="D44" t="str">
            <v>בוקר יוסי</v>
          </cell>
          <cell r="E44">
            <v>10</v>
          </cell>
          <cell r="F44">
            <v>40</v>
          </cell>
          <cell r="G44" t="str">
            <v>רכב קב' 2</v>
          </cell>
          <cell r="H44">
            <v>980</v>
          </cell>
          <cell r="I44">
            <v>0</v>
          </cell>
          <cell r="J44" t="str">
            <v>הנהלה</v>
          </cell>
        </row>
        <row r="45">
          <cell r="A45" t="str">
            <v>רד סי אופטיקל נטוורק</v>
          </cell>
          <cell r="B45">
            <v>2004</v>
          </cell>
          <cell r="C45">
            <v>1</v>
          </cell>
          <cell r="D45" t="str">
            <v>בוקר יוסי</v>
          </cell>
          <cell r="E45">
            <v>10</v>
          </cell>
          <cell r="F45">
            <v>47</v>
          </cell>
          <cell r="G45" t="str">
            <v>שווי פלא</v>
          </cell>
          <cell r="H45">
            <v>85</v>
          </cell>
          <cell r="I45">
            <v>0</v>
          </cell>
          <cell r="J45" t="str">
            <v>הנהלה</v>
          </cell>
        </row>
        <row r="46">
          <cell r="A46" t="str">
            <v>רד סי אופטיקל נטוורק</v>
          </cell>
          <cell r="B46">
            <v>2004</v>
          </cell>
          <cell r="C46">
            <v>1</v>
          </cell>
          <cell r="D46" t="str">
            <v>בוקר יוסי</v>
          </cell>
          <cell r="E46">
            <v>10</v>
          </cell>
          <cell r="F46">
            <v>91</v>
          </cell>
          <cell r="G46" t="str">
            <v>זק.השתלמות</v>
          </cell>
          <cell r="H46">
            <v>2377.5</v>
          </cell>
          <cell r="I46">
            <v>0</v>
          </cell>
          <cell r="J46" t="str">
            <v>הנהלה</v>
          </cell>
        </row>
        <row r="47">
          <cell r="A47" t="str">
            <v>רד סי אופטיקל נטוורק</v>
          </cell>
          <cell r="B47">
            <v>2004</v>
          </cell>
          <cell r="C47">
            <v>1</v>
          </cell>
          <cell r="D47" t="str">
            <v>בוקר יוסי</v>
          </cell>
          <cell r="E47">
            <v>10</v>
          </cell>
          <cell r="F47">
            <v>93</v>
          </cell>
          <cell r="G47" t="str">
            <v>זק.תגמולים</v>
          </cell>
          <cell r="H47">
            <v>-242.2</v>
          </cell>
          <cell r="I47">
            <v>0</v>
          </cell>
          <cell r="J47" t="str">
            <v>הנהלה</v>
          </cell>
        </row>
        <row r="48">
          <cell r="A48" t="str">
            <v>רד סי אופטיקל נטוורק</v>
          </cell>
          <cell r="B48">
            <v>2004</v>
          </cell>
          <cell r="C48">
            <v>1</v>
          </cell>
          <cell r="D48" t="str">
            <v>בוקר יוסי</v>
          </cell>
          <cell r="E48">
            <v>11</v>
          </cell>
          <cell r="F48">
            <v>24</v>
          </cell>
          <cell r="G48" t="str">
            <v>שוויארוחות</v>
          </cell>
          <cell r="H48">
            <v>441</v>
          </cell>
          <cell r="I48">
            <v>21</v>
          </cell>
          <cell r="J48" t="str">
            <v>הנהלה</v>
          </cell>
        </row>
        <row r="49">
          <cell r="A49" t="str">
            <v>רד סי אופטיקל נטוורק</v>
          </cell>
          <cell r="B49">
            <v>2004</v>
          </cell>
          <cell r="C49">
            <v>1</v>
          </cell>
          <cell r="D49" t="str">
            <v>בוקר יוסי</v>
          </cell>
          <cell r="E49">
            <v>11</v>
          </cell>
          <cell r="F49">
            <v>40</v>
          </cell>
          <cell r="G49" t="str">
            <v>רכב קב' 2</v>
          </cell>
          <cell r="H49">
            <v>980</v>
          </cell>
          <cell r="I49">
            <v>0</v>
          </cell>
          <cell r="J49" t="str">
            <v>הנהלה</v>
          </cell>
        </row>
        <row r="50">
          <cell r="A50" t="str">
            <v>רד סי אופטיקל נטוורק</v>
          </cell>
          <cell r="B50">
            <v>2004</v>
          </cell>
          <cell r="C50">
            <v>1</v>
          </cell>
          <cell r="D50" t="str">
            <v>בוקר יוסי</v>
          </cell>
          <cell r="E50">
            <v>11</v>
          </cell>
          <cell r="F50">
            <v>47</v>
          </cell>
          <cell r="G50" t="str">
            <v>שווי פלא</v>
          </cell>
          <cell r="H50">
            <v>85</v>
          </cell>
          <cell r="I50">
            <v>0</v>
          </cell>
          <cell r="J50" t="str">
            <v>הנהלה</v>
          </cell>
        </row>
        <row r="51">
          <cell r="A51" t="str">
            <v>רד סי אופטיקל נטוורק</v>
          </cell>
          <cell r="B51">
            <v>2004</v>
          </cell>
          <cell r="C51">
            <v>1</v>
          </cell>
          <cell r="D51" t="str">
            <v>בוקר יוסי</v>
          </cell>
          <cell r="E51">
            <v>11</v>
          </cell>
          <cell r="F51">
            <v>91</v>
          </cell>
          <cell r="G51" t="str">
            <v>זק.השתלמות</v>
          </cell>
          <cell r="H51">
            <v>1234.5</v>
          </cell>
          <cell r="I51">
            <v>0</v>
          </cell>
          <cell r="J51" t="str">
            <v>הנהלה</v>
          </cell>
        </row>
        <row r="52">
          <cell r="A52" t="str">
            <v>רד סי אופטיקל נטוורק</v>
          </cell>
          <cell r="B52">
            <v>2004</v>
          </cell>
          <cell r="C52">
            <v>1</v>
          </cell>
          <cell r="D52" t="str">
            <v>בוקר יוסי</v>
          </cell>
          <cell r="E52">
            <v>11</v>
          </cell>
          <cell r="F52">
            <v>93</v>
          </cell>
          <cell r="G52" t="str">
            <v>זק.תגמולים</v>
          </cell>
          <cell r="H52">
            <v>-242.2</v>
          </cell>
          <cell r="I52">
            <v>0</v>
          </cell>
          <cell r="J52" t="str">
            <v>הנהלה</v>
          </cell>
        </row>
        <row r="53">
          <cell r="A53" t="str">
            <v>רד סי אופטיקל נטוורק</v>
          </cell>
          <cell r="B53">
            <v>2004</v>
          </cell>
          <cell r="C53">
            <v>1</v>
          </cell>
          <cell r="D53" t="str">
            <v>בוקר יוסי</v>
          </cell>
          <cell r="E53">
            <v>12</v>
          </cell>
          <cell r="F53">
            <v>22</v>
          </cell>
          <cell r="G53" t="str">
            <v>שווי מתנות</v>
          </cell>
          <cell r="H53">
            <v>0</v>
          </cell>
          <cell r="I53">
            <v>0</v>
          </cell>
          <cell r="J53" t="str">
            <v>הנהלה</v>
          </cell>
        </row>
        <row r="54">
          <cell r="A54" t="str">
            <v>רד סי אופטיקל נטוורק</v>
          </cell>
          <cell r="B54">
            <v>2004</v>
          </cell>
          <cell r="C54">
            <v>1</v>
          </cell>
          <cell r="D54" t="str">
            <v>בוקר יוסי</v>
          </cell>
          <cell r="E54">
            <v>12</v>
          </cell>
          <cell r="F54">
            <v>24</v>
          </cell>
          <cell r="G54" t="str">
            <v>שוויארוחות</v>
          </cell>
          <cell r="H54">
            <v>462</v>
          </cell>
          <cell r="I54">
            <v>22</v>
          </cell>
          <cell r="J54" t="str">
            <v>הנהלה</v>
          </cell>
        </row>
        <row r="55">
          <cell r="A55" t="str">
            <v>רד סי אופטיקל נטוורק</v>
          </cell>
          <cell r="B55">
            <v>2004</v>
          </cell>
          <cell r="C55">
            <v>1</v>
          </cell>
          <cell r="D55" t="str">
            <v>בוקר יוסי</v>
          </cell>
          <cell r="E55">
            <v>12</v>
          </cell>
          <cell r="F55">
            <v>40</v>
          </cell>
          <cell r="G55" t="str">
            <v>רכב קב' 2</v>
          </cell>
          <cell r="H55">
            <v>980</v>
          </cell>
          <cell r="I55">
            <v>0</v>
          </cell>
          <cell r="J55" t="str">
            <v>הנהלה</v>
          </cell>
        </row>
        <row r="56">
          <cell r="A56" t="str">
            <v>רד סי אופטיקל נטוורק</v>
          </cell>
          <cell r="B56">
            <v>2004</v>
          </cell>
          <cell r="C56">
            <v>1</v>
          </cell>
          <cell r="D56" t="str">
            <v>בוקר יוסי</v>
          </cell>
          <cell r="E56">
            <v>12</v>
          </cell>
          <cell r="F56">
            <v>47</v>
          </cell>
          <cell r="G56" t="str">
            <v>שווי פלא</v>
          </cell>
          <cell r="H56">
            <v>85</v>
          </cell>
          <cell r="I56">
            <v>0</v>
          </cell>
          <cell r="J56" t="str">
            <v>הנהלה</v>
          </cell>
        </row>
        <row r="57">
          <cell r="A57" t="str">
            <v>רד סי אופטיקל נטוורק</v>
          </cell>
          <cell r="B57">
            <v>2004</v>
          </cell>
          <cell r="C57">
            <v>1</v>
          </cell>
          <cell r="D57" t="str">
            <v>בוקר יוסי</v>
          </cell>
          <cell r="E57">
            <v>12</v>
          </cell>
          <cell r="F57">
            <v>91</v>
          </cell>
          <cell r="G57" t="str">
            <v>זק.השתלמות</v>
          </cell>
          <cell r="H57">
            <v>1234.5</v>
          </cell>
          <cell r="I57">
            <v>0</v>
          </cell>
          <cell r="J57" t="str">
            <v>הנהלה</v>
          </cell>
        </row>
        <row r="58">
          <cell r="A58" t="str">
            <v>רד סי אופטיקל נטוורק</v>
          </cell>
          <cell r="B58">
            <v>2004</v>
          </cell>
          <cell r="C58">
            <v>1</v>
          </cell>
          <cell r="D58" t="str">
            <v>בוקר יוסי</v>
          </cell>
          <cell r="E58">
            <v>12</v>
          </cell>
          <cell r="F58">
            <v>93</v>
          </cell>
          <cell r="G58" t="str">
            <v>זק.תגמולים</v>
          </cell>
          <cell r="H58">
            <v>-242.2</v>
          </cell>
          <cell r="I58">
            <v>0</v>
          </cell>
          <cell r="J58" t="str">
            <v>הנהלה</v>
          </cell>
        </row>
        <row r="59">
          <cell r="A59" t="str">
            <v>רד סי אופטיקל נטוורק</v>
          </cell>
          <cell r="B59">
            <v>2004</v>
          </cell>
          <cell r="C59">
            <v>2</v>
          </cell>
          <cell r="D59" t="str">
            <v>גרא אורי</v>
          </cell>
          <cell r="E59">
            <v>1</v>
          </cell>
          <cell r="F59">
            <v>24</v>
          </cell>
          <cell r="G59" t="str">
            <v>שוויארוחות</v>
          </cell>
          <cell r="H59">
            <v>319.5</v>
          </cell>
          <cell r="I59">
            <v>0.71</v>
          </cell>
          <cell r="J59" t="str">
            <v>מו"פ</v>
          </cell>
        </row>
        <row r="60">
          <cell r="A60" t="str">
            <v>רד סי אופטיקל נטוורק</v>
          </cell>
          <cell r="B60">
            <v>2004</v>
          </cell>
          <cell r="C60">
            <v>2</v>
          </cell>
          <cell r="D60" t="str">
            <v>גרא אורי</v>
          </cell>
          <cell r="E60">
            <v>1</v>
          </cell>
          <cell r="F60">
            <v>40</v>
          </cell>
          <cell r="G60" t="str">
            <v>רכב קב' 2</v>
          </cell>
          <cell r="H60">
            <v>980</v>
          </cell>
          <cell r="I60">
            <v>0</v>
          </cell>
          <cell r="J60" t="str">
            <v>מו"פ</v>
          </cell>
        </row>
        <row r="61">
          <cell r="A61" t="str">
            <v>רד סי אופטיקל נטוורק</v>
          </cell>
          <cell r="B61">
            <v>2004</v>
          </cell>
          <cell r="C61">
            <v>2</v>
          </cell>
          <cell r="D61" t="str">
            <v>גרא אורי</v>
          </cell>
          <cell r="E61">
            <v>1</v>
          </cell>
          <cell r="F61">
            <v>47</v>
          </cell>
          <cell r="G61" t="str">
            <v>שווי פלא</v>
          </cell>
          <cell r="H61">
            <v>85</v>
          </cell>
          <cell r="I61">
            <v>0</v>
          </cell>
          <cell r="J61" t="str">
            <v>מו"פ</v>
          </cell>
        </row>
        <row r="62">
          <cell r="A62" t="str">
            <v>רד סי אופטיקל נטוורק</v>
          </cell>
          <cell r="B62">
            <v>2004</v>
          </cell>
          <cell r="C62">
            <v>2</v>
          </cell>
          <cell r="D62" t="str">
            <v>גרא אורי</v>
          </cell>
          <cell r="E62">
            <v>1</v>
          </cell>
          <cell r="F62">
            <v>91</v>
          </cell>
          <cell r="G62" t="str">
            <v>זק.השתלמות</v>
          </cell>
          <cell r="H62">
            <v>506.69</v>
          </cell>
          <cell r="I62">
            <v>0</v>
          </cell>
          <cell r="J62" t="str">
            <v>מו"פ</v>
          </cell>
        </row>
        <row r="63">
          <cell r="A63" t="str">
            <v>רד סי אופטיקל נטוורק</v>
          </cell>
          <cell r="B63">
            <v>2004</v>
          </cell>
          <cell r="C63">
            <v>2</v>
          </cell>
          <cell r="D63" t="str">
            <v>גרא אורי</v>
          </cell>
          <cell r="E63">
            <v>2</v>
          </cell>
          <cell r="F63">
            <v>24</v>
          </cell>
          <cell r="G63" t="str">
            <v>שוויארוחות</v>
          </cell>
          <cell r="H63">
            <v>301.5</v>
          </cell>
          <cell r="I63">
            <v>0.67</v>
          </cell>
          <cell r="J63" t="str">
            <v>מו"פ</v>
          </cell>
        </row>
        <row r="64">
          <cell r="A64" t="str">
            <v>רד סי אופטיקל נטוורק</v>
          </cell>
          <cell r="B64">
            <v>2004</v>
          </cell>
          <cell r="C64">
            <v>2</v>
          </cell>
          <cell r="D64" t="str">
            <v>גרא אורי</v>
          </cell>
          <cell r="E64">
            <v>2</v>
          </cell>
          <cell r="F64">
            <v>40</v>
          </cell>
          <cell r="G64" t="str">
            <v>רכב קב' 2</v>
          </cell>
          <cell r="H64">
            <v>980</v>
          </cell>
          <cell r="I64">
            <v>0</v>
          </cell>
          <cell r="J64" t="str">
            <v>מו"פ</v>
          </cell>
        </row>
        <row r="65">
          <cell r="A65" t="str">
            <v>רד סי אופטיקל נטוורק</v>
          </cell>
          <cell r="B65">
            <v>2004</v>
          </cell>
          <cell r="C65">
            <v>2</v>
          </cell>
          <cell r="D65" t="str">
            <v>גרא אורי</v>
          </cell>
          <cell r="E65">
            <v>2</v>
          </cell>
          <cell r="F65">
            <v>47</v>
          </cell>
          <cell r="G65" t="str">
            <v>שווי פלא</v>
          </cell>
          <cell r="H65">
            <v>85</v>
          </cell>
          <cell r="I65">
            <v>0</v>
          </cell>
          <cell r="J65" t="str">
            <v>מו"פ</v>
          </cell>
        </row>
        <row r="66">
          <cell r="A66" t="str">
            <v>רד סי אופטיקל נטוורק</v>
          </cell>
          <cell r="B66">
            <v>2004</v>
          </cell>
          <cell r="C66">
            <v>2</v>
          </cell>
          <cell r="D66" t="str">
            <v>גרא אורי</v>
          </cell>
          <cell r="E66">
            <v>2</v>
          </cell>
          <cell r="F66">
            <v>91</v>
          </cell>
          <cell r="G66" t="str">
            <v>זק.השתלמות</v>
          </cell>
          <cell r="H66">
            <v>506.69</v>
          </cell>
          <cell r="I66">
            <v>0</v>
          </cell>
          <cell r="J66" t="str">
            <v>מו"פ</v>
          </cell>
        </row>
        <row r="67">
          <cell r="A67" t="str">
            <v>רד סי אופטיקל נטוורק</v>
          </cell>
          <cell r="B67">
            <v>2004</v>
          </cell>
          <cell r="C67">
            <v>2</v>
          </cell>
          <cell r="D67" t="str">
            <v>גרא אורי</v>
          </cell>
          <cell r="E67">
            <v>3</v>
          </cell>
          <cell r="F67">
            <v>22</v>
          </cell>
          <cell r="G67" t="str">
            <v>שווי מתנות</v>
          </cell>
          <cell r="H67">
            <v>186.25</v>
          </cell>
          <cell r="I67">
            <v>0</v>
          </cell>
          <cell r="J67" t="str">
            <v>מו"פ</v>
          </cell>
        </row>
        <row r="68">
          <cell r="A68" t="str">
            <v>רד סי אופטיקל נטוורק</v>
          </cell>
          <cell r="B68">
            <v>2004</v>
          </cell>
          <cell r="C68">
            <v>2</v>
          </cell>
          <cell r="D68" t="str">
            <v>גרא אורי</v>
          </cell>
          <cell r="E68">
            <v>3</v>
          </cell>
          <cell r="F68">
            <v>24</v>
          </cell>
          <cell r="G68" t="str">
            <v>שוויארוחות</v>
          </cell>
          <cell r="H68">
            <v>450</v>
          </cell>
          <cell r="I68">
            <v>1</v>
          </cell>
          <cell r="J68" t="str">
            <v>מו"פ</v>
          </cell>
        </row>
        <row r="69">
          <cell r="A69" t="str">
            <v>רד סי אופטיקל נטוורק</v>
          </cell>
          <cell r="B69">
            <v>2004</v>
          </cell>
          <cell r="C69">
            <v>2</v>
          </cell>
          <cell r="D69" t="str">
            <v>גרא אורי</v>
          </cell>
          <cell r="E69">
            <v>3</v>
          </cell>
          <cell r="F69">
            <v>40</v>
          </cell>
          <cell r="G69" t="str">
            <v>רכב קב' 2</v>
          </cell>
          <cell r="H69">
            <v>980</v>
          </cell>
          <cell r="I69">
            <v>0</v>
          </cell>
          <cell r="J69" t="str">
            <v>מו"פ</v>
          </cell>
        </row>
        <row r="70">
          <cell r="A70" t="str">
            <v>רד סי אופטיקל נטוורק</v>
          </cell>
          <cell r="B70">
            <v>2004</v>
          </cell>
          <cell r="C70">
            <v>2</v>
          </cell>
          <cell r="D70" t="str">
            <v>גרא אורי</v>
          </cell>
          <cell r="E70">
            <v>3</v>
          </cell>
          <cell r="F70">
            <v>47</v>
          </cell>
          <cell r="G70" t="str">
            <v>שווי פלא</v>
          </cell>
          <cell r="H70">
            <v>85</v>
          </cell>
          <cell r="I70">
            <v>0</v>
          </cell>
          <cell r="J70" t="str">
            <v>מו"פ</v>
          </cell>
        </row>
        <row r="71">
          <cell r="A71" t="str">
            <v>רד סי אופטיקל נטוורק</v>
          </cell>
          <cell r="B71">
            <v>2004</v>
          </cell>
          <cell r="C71">
            <v>2</v>
          </cell>
          <cell r="D71" t="str">
            <v>גרא אורי</v>
          </cell>
          <cell r="E71">
            <v>3</v>
          </cell>
          <cell r="F71">
            <v>91</v>
          </cell>
          <cell r="G71" t="str">
            <v>זק.השתלמות</v>
          </cell>
          <cell r="H71">
            <v>483.29</v>
          </cell>
          <cell r="I71">
            <v>0</v>
          </cell>
          <cell r="J71" t="str">
            <v>מו"פ</v>
          </cell>
        </row>
        <row r="72">
          <cell r="A72" t="str">
            <v>רד סי אופטיקל נטוורק</v>
          </cell>
          <cell r="B72">
            <v>2004</v>
          </cell>
          <cell r="C72">
            <v>2</v>
          </cell>
          <cell r="D72" t="str">
            <v>גרא אורי</v>
          </cell>
          <cell r="E72">
            <v>4</v>
          </cell>
          <cell r="F72">
            <v>24</v>
          </cell>
          <cell r="G72" t="str">
            <v>שוויארוחות</v>
          </cell>
          <cell r="H72">
            <v>382.5</v>
          </cell>
          <cell r="I72">
            <v>0.85</v>
          </cell>
          <cell r="J72" t="str">
            <v>מו"פ</v>
          </cell>
        </row>
        <row r="73">
          <cell r="A73" t="str">
            <v>רד סי אופטיקל נטוורק</v>
          </cell>
          <cell r="B73">
            <v>2004</v>
          </cell>
          <cell r="C73">
            <v>2</v>
          </cell>
          <cell r="D73" t="str">
            <v>גרא אורי</v>
          </cell>
          <cell r="E73">
            <v>4</v>
          </cell>
          <cell r="F73">
            <v>40</v>
          </cell>
          <cell r="G73" t="str">
            <v>רכב קב' 2</v>
          </cell>
          <cell r="H73">
            <v>980</v>
          </cell>
          <cell r="I73">
            <v>0</v>
          </cell>
          <cell r="J73" t="str">
            <v>מו"פ</v>
          </cell>
        </row>
        <row r="74">
          <cell r="A74" t="str">
            <v>רד סי אופטיקל נטוורק</v>
          </cell>
          <cell r="B74">
            <v>2004</v>
          </cell>
          <cell r="C74">
            <v>2</v>
          </cell>
          <cell r="D74" t="str">
            <v>גרא אורי</v>
          </cell>
          <cell r="E74">
            <v>4</v>
          </cell>
          <cell r="F74">
            <v>47</v>
          </cell>
          <cell r="G74" t="str">
            <v>שווי פלא</v>
          </cell>
          <cell r="H74">
            <v>85</v>
          </cell>
          <cell r="I74">
            <v>0</v>
          </cell>
          <cell r="J74" t="str">
            <v>מו"פ</v>
          </cell>
        </row>
        <row r="75">
          <cell r="A75" t="str">
            <v>רד סי אופטיקל נטוורק</v>
          </cell>
          <cell r="B75">
            <v>2004</v>
          </cell>
          <cell r="C75">
            <v>2</v>
          </cell>
          <cell r="D75" t="str">
            <v>גרא אורי</v>
          </cell>
          <cell r="E75">
            <v>4</v>
          </cell>
          <cell r="F75">
            <v>91</v>
          </cell>
          <cell r="G75" t="str">
            <v>זק.השתלמות</v>
          </cell>
          <cell r="H75">
            <v>483.29</v>
          </cell>
          <cell r="I75">
            <v>0</v>
          </cell>
          <cell r="J75" t="str">
            <v>מו"פ</v>
          </cell>
        </row>
        <row r="76">
          <cell r="A76" t="str">
            <v>רד סי אופטיקל נטוורק</v>
          </cell>
          <cell r="B76">
            <v>2004</v>
          </cell>
          <cell r="C76">
            <v>2</v>
          </cell>
          <cell r="D76" t="str">
            <v>גרא אורי</v>
          </cell>
          <cell r="E76">
            <v>5</v>
          </cell>
          <cell r="F76">
            <v>24</v>
          </cell>
          <cell r="G76" t="str">
            <v>שוויארוחות</v>
          </cell>
          <cell r="H76">
            <v>450</v>
          </cell>
          <cell r="I76">
            <v>1</v>
          </cell>
          <cell r="J76" t="str">
            <v>מו"פ</v>
          </cell>
        </row>
        <row r="77">
          <cell r="A77" t="str">
            <v>רד סי אופטיקל נטוורק</v>
          </cell>
          <cell r="B77">
            <v>2004</v>
          </cell>
          <cell r="C77">
            <v>2</v>
          </cell>
          <cell r="D77" t="str">
            <v>גרא אורי</v>
          </cell>
          <cell r="E77">
            <v>5</v>
          </cell>
          <cell r="F77">
            <v>40</v>
          </cell>
          <cell r="G77" t="str">
            <v>רכב קב' 2</v>
          </cell>
          <cell r="H77">
            <v>980</v>
          </cell>
          <cell r="I77">
            <v>0</v>
          </cell>
          <cell r="J77" t="str">
            <v>מו"פ</v>
          </cell>
        </row>
        <row r="78">
          <cell r="A78" t="str">
            <v>רד סי אופטיקל נטוורק</v>
          </cell>
          <cell r="B78">
            <v>2004</v>
          </cell>
          <cell r="C78">
            <v>2</v>
          </cell>
          <cell r="D78" t="str">
            <v>גרא אורי</v>
          </cell>
          <cell r="E78">
            <v>5</v>
          </cell>
          <cell r="F78">
            <v>47</v>
          </cell>
          <cell r="G78" t="str">
            <v>שווי פלא</v>
          </cell>
          <cell r="H78">
            <v>85</v>
          </cell>
          <cell r="I78">
            <v>0</v>
          </cell>
          <cell r="J78" t="str">
            <v>מו"פ</v>
          </cell>
        </row>
        <row r="79">
          <cell r="A79" t="str">
            <v>רד סי אופטיקל נטוורק</v>
          </cell>
          <cell r="B79">
            <v>2004</v>
          </cell>
          <cell r="C79">
            <v>2</v>
          </cell>
          <cell r="D79" t="str">
            <v>גרא אורי</v>
          </cell>
          <cell r="E79">
            <v>5</v>
          </cell>
          <cell r="F79">
            <v>91</v>
          </cell>
          <cell r="G79" t="str">
            <v>זק.השתלמות</v>
          </cell>
          <cell r="H79">
            <v>483.29</v>
          </cell>
          <cell r="I79">
            <v>0</v>
          </cell>
          <cell r="J79" t="str">
            <v>מו"פ</v>
          </cell>
        </row>
        <row r="80">
          <cell r="A80" t="str">
            <v>רד סי אופטיקל נטוורק</v>
          </cell>
          <cell r="B80">
            <v>2004</v>
          </cell>
          <cell r="C80">
            <v>2</v>
          </cell>
          <cell r="D80" t="str">
            <v>גרא אורי</v>
          </cell>
          <cell r="E80">
            <v>6</v>
          </cell>
          <cell r="F80">
            <v>24</v>
          </cell>
          <cell r="G80" t="str">
            <v>שוויארוחות</v>
          </cell>
          <cell r="H80">
            <v>450</v>
          </cell>
          <cell r="I80">
            <v>1</v>
          </cell>
          <cell r="J80" t="str">
            <v>מו"פ</v>
          </cell>
        </row>
        <row r="81">
          <cell r="A81" t="str">
            <v>רד סי אופטיקל נטוורק</v>
          </cell>
          <cell r="B81">
            <v>2004</v>
          </cell>
          <cell r="C81">
            <v>2</v>
          </cell>
          <cell r="D81" t="str">
            <v>גרא אורי</v>
          </cell>
          <cell r="E81">
            <v>6</v>
          </cell>
          <cell r="F81">
            <v>40</v>
          </cell>
          <cell r="G81" t="str">
            <v>רכב קב' 2</v>
          </cell>
          <cell r="H81">
            <v>980</v>
          </cell>
          <cell r="I81">
            <v>0</v>
          </cell>
          <cell r="J81" t="str">
            <v>מו"פ</v>
          </cell>
        </row>
        <row r="82">
          <cell r="A82" t="str">
            <v>רד סי אופטיקל נטוורק</v>
          </cell>
          <cell r="B82">
            <v>2004</v>
          </cell>
          <cell r="C82">
            <v>2</v>
          </cell>
          <cell r="D82" t="str">
            <v>גרא אורי</v>
          </cell>
          <cell r="E82">
            <v>6</v>
          </cell>
          <cell r="F82">
            <v>47</v>
          </cell>
          <cell r="G82" t="str">
            <v>שווי פלא</v>
          </cell>
          <cell r="H82">
            <v>85</v>
          </cell>
          <cell r="I82">
            <v>0</v>
          </cell>
          <cell r="J82" t="str">
            <v>מו"פ</v>
          </cell>
        </row>
        <row r="83">
          <cell r="A83" t="str">
            <v>רד סי אופטיקל נטוורק</v>
          </cell>
          <cell r="B83">
            <v>2004</v>
          </cell>
          <cell r="C83">
            <v>2</v>
          </cell>
          <cell r="D83" t="str">
            <v>גרא אורי</v>
          </cell>
          <cell r="E83">
            <v>6</v>
          </cell>
          <cell r="F83">
            <v>91</v>
          </cell>
          <cell r="G83" t="str">
            <v>זק.השתלמות</v>
          </cell>
          <cell r="H83">
            <v>483.29</v>
          </cell>
          <cell r="I83">
            <v>0</v>
          </cell>
          <cell r="J83" t="str">
            <v>מו"פ</v>
          </cell>
        </row>
        <row r="84">
          <cell r="A84" t="str">
            <v>רד סי אופטיקל נטוורק</v>
          </cell>
          <cell r="B84">
            <v>2004</v>
          </cell>
          <cell r="C84">
            <v>2</v>
          </cell>
          <cell r="D84" t="str">
            <v>גרא אורי</v>
          </cell>
          <cell r="E84">
            <v>7</v>
          </cell>
          <cell r="F84">
            <v>24</v>
          </cell>
          <cell r="G84" t="str">
            <v>שוויארוחות</v>
          </cell>
          <cell r="H84">
            <v>450</v>
          </cell>
          <cell r="I84">
            <v>1</v>
          </cell>
          <cell r="J84" t="str">
            <v>מו"פ</v>
          </cell>
        </row>
        <row r="85">
          <cell r="A85" t="str">
            <v>רד סי אופטיקל נטוורק</v>
          </cell>
          <cell r="B85">
            <v>2004</v>
          </cell>
          <cell r="C85">
            <v>2</v>
          </cell>
          <cell r="D85" t="str">
            <v>גרא אורי</v>
          </cell>
          <cell r="E85">
            <v>7</v>
          </cell>
          <cell r="F85">
            <v>40</v>
          </cell>
          <cell r="G85" t="str">
            <v>רכב קב' 2</v>
          </cell>
          <cell r="H85">
            <v>980</v>
          </cell>
          <cell r="I85">
            <v>0</v>
          </cell>
          <cell r="J85" t="str">
            <v>מו"פ</v>
          </cell>
        </row>
        <row r="86">
          <cell r="A86" t="str">
            <v>רד סי אופטיקל נטוורק</v>
          </cell>
          <cell r="B86">
            <v>2004</v>
          </cell>
          <cell r="C86">
            <v>2</v>
          </cell>
          <cell r="D86" t="str">
            <v>גרא אורי</v>
          </cell>
          <cell r="E86">
            <v>7</v>
          </cell>
          <cell r="F86">
            <v>47</v>
          </cell>
          <cell r="G86" t="str">
            <v>שווי פלא</v>
          </cell>
          <cell r="H86">
            <v>85</v>
          </cell>
          <cell r="I86">
            <v>0</v>
          </cell>
          <cell r="J86" t="str">
            <v>מו"פ</v>
          </cell>
        </row>
        <row r="87">
          <cell r="A87" t="str">
            <v>רד סי אופטיקל נטוורק</v>
          </cell>
          <cell r="B87">
            <v>2004</v>
          </cell>
          <cell r="C87">
            <v>2</v>
          </cell>
          <cell r="D87" t="str">
            <v>גרא אורי</v>
          </cell>
          <cell r="E87">
            <v>7</v>
          </cell>
          <cell r="F87">
            <v>91</v>
          </cell>
          <cell r="G87" t="str">
            <v>זק.השתלמות</v>
          </cell>
          <cell r="H87">
            <v>483.29</v>
          </cell>
          <cell r="I87">
            <v>0</v>
          </cell>
          <cell r="J87" t="str">
            <v>מו"פ</v>
          </cell>
        </row>
        <row r="88">
          <cell r="A88" t="str">
            <v>רד סי אופטיקל נטוורק</v>
          </cell>
          <cell r="B88">
            <v>2004</v>
          </cell>
          <cell r="C88">
            <v>2</v>
          </cell>
          <cell r="D88" t="str">
            <v>גרא אורי</v>
          </cell>
          <cell r="E88">
            <v>8</v>
          </cell>
          <cell r="F88">
            <v>24</v>
          </cell>
          <cell r="G88" t="str">
            <v>שוויארוחות</v>
          </cell>
          <cell r="H88">
            <v>483</v>
          </cell>
          <cell r="I88">
            <v>23</v>
          </cell>
          <cell r="J88" t="str">
            <v>מו"פ</v>
          </cell>
        </row>
        <row r="89">
          <cell r="A89" t="str">
            <v>רד סי אופטיקל נטוורק</v>
          </cell>
          <cell r="B89">
            <v>2004</v>
          </cell>
          <cell r="C89">
            <v>2</v>
          </cell>
          <cell r="D89" t="str">
            <v>גרא אורי</v>
          </cell>
          <cell r="E89">
            <v>8</v>
          </cell>
          <cell r="F89">
            <v>40</v>
          </cell>
          <cell r="G89" t="str">
            <v>רכב קב' 2</v>
          </cell>
          <cell r="H89">
            <v>980</v>
          </cell>
          <cell r="I89">
            <v>0</v>
          </cell>
          <cell r="J89" t="str">
            <v>מו"פ</v>
          </cell>
        </row>
        <row r="90">
          <cell r="A90" t="str">
            <v>רד סי אופטיקל נטוורק</v>
          </cell>
          <cell r="B90">
            <v>2004</v>
          </cell>
          <cell r="C90">
            <v>2</v>
          </cell>
          <cell r="D90" t="str">
            <v>גרא אורי</v>
          </cell>
          <cell r="E90">
            <v>8</v>
          </cell>
          <cell r="F90">
            <v>47</v>
          </cell>
          <cell r="G90" t="str">
            <v>שווי פלא</v>
          </cell>
          <cell r="H90">
            <v>85</v>
          </cell>
          <cell r="I90">
            <v>0</v>
          </cell>
          <cell r="J90" t="str">
            <v>מו"פ</v>
          </cell>
        </row>
        <row r="91">
          <cell r="A91" t="str">
            <v>רד סי אופטיקל נטוורק</v>
          </cell>
          <cell r="B91">
            <v>2004</v>
          </cell>
          <cell r="C91">
            <v>2</v>
          </cell>
          <cell r="D91" t="str">
            <v>גרא אורי</v>
          </cell>
          <cell r="E91">
            <v>8</v>
          </cell>
          <cell r="F91">
            <v>91</v>
          </cell>
          <cell r="G91" t="str">
            <v>זק.השתלמות</v>
          </cell>
          <cell r="H91">
            <v>483.29</v>
          </cell>
          <cell r="I91">
            <v>0</v>
          </cell>
          <cell r="J91" t="str">
            <v>מו"פ</v>
          </cell>
        </row>
        <row r="92">
          <cell r="A92" t="str">
            <v>רד סי אופטיקל נטוורק</v>
          </cell>
          <cell r="B92">
            <v>2004</v>
          </cell>
          <cell r="C92">
            <v>2</v>
          </cell>
          <cell r="D92" t="str">
            <v>גרא אורי</v>
          </cell>
          <cell r="E92">
            <v>9</v>
          </cell>
          <cell r="F92">
            <v>22</v>
          </cell>
          <cell r="G92" t="str">
            <v>שווי מתנות</v>
          </cell>
          <cell r="H92">
            <v>459.25</v>
          </cell>
          <cell r="I92">
            <v>0</v>
          </cell>
          <cell r="J92" t="str">
            <v>מו"פ</v>
          </cell>
        </row>
        <row r="93">
          <cell r="A93" t="str">
            <v>רד סי אופטיקל נטוורק</v>
          </cell>
          <cell r="B93">
            <v>2004</v>
          </cell>
          <cell r="C93">
            <v>2</v>
          </cell>
          <cell r="D93" t="str">
            <v>גרא אורי</v>
          </cell>
          <cell r="E93">
            <v>9</v>
          </cell>
          <cell r="F93">
            <v>24</v>
          </cell>
          <cell r="G93" t="str">
            <v>שוויארוחות</v>
          </cell>
          <cell r="H93">
            <v>378</v>
          </cell>
          <cell r="I93">
            <v>18</v>
          </cell>
          <cell r="J93" t="str">
            <v>מו"פ</v>
          </cell>
        </row>
        <row r="94">
          <cell r="A94" t="str">
            <v>רד סי אופטיקל נטוורק</v>
          </cell>
          <cell r="B94">
            <v>2004</v>
          </cell>
          <cell r="C94">
            <v>2</v>
          </cell>
          <cell r="D94" t="str">
            <v>גרא אורי</v>
          </cell>
          <cell r="E94">
            <v>9</v>
          </cell>
          <cell r="F94">
            <v>40</v>
          </cell>
          <cell r="G94" t="str">
            <v>רכב קב' 2</v>
          </cell>
          <cell r="H94">
            <v>980</v>
          </cell>
          <cell r="I94">
            <v>0</v>
          </cell>
          <cell r="J94" t="str">
            <v>מו"פ</v>
          </cell>
        </row>
        <row r="95">
          <cell r="A95" t="str">
            <v>רד סי אופטיקל נטוורק</v>
          </cell>
          <cell r="B95">
            <v>2004</v>
          </cell>
          <cell r="C95">
            <v>2</v>
          </cell>
          <cell r="D95" t="str">
            <v>גרא אורי</v>
          </cell>
          <cell r="E95">
            <v>9</v>
          </cell>
          <cell r="F95">
            <v>47</v>
          </cell>
          <cell r="G95" t="str">
            <v>שווי פלא</v>
          </cell>
          <cell r="H95">
            <v>85</v>
          </cell>
          <cell r="I95">
            <v>0</v>
          </cell>
          <cell r="J95" t="str">
            <v>מו"פ</v>
          </cell>
        </row>
        <row r="96">
          <cell r="A96" t="str">
            <v>רד סי אופטיקל נטוורק</v>
          </cell>
          <cell r="B96">
            <v>2004</v>
          </cell>
          <cell r="C96">
            <v>2</v>
          </cell>
          <cell r="D96" t="str">
            <v>גרא אורי</v>
          </cell>
          <cell r="E96">
            <v>9</v>
          </cell>
          <cell r="F96">
            <v>91</v>
          </cell>
          <cell r="G96" t="str">
            <v>זק.השתלמות</v>
          </cell>
          <cell r="H96">
            <v>483.29</v>
          </cell>
          <cell r="I96">
            <v>0</v>
          </cell>
          <cell r="J96" t="str">
            <v>מו"פ</v>
          </cell>
        </row>
        <row r="97">
          <cell r="A97" t="str">
            <v>רד סי אופטיקל נטוורק</v>
          </cell>
          <cell r="B97">
            <v>2004</v>
          </cell>
          <cell r="C97">
            <v>2</v>
          </cell>
          <cell r="D97" t="str">
            <v>גרא אורי</v>
          </cell>
          <cell r="E97">
            <v>10</v>
          </cell>
          <cell r="F97">
            <v>24</v>
          </cell>
          <cell r="G97" t="str">
            <v>שוויארוחות</v>
          </cell>
          <cell r="H97">
            <v>399</v>
          </cell>
          <cell r="I97">
            <v>19</v>
          </cell>
          <cell r="J97" t="str">
            <v>מו"פ</v>
          </cell>
        </row>
        <row r="98">
          <cell r="A98" t="str">
            <v>רד סי אופטיקל נטוורק</v>
          </cell>
          <cell r="B98">
            <v>2004</v>
          </cell>
          <cell r="C98">
            <v>2</v>
          </cell>
          <cell r="D98" t="str">
            <v>גרא אורי</v>
          </cell>
          <cell r="E98">
            <v>10</v>
          </cell>
          <cell r="F98">
            <v>40</v>
          </cell>
          <cell r="G98" t="str">
            <v>רכב קב' 2</v>
          </cell>
          <cell r="H98">
            <v>980</v>
          </cell>
          <cell r="I98">
            <v>0</v>
          </cell>
          <cell r="J98" t="str">
            <v>מו"פ</v>
          </cell>
        </row>
        <row r="99">
          <cell r="A99" t="str">
            <v>רד סי אופטיקל נטוורק</v>
          </cell>
          <cell r="B99">
            <v>2004</v>
          </cell>
          <cell r="C99">
            <v>2</v>
          </cell>
          <cell r="D99" t="str">
            <v>גרא אורי</v>
          </cell>
          <cell r="E99">
            <v>10</v>
          </cell>
          <cell r="F99">
            <v>47</v>
          </cell>
          <cell r="G99" t="str">
            <v>שווי פלא</v>
          </cell>
          <cell r="H99">
            <v>85</v>
          </cell>
          <cell r="I99">
            <v>0</v>
          </cell>
          <cell r="J99" t="str">
            <v>מו"פ</v>
          </cell>
        </row>
        <row r="100">
          <cell r="A100" t="str">
            <v>רד סי אופטיקל נטוורק</v>
          </cell>
          <cell r="B100">
            <v>2004</v>
          </cell>
          <cell r="C100">
            <v>2</v>
          </cell>
          <cell r="D100" t="str">
            <v>גרא אורי</v>
          </cell>
          <cell r="E100">
            <v>10</v>
          </cell>
          <cell r="F100">
            <v>91</v>
          </cell>
          <cell r="G100" t="str">
            <v>זק.השתלמות</v>
          </cell>
          <cell r="H100">
            <v>483.29</v>
          </cell>
          <cell r="I100">
            <v>0</v>
          </cell>
          <cell r="J100" t="str">
            <v>מו"פ</v>
          </cell>
        </row>
        <row r="101">
          <cell r="A101" t="str">
            <v>רד סי אופטיקל נטוורק</v>
          </cell>
          <cell r="B101">
            <v>2004</v>
          </cell>
          <cell r="C101">
            <v>2</v>
          </cell>
          <cell r="D101" t="str">
            <v>גרא אורי</v>
          </cell>
          <cell r="E101">
            <v>11</v>
          </cell>
          <cell r="F101">
            <v>24</v>
          </cell>
          <cell r="G101" t="str">
            <v>שוויארוחות</v>
          </cell>
          <cell r="H101">
            <v>441</v>
          </cell>
          <cell r="I101">
            <v>21</v>
          </cell>
          <cell r="J101" t="str">
            <v>מו"פ</v>
          </cell>
        </row>
        <row r="102">
          <cell r="A102" t="str">
            <v>רד סי אופטיקל נטוורק</v>
          </cell>
          <cell r="B102">
            <v>2004</v>
          </cell>
          <cell r="C102">
            <v>2</v>
          </cell>
          <cell r="D102" t="str">
            <v>גרא אורי</v>
          </cell>
          <cell r="E102">
            <v>11</v>
          </cell>
          <cell r="F102">
            <v>40</v>
          </cell>
          <cell r="G102" t="str">
            <v>רכב קב' 2</v>
          </cell>
          <cell r="H102">
            <v>980</v>
          </cell>
          <cell r="I102">
            <v>0</v>
          </cell>
          <cell r="J102" t="str">
            <v>מו"פ</v>
          </cell>
        </row>
        <row r="103">
          <cell r="A103" t="str">
            <v>רד סי אופטיקל נטוורק</v>
          </cell>
          <cell r="B103">
            <v>2004</v>
          </cell>
          <cell r="C103">
            <v>2</v>
          </cell>
          <cell r="D103" t="str">
            <v>גרא אורי</v>
          </cell>
          <cell r="E103">
            <v>11</v>
          </cell>
          <cell r="F103">
            <v>47</v>
          </cell>
          <cell r="G103" t="str">
            <v>שווי פלא</v>
          </cell>
          <cell r="H103">
            <v>85</v>
          </cell>
          <cell r="I103">
            <v>0</v>
          </cell>
          <cell r="J103" t="str">
            <v>מו"פ</v>
          </cell>
        </row>
        <row r="104">
          <cell r="A104" t="str">
            <v>רד סי אופטיקל נטוורק</v>
          </cell>
          <cell r="B104">
            <v>2004</v>
          </cell>
          <cell r="C104">
            <v>2</v>
          </cell>
          <cell r="D104" t="str">
            <v>גרא אורי</v>
          </cell>
          <cell r="E104">
            <v>11</v>
          </cell>
          <cell r="F104">
            <v>91</v>
          </cell>
          <cell r="G104" t="str">
            <v>זק.השתלמות</v>
          </cell>
          <cell r="H104">
            <v>20174.03</v>
          </cell>
          <cell r="I104">
            <v>0</v>
          </cell>
          <cell r="J104" t="str">
            <v>מו"פ</v>
          </cell>
        </row>
        <row r="105">
          <cell r="A105" t="str">
            <v>רד סי אופטיקל נטוורק</v>
          </cell>
          <cell r="B105">
            <v>2004</v>
          </cell>
          <cell r="C105">
            <v>2</v>
          </cell>
          <cell r="D105" t="str">
            <v>גרא אורי</v>
          </cell>
          <cell r="E105">
            <v>11</v>
          </cell>
          <cell r="F105">
            <v>93</v>
          </cell>
          <cell r="G105" t="str">
            <v>זק.תגמולים</v>
          </cell>
          <cell r="H105">
            <v>12717.85</v>
          </cell>
          <cell r="I105">
            <v>0</v>
          </cell>
          <cell r="J105" t="str">
            <v>מו"פ</v>
          </cell>
        </row>
        <row r="106">
          <cell r="A106" t="str">
            <v>רד סי אופטיקל נטוורק</v>
          </cell>
          <cell r="B106">
            <v>2004</v>
          </cell>
          <cell r="C106">
            <v>2</v>
          </cell>
          <cell r="D106" t="str">
            <v>גרא אורי</v>
          </cell>
          <cell r="E106">
            <v>12</v>
          </cell>
          <cell r="F106">
            <v>24</v>
          </cell>
          <cell r="G106" t="str">
            <v>שוויארוחות</v>
          </cell>
          <cell r="H106">
            <v>462</v>
          </cell>
          <cell r="I106">
            <v>22</v>
          </cell>
          <cell r="J106" t="str">
            <v>מו"פ</v>
          </cell>
        </row>
        <row r="107">
          <cell r="A107" t="str">
            <v>רד סי אופטיקל נטוורק</v>
          </cell>
          <cell r="B107">
            <v>2004</v>
          </cell>
          <cell r="C107">
            <v>2</v>
          </cell>
          <cell r="D107" t="str">
            <v>גרא אורי</v>
          </cell>
          <cell r="E107">
            <v>12</v>
          </cell>
          <cell r="F107">
            <v>40</v>
          </cell>
          <cell r="G107" t="str">
            <v>רכב קב' 2</v>
          </cell>
          <cell r="H107">
            <v>980</v>
          </cell>
          <cell r="I107">
            <v>0</v>
          </cell>
          <cell r="J107" t="str">
            <v>מו"פ</v>
          </cell>
        </row>
        <row r="108">
          <cell r="A108" t="str">
            <v>רד סי אופטיקל נטוורק</v>
          </cell>
          <cell r="B108">
            <v>2004</v>
          </cell>
          <cell r="C108">
            <v>2</v>
          </cell>
          <cell r="D108" t="str">
            <v>גרא אורי</v>
          </cell>
          <cell r="E108">
            <v>12</v>
          </cell>
          <cell r="F108">
            <v>47</v>
          </cell>
          <cell r="G108" t="str">
            <v>שווי פלא</v>
          </cell>
          <cell r="H108">
            <v>85</v>
          </cell>
          <cell r="I108">
            <v>0</v>
          </cell>
          <cell r="J108" t="str">
            <v>מו"פ</v>
          </cell>
        </row>
        <row r="109">
          <cell r="A109" t="str">
            <v>רד סי אופטיקל נטוורק</v>
          </cell>
          <cell r="B109">
            <v>2004</v>
          </cell>
          <cell r="C109">
            <v>2</v>
          </cell>
          <cell r="D109" t="str">
            <v>גרא אורי</v>
          </cell>
          <cell r="E109">
            <v>12</v>
          </cell>
          <cell r="F109">
            <v>91</v>
          </cell>
          <cell r="G109" t="str">
            <v>זק.השתלמות</v>
          </cell>
          <cell r="H109">
            <v>1234.5</v>
          </cell>
          <cell r="I109">
            <v>0</v>
          </cell>
          <cell r="J109" t="str">
            <v>מו"פ</v>
          </cell>
        </row>
        <row r="110">
          <cell r="A110" t="str">
            <v>רד סי אופטיקל נטוורק</v>
          </cell>
          <cell r="B110">
            <v>2004</v>
          </cell>
          <cell r="C110">
            <v>2</v>
          </cell>
          <cell r="D110" t="str">
            <v>גרא אורי</v>
          </cell>
          <cell r="E110">
            <v>12</v>
          </cell>
          <cell r="F110">
            <v>93</v>
          </cell>
          <cell r="G110" t="str">
            <v>זק.תגמולים</v>
          </cell>
          <cell r="H110">
            <v>463.6</v>
          </cell>
          <cell r="I110">
            <v>0</v>
          </cell>
          <cell r="J110" t="str">
            <v>מו"פ</v>
          </cell>
        </row>
        <row r="111">
          <cell r="A111" t="str">
            <v>רד סי אופטיקל נטוורק</v>
          </cell>
          <cell r="B111">
            <v>2004</v>
          </cell>
          <cell r="C111">
            <v>3</v>
          </cell>
          <cell r="D111" t="str">
            <v>ליסק בועז</v>
          </cell>
          <cell r="E111">
            <v>1</v>
          </cell>
          <cell r="F111">
            <v>24</v>
          </cell>
          <cell r="G111" t="str">
            <v>שוויארוחות</v>
          </cell>
          <cell r="H111">
            <v>450</v>
          </cell>
          <cell r="I111">
            <v>0</v>
          </cell>
          <cell r="J111" t="str">
            <v>מו"פ</v>
          </cell>
        </row>
        <row r="112">
          <cell r="A112" t="str">
            <v>רד סי אופטיקל נטוורק</v>
          </cell>
          <cell r="B112">
            <v>2004</v>
          </cell>
          <cell r="C112">
            <v>3</v>
          </cell>
          <cell r="D112" t="str">
            <v>ליסק בועז</v>
          </cell>
          <cell r="E112">
            <v>1</v>
          </cell>
          <cell r="F112">
            <v>40</v>
          </cell>
          <cell r="G112" t="str">
            <v>רכב קב' 2</v>
          </cell>
          <cell r="H112">
            <v>980</v>
          </cell>
          <cell r="I112">
            <v>0</v>
          </cell>
          <cell r="J112" t="str">
            <v>מו"פ</v>
          </cell>
        </row>
        <row r="113">
          <cell r="A113" t="str">
            <v>רד סי אופטיקל נטוורק</v>
          </cell>
          <cell r="B113">
            <v>2004</v>
          </cell>
          <cell r="C113">
            <v>3</v>
          </cell>
          <cell r="D113" t="str">
            <v>ליסק בועז</v>
          </cell>
          <cell r="E113">
            <v>1</v>
          </cell>
          <cell r="F113">
            <v>47</v>
          </cell>
          <cell r="G113" t="str">
            <v>שווי פלא</v>
          </cell>
          <cell r="H113">
            <v>85</v>
          </cell>
          <cell r="I113">
            <v>0</v>
          </cell>
          <cell r="J113" t="str">
            <v>מו"פ</v>
          </cell>
        </row>
        <row r="114">
          <cell r="A114" t="str">
            <v>רד סי אופטיקל נטוורק</v>
          </cell>
          <cell r="B114">
            <v>2004</v>
          </cell>
          <cell r="C114">
            <v>3</v>
          </cell>
          <cell r="D114" t="str">
            <v>ליסק בועז</v>
          </cell>
          <cell r="E114">
            <v>1</v>
          </cell>
          <cell r="F114">
            <v>91</v>
          </cell>
          <cell r="G114" t="str">
            <v>זק.השתלמות</v>
          </cell>
          <cell r="H114">
            <v>731.69</v>
          </cell>
          <cell r="I114">
            <v>0</v>
          </cell>
          <cell r="J114" t="str">
            <v>מו"פ</v>
          </cell>
        </row>
        <row r="115">
          <cell r="A115" t="str">
            <v>רד סי אופטיקל נטוורק</v>
          </cell>
          <cell r="B115">
            <v>2004</v>
          </cell>
          <cell r="C115">
            <v>3</v>
          </cell>
          <cell r="D115" t="str">
            <v>ליסק בועז</v>
          </cell>
          <cell r="E115">
            <v>1</v>
          </cell>
          <cell r="F115">
            <v>93</v>
          </cell>
          <cell r="G115" t="str">
            <v>זק.תגמולים</v>
          </cell>
          <cell r="H115">
            <v>10</v>
          </cell>
          <cell r="I115">
            <v>0</v>
          </cell>
          <cell r="J115" t="str">
            <v>מו"פ</v>
          </cell>
        </row>
        <row r="116">
          <cell r="A116" t="str">
            <v>רד סי אופטיקל נטוורק</v>
          </cell>
          <cell r="B116">
            <v>2004</v>
          </cell>
          <cell r="C116">
            <v>3</v>
          </cell>
          <cell r="D116" t="str">
            <v>ליסק בועז</v>
          </cell>
          <cell r="E116">
            <v>2</v>
          </cell>
          <cell r="F116">
            <v>24</v>
          </cell>
          <cell r="G116" t="str">
            <v>שוויארוחות</v>
          </cell>
          <cell r="H116">
            <v>450</v>
          </cell>
          <cell r="I116">
            <v>0</v>
          </cell>
          <cell r="J116" t="str">
            <v>מו"פ</v>
          </cell>
        </row>
        <row r="117">
          <cell r="A117" t="str">
            <v>רד סי אופטיקל נטוורק</v>
          </cell>
          <cell r="B117">
            <v>2004</v>
          </cell>
          <cell r="C117">
            <v>3</v>
          </cell>
          <cell r="D117" t="str">
            <v>ליסק בועז</v>
          </cell>
          <cell r="E117">
            <v>2</v>
          </cell>
          <cell r="F117">
            <v>40</v>
          </cell>
          <cell r="G117" t="str">
            <v>רכב קב' 2</v>
          </cell>
          <cell r="H117">
            <v>980</v>
          </cell>
          <cell r="I117">
            <v>0</v>
          </cell>
          <cell r="J117" t="str">
            <v>מו"פ</v>
          </cell>
        </row>
        <row r="118">
          <cell r="A118" t="str">
            <v>רד סי אופטיקל נטוורק</v>
          </cell>
          <cell r="B118">
            <v>2004</v>
          </cell>
          <cell r="C118">
            <v>3</v>
          </cell>
          <cell r="D118" t="str">
            <v>ליסק בועז</v>
          </cell>
          <cell r="E118">
            <v>2</v>
          </cell>
          <cell r="F118">
            <v>47</v>
          </cell>
          <cell r="G118" t="str">
            <v>שווי פלא</v>
          </cell>
          <cell r="H118">
            <v>85</v>
          </cell>
          <cell r="I118">
            <v>0</v>
          </cell>
          <cell r="J118" t="str">
            <v>מו"פ</v>
          </cell>
        </row>
        <row r="119">
          <cell r="A119" t="str">
            <v>רד סי אופטיקל נטוורק</v>
          </cell>
          <cell r="B119">
            <v>2004</v>
          </cell>
          <cell r="C119">
            <v>3</v>
          </cell>
          <cell r="D119" t="str">
            <v>ליסק בועז</v>
          </cell>
          <cell r="E119">
            <v>2</v>
          </cell>
          <cell r="F119">
            <v>91</v>
          </cell>
          <cell r="G119" t="str">
            <v>זק.השתלמות</v>
          </cell>
          <cell r="H119">
            <v>-211.65</v>
          </cell>
          <cell r="I119">
            <v>0</v>
          </cell>
          <cell r="J119" t="str">
            <v>מו"פ</v>
          </cell>
        </row>
        <row r="120">
          <cell r="A120" t="str">
            <v>רד סי אופטיקל נטוורק</v>
          </cell>
          <cell r="B120">
            <v>2004</v>
          </cell>
          <cell r="C120">
            <v>3</v>
          </cell>
          <cell r="D120" t="str">
            <v>ליסק בועז</v>
          </cell>
          <cell r="E120">
            <v>2</v>
          </cell>
          <cell r="F120">
            <v>93</v>
          </cell>
          <cell r="G120" t="str">
            <v>זק.תגמולים</v>
          </cell>
          <cell r="H120">
            <v>-10</v>
          </cell>
          <cell r="I120">
            <v>0</v>
          </cell>
          <cell r="J120" t="str">
            <v>מו"פ</v>
          </cell>
        </row>
        <row r="121">
          <cell r="A121" t="str">
            <v>רד סי אופטיקל נטוורק</v>
          </cell>
          <cell r="B121">
            <v>2004</v>
          </cell>
          <cell r="C121">
            <v>3</v>
          </cell>
          <cell r="D121" t="str">
            <v>ליסק בועז</v>
          </cell>
          <cell r="E121">
            <v>3</v>
          </cell>
          <cell r="F121">
            <v>22</v>
          </cell>
          <cell r="G121" t="str">
            <v>שווי מתנות</v>
          </cell>
          <cell r="H121">
            <v>186.25</v>
          </cell>
          <cell r="I121">
            <v>0</v>
          </cell>
          <cell r="J121" t="str">
            <v>מו"פ</v>
          </cell>
        </row>
        <row r="122">
          <cell r="A122" t="str">
            <v>רד סי אופטיקל נטוורק</v>
          </cell>
          <cell r="B122">
            <v>2004</v>
          </cell>
          <cell r="C122">
            <v>3</v>
          </cell>
          <cell r="D122" t="str">
            <v>ליסק בועז</v>
          </cell>
          <cell r="E122">
            <v>3</v>
          </cell>
          <cell r="F122">
            <v>24</v>
          </cell>
          <cell r="G122" t="str">
            <v>שוויארוחות</v>
          </cell>
          <cell r="H122">
            <v>450</v>
          </cell>
          <cell r="I122">
            <v>1</v>
          </cell>
          <cell r="J122" t="str">
            <v>מו"פ</v>
          </cell>
        </row>
        <row r="123">
          <cell r="A123" t="str">
            <v>רד סי אופטיקל נטוורק</v>
          </cell>
          <cell r="B123">
            <v>2004</v>
          </cell>
          <cell r="C123">
            <v>3</v>
          </cell>
          <cell r="D123" t="str">
            <v>ליסק בועז</v>
          </cell>
          <cell r="E123">
            <v>3</v>
          </cell>
          <cell r="F123">
            <v>40</v>
          </cell>
          <cell r="G123" t="str">
            <v>רכב קב' 2</v>
          </cell>
          <cell r="H123">
            <v>980</v>
          </cell>
          <cell r="I123">
            <v>0</v>
          </cell>
          <cell r="J123" t="str">
            <v>מו"פ</v>
          </cell>
        </row>
        <row r="124">
          <cell r="A124" t="str">
            <v>רד סי אופטיקל נטוורק</v>
          </cell>
          <cell r="B124">
            <v>2004</v>
          </cell>
          <cell r="C124">
            <v>3</v>
          </cell>
          <cell r="D124" t="str">
            <v>ליסק בועז</v>
          </cell>
          <cell r="E124">
            <v>3</v>
          </cell>
          <cell r="F124">
            <v>47</v>
          </cell>
          <cell r="G124" t="str">
            <v>שווי פלא</v>
          </cell>
          <cell r="H124">
            <v>85</v>
          </cell>
          <cell r="I124">
            <v>1</v>
          </cell>
          <cell r="J124" t="str">
            <v>מו"פ</v>
          </cell>
        </row>
        <row r="125">
          <cell r="A125" t="str">
            <v>רד סי אופטיקל נטוורק</v>
          </cell>
          <cell r="B125">
            <v>2004</v>
          </cell>
          <cell r="C125">
            <v>3</v>
          </cell>
          <cell r="D125" t="str">
            <v>ליסק בועז</v>
          </cell>
          <cell r="E125">
            <v>3</v>
          </cell>
          <cell r="F125">
            <v>91</v>
          </cell>
          <cell r="G125" t="str">
            <v>זק.השתלמות</v>
          </cell>
          <cell r="H125">
            <v>1651.64</v>
          </cell>
          <cell r="I125">
            <v>0</v>
          </cell>
          <cell r="J125" t="str">
            <v>מו"פ</v>
          </cell>
        </row>
        <row r="126">
          <cell r="A126" t="str">
            <v>רד סי אופטיקל נטוורק</v>
          </cell>
          <cell r="B126">
            <v>2004</v>
          </cell>
          <cell r="C126">
            <v>3</v>
          </cell>
          <cell r="D126" t="str">
            <v>ליסק בועז</v>
          </cell>
          <cell r="E126">
            <v>3</v>
          </cell>
          <cell r="F126">
            <v>93</v>
          </cell>
          <cell r="G126" t="str">
            <v>זק.תגמולים</v>
          </cell>
          <cell r="H126">
            <v>30</v>
          </cell>
          <cell r="I126">
            <v>0</v>
          </cell>
          <cell r="J126" t="str">
            <v>מו"פ</v>
          </cell>
        </row>
        <row r="127">
          <cell r="A127" t="str">
            <v>רד סי אופטיקל נטוורק</v>
          </cell>
          <cell r="B127">
            <v>2004</v>
          </cell>
          <cell r="C127">
            <v>3</v>
          </cell>
          <cell r="D127" t="str">
            <v>ליסק בועז</v>
          </cell>
          <cell r="E127">
            <v>4</v>
          </cell>
          <cell r="F127">
            <v>24</v>
          </cell>
          <cell r="G127" t="str">
            <v>שוויארוחות</v>
          </cell>
          <cell r="H127">
            <v>450</v>
          </cell>
          <cell r="I127">
            <v>1</v>
          </cell>
          <cell r="J127" t="str">
            <v>מו"פ</v>
          </cell>
        </row>
        <row r="128">
          <cell r="A128" t="str">
            <v>רד סי אופטיקל נטוורק</v>
          </cell>
          <cell r="B128">
            <v>2004</v>
          </cell>
          <cell r="C128">
            <v>3</v>
          </cell>
          <cell r="D128" t="str">
            <v>ליסק בועז</v>
          </cell>
          <cell r="E128">
            <v>4</v>
          </cell>
          <cell r="F128">
            <v>40</v>
          </cell>
          <cell r="G128" t="str">
            <v>רכב קב' 2</v>
          </cell>
          <cell r="H128">
            <v>980</v>
          </cell>
          <cell r="I128">
            <v>0</v>
          </cell>
          <cell r="J128" t="str">
            <v>מו"פ</v>
          </cell>
        </row>
        <row r="129">
          <cell r="A129" t="str">
            <v>רד סי אופטיקל נטוורק</v>
          </cell>
          <cell r="B129">
            <v>2004</v>
          </cell>
          <cell r="C129">
            <v>3</v>
          </cell>
          <cell r="D129" t="str">
            <v>ליסק בועז</v>
          </cell>
          <cell r="E129">
            <v>4</v>
          </cell>
          <cell r="F129">
            <v>47</v>
          </cell>
          <cell r="G129" t="str">
            <v>שווי פלא</v>
          </cell>
          <cell r="H129">
            <v>85</v>
          </cell>
          <cell r="I129">
            <v>1</v>
          </cell>
          <cell r="J129" t="str">
            <v>מו"פ</v>
          </cell>
        </row>
        <row r="130">
          <cell r="A130" t="str">
            <v>רד סי אופטיקל נטוורק</v>
          </cell>
          <cell r="B130">
            <v>2004</v>
          </cell>
          <cell r="C130">
            <v>3</v>
          </cell>
          <cell r="D130" t="str">
            <v>ליסק בועז</v>
          </cell>
          <cell r="E130">
            <v>4</v>
          </cell>
          <cell r="F130">
            <v>91</v>
          </cell>
          <cell r="G130" t="str">
            <v>זק.השתלמות</v>
          </cell>
          <cell r="H130">
            <v>708.29</v>
          </cell>
          <cell r="I130">
            <v>0</v>
          </cell>
          <cell r="J130" t="str">
            <v>מו"פ</v>
          </cell>
        </row>
        <row r="131">
          <cell r="A131" t="str">
            <v>רד סי אופטיקל נטוורק</v>
          </cell>
          <cell r="B131">
            <v>2004</v>
          </cell>
          <cell r="C131">
            <v>3</v>
          </cell>
          <cell r="D131" t="str">
            <v>ליסק בועז</v>
          </cell>
          <cell r="E131">
            <v>4</v>
          </cell>
          <cell r="F131">
            <v>93</v>
          </cell>
          <cell r="G131" t="str">
            <v>זק.תגמולים</v>
          </cell>
          <cell r="H131">
            <v>10</v>
          </cell>
          <cell r="I131">
            <v>0</v>
          </cell>
          <cell r="J131" t="str">
            <v>מו"פ</v>
          </cell>
        </row>
        <row r="132">
          <cell r="A132" t="str">
            <v>רד סי אופטיקל נטוורק</v>
          </cell>
          <cell r="B132">
            <v>2004</v>
          </cell>
          <cell r="C132">
            <v>3</v>
          </cell>
          <cell r="D132" t="str">
            <v>ליסק בועז</v>
          </cell>
          <cell r="E132">
            <v>5</v>
          </cell>
          <cell r="F132">
            <v>24</v>
          </cell>
          <cell r="G132" t="str">
            <v>שוויארוחות</v>
          </cell>
          <cell r="H132">
            <v>450</v>
          </cell>
          <cell r="I132">
            <v>1</v>
          </cell>
          <cell r="J132" t="str">
            <v>מו"פ</v>
          </cell>
        </row>
        <row r="133">
          <cell r="A133" t="str">
            <v>רד סי אופטיקל נטוורק</v>
          </cell>
          <cell r="B133">
            <v>2004</v>
          </cell>
          <cell r="C133">
            <v>3</v>
          </cell>
          <cell r="D133" t="str">
            <v>ליסק בועז</v>
          </cell>
          <cell r="E133">
            <v>5</v>
          </cell>
          <cell r="F133">
            <v>40</v>
          </cell>
          <cell r="G133" t="str">
            <v>רכב קב' 2</v>
          </cell>
          <cell r="H133">
            <v>980</v>
          </cell>
          <cell r="I133">
            <v>0</v>
          </cell>
          <cell r="J133" t="str">
            <v>מו"פ</v>
          </cell>
        </row>
        <row r="134">
          <cell r="A134" t="str">
            <v>רד סי אופטיקל נטוורק</v>
          </cell>
          <cell r="B134">
            <v>2004</v>
          </cell>
          <cell r="C134">
            <v>3</v>
          </cell>
          <cell r="D134" t="str">
            <v>ליסק בועז</v>
          </cell>
          <cell r="E134">
            <v>5</v>
          </cell>
          <cell r="F134">
            <v>47</v>
          </cell>
          <cell r="G134" t="str">
            <v>שווי פלא</v>
          </cell>
          <cell r="H134">
            <v>85</v>
          </cell>
          <cell r="I134">
            <v>1</v>
          </cell>
          <cell r="J134" t="str">
            <v>מו"פ</v>
          </cell>
        </row>
        <row r="135">
          <cell r="A135" t="str">
            <v>רד סי אופטיקל נטוורק</v>
          </cell>
          <cell r="B135">
            <v>2004</v>
          </cell>
          <cell r="C135">
            <v>3</v>
          </cell>
          <cell r="D135" t="str">
            <v>ליסק בועז</v>
          </cell>
          <cell r="E135">
            <v>5</v>
          </cell>
          <cell r="F135">
            <v>91</v>
          </cell>
          <cell r="G135" t="str">
            <v>זק.השתלמות</v>
          </cell>
          <cell r="H135">
            <v>708.29</v>
          </cell>
          <cell r="I135">
            <v>0</v>
          </cell>
          <cell r="J135" t="str">
            <v>מו"פ</v>
          </cell>
        </row>
        <row r="136">
          <cell r="A136" t="str">
            <v>רד סי אופטיקל נטוורק</v>
          </cell>
          <cell r="B136">
            <v>2004</v>
          </cell>
          <cell r="C136">
            <v>3</v>
          </cell>
          <cell r="D136" t="str">
            <v>ליסק בועז</v>
          </cell>
          <cell r="E136">
            <v>5</v>
          </cell>
          <cell r="F136">
            <v>93</v>
          </cell>
          <cell r="G136" t="str">
            <v>זק.תגמולים</v>
          </cell>
          <cell r="H136">
            <v>10</v>
          </cell>
          <cell r="I136">
            <v>0</v>
          </cell>
          <cell r="J136" t="str">
            <v>מו"פ</v>
          </cell>
        </row>
        <row r="137">
          <cell r="A137" t="str">
            <v>רד סי אופטיקל נטוורק</v>
          </cell>
          <cell r="B137">
            <v>2004</v>
          </cell>
          <cell r="C137">
            <v>3</v>
          </cell>
          <cell r="D137" t="str">
            <v>ליסק בועז</v>
          </cell>
          <cell r="E137">
            <v>6</v>
          </cell>
          <cell r="F137">
            <v>24</v>
          </cell>
          <cell r="G137" t="str">
            <v>שוויארוחות</v>
          </cell>
          <cell r="H137">
            <v>450</v>
          </cell>
          <cell r="I137">
            <v>1</v>
          </cell>
          <cell r="J137" t="str">
            <v>מו"פ</v>
          </cell>
        </row>
        <row r="138">
          <cell r="A138" t="str">
            <v>רד סי אופטיקל נטוורק</v>
          </cell>
          <cell r="B138">
            <v>2004</v>
          </cell>
          <cell r="C138">
            <v>3</v>
          </cell>
          <cell r="D138" t="str">
            <v>ליסק בועז</v>
          </cell>
          <cell r="E138">
            <v>6</v>
          </cell>
          <cell r="F138">
            <v>40</v>
          </cell>
          <cell r="G138" t="str">
            <v>רכב קב' 2</v>
          </cell>
          <cell r="H138">
            <v>980</v>
          </cell>
          <cell r="I138">
            <v>0</v>
          </cell>
          <cell r="J138" t="str">
            <v>מו"פ</v>
          </cell>
        </row>
        <row r="139">
          <cell r="A139" t="str">
            <v>רד סי אופטיקל נטוורק</v>
          </cell>
          <cell r="B139">
            <v>2004</v>
          </cell>
          <cell r="C139">
            <v>3</v>
          </cell>
          <cell r="D139" t="str">
            <v>ליסק בועז</v>
          </cell>
          <cell r="E139">
            <v>6</v>
          </cell>
          <cell r="F139">
            <v>47</v>
          </cell>
          <cell r="G139" t="str">
            <v>שווי פלא</v>
          </cell>
          <cell r="H139">
            <v>85</v>
          </cell>
          <cell r="I139">
            <v>1</v>
          </cell>
          <cell r="J139" t="str">
            <v>מו"פ</v>
          </cell>
        </row>
        <row r="140">
          <cell r="A140" t="str">
            <v>רד סי אופטיקל נטוורק</v>
          </cell>
          <cell r="B140">
            <v>2004</v>
          </cell>
          <cell r="C140">
            <v>3</v>
          </cell>
          <cell r="D140" t="str">
            <v>ליסק בועז</v>
          </cell>
          <cell r="E140">
            <v>6</v>
          </cell>
          <cell r="F140">
            <v>91</v>
          </cell>
          <cell r="G140" t="str">
            <v>זק.השתלמות</v>
          </cell>
          <cell r="H140">
            <v>708.29</v>
          </cell>
          <cell r="I140">
            <v>0</v>
          </cell>
          <cell r="J140" t="str">
            <v>מו"פ</v>
          </cell>
        </row>
        <row r="141">
          <cell r="A141" t="str">
            <v>רד סי אופטיקל נטוורק</v>
          </cell>
          <cell r="B141">
            <v>2004</v>
          </cell>
          <cell r="C141">
            <v>3</v>
          </cell>
          <cell r="D141" t="str">
            <v>ליסק בועז</v>
          </cell>
          <cell r="E141">
            <v>6</v>
          </cell>
          <cell r="F141">
            <v>93</v>
          </cell>
          <cell r="G141" t="str">
            <v>זק.תגמולים</v>
          </cell>
          <cell r="H141">
            <v>10</v>
          </cell>
          <cell r="I141">
            <v>0</v>
          </cell>
          <cell r="J141" t="str">
            <v>מו"פ</v>
          </cell>
        </row>
        <row r="142">
          <cell r="A142" t="str">
            <v>רד סי אופטיקל נטוורק</v>
          </cell>
          <cell r="B142">
            <v>2004</v>
          </cell>
          <cell r="C142">
            <v>3</v>
          </cell>
          <cell r="D142" t="str">
            <v>ליסק בועז</v>
          </cell>
          <cell r="E142">
            <v>7</v>
          </cell>
          <cell r="F142">
            <v>24</v>
          </cell>
          <cell r="G142" t="str">
            <v>שוויארוחות</v>
          </cell>
          <cell r="H142">
            <v>450</v>
          </cell>
          <cell r="I142">
            <v>1</v>
          </cell>
          <cell r="J142" t="str">
            <v>מו"פ</v>
          </cell>
        </row>
        <row r="143">
          <cell r="A143" t="str">
            <v>רד סי אופטיקל נטוורק</v>
          </cell>
          <cell r="B143">
            <v>2004</v>
          </cell>
          <cell r="C143">
            <v>3</v>
          </cell>
          <cell r="D143" t="str">
            <v>ליסק בועז</v>
          </cell>
          <cell r="E143">
            <v>7</v>
          </cell>
          <cell r="F143">
            <v>40</v>
          </cell>
          <cell r="G143" t="str">
            <v>רכב קב' 2</v>
          </cell>
          <cell r="H143">
            <v>980</v>
          </cell>
          <cell r="I143">
            <v>0</v>
          </cell>
          <cell r="J143" t="str">
            <v>מו"פ</v>
          </cell>
        </row>
        <row r="144">
          <cell r="A144" t="str">
            <v>רד סי אופטיקל נטוורק</v>
          </cell>
          <cell r="B144">
            <v>2004</v>
          </cell>
          <cell r="C144">
            <v>3</v>
          </cell>
          <cell r="D144" t="str">
            <v>ליסק בועז</v>
          </cell>
          <cell r="E144">
            <v>7</v>
          </cell>
          <cell r="F144">
            <v>47</v>
          </cell>
          <cell r="G144" t="str">
            <v>שווי פלא</v>
          </cell>
          <cell r="H144">
            <v>85</v>
          </cell>
          <cell r="I144">
            <v>1</v>
          </cell>
          <cell r="J144" t="str">
            <v>מו"פ</v>
          </cell>
        </row>
        <row r="145">
          <cell r="A145" t="str">
            <v>רד סי אופטיקל נטוורק</v>
          </cell>
          <cell r="B145">
            <v>2004</v>
          </cell>
          <cell r="C145">
            <v>3</v>
          </cell>
          <cell r="D145" t="str">
            <v>ליסק בועז</v>
          </cell>
          <cell r="E145">
            <v>7</v>
          </cell>
          <cell r="F145">
            <v>91</v>
          </cell>
          <cell r="G145" t="str">
            <v>זק.השתלמות</v>
          </cell>
          <cell r="H145">
            <v>708.29</v>
          </cell>
          <cell r="I145">
            <v>0</v>
          </cell>
          <cell r="J145" t="str">
            <v>מו"פ</v>
          </cell>
        </row>
        <row r="146">
          <cell r="A146" t="str">
            <v>רד סי אופטיקל נטוורק</v>
          </cell>
          <cell r="B146">
            <v>2004</v>
          </cell>
          <cell r="C146">
            <v>3</v>
          </cell>
          <cell r="D146" t="str">
            <v>ליסק בועז</v>
          </cell>
          <cell r="E146">
            <v>7</v>
          </cell>
          <cell r="F146">
            <v>93</v>
          </cell>
          <cell r="G146" t="str">
            <v>זק.תגמולים</v>
          </cell>
          <cell r="H146">
            <v>10</v>
          </cell>
          <cell r="I146">
            <v>0</v>
          </cell>
          <cell r="J146" t="str">
            <v>מו"פ</v>
          </cell>
        </row>
        <row r="147">
          <cell r="A147" t="str">
            <v>רד סי אופטיקל נטוורק</v>
          </cell>
          <cell r="B147">
            <v>2004</v>
          </cell>
          <cell r="C147">
            <v>3</v>
          </cell>
          <cell r="D147" t="str">
            <v>ליסק בועז</v>
          </cell>
          <cell r="E147">
            <v>8</v>
          </cell>
          <cell r="F147">
            <v>24</v>
          </cell>
          <cell r="G147" t="str">
            <v>שוויארוחות</v>
          </cell>
          <cell r="H147">
            <v>483</v>
          </cell>
          <cell r="I147">
            <v>23</v>
          </cell>
          <cell r="J147" t="str">
            <v>מו"פ</v>
          </cell>
        </row>
        <row r="148">
          <cell r="A148" t="str">
            <v>רד סי אופטיקל נטוורק</v>
          </cell>
          <cell r="B148">
            <v>2004</v>
          </cell>
          <cell r="C148">
            <v>3</v>
          </cell>
          <cell r="D148" t="str">
            <v>ליסק בועז</v>
          </cell>
          <cell r="E148">
            <v>8</v>
          </cell>
          <cell r="F148">
            <v>40</v>
          </cell>
          <cell r="G148" t="str">
            <v>רכב קב' 2</v>
          </cell>
          <cell r="H148">
            <v>980</v>
          </cell>
          <cell r="I148">
            <v>0</v>
          </cell>
          <cell r="J148" t="str">
            <v>מו"פ</v>
          </cell>
        </row>
        <row r="149">
          <cell r="A149" t="str">
            <v>רד סי אופטיקל נטוורק</v>
          </cell>
          <cell r="B149">
            <v>2004</v>
          </cell>
          <cell r="C149">
            <v>3</v>
          </cell>
          <cell r="D149" t="str">
            <v>ליסק בועז</v>
          </cell>
          <cell r="E149">
            <v>8</v>
          </cell>
          <cell r="F149">
            <v>47</v>
          </cell>
          <cell r="G149" t="str">
            <v>שווי פלא</v>
          </cell>
          <cell r="H149">
            <v>85</v>
          </cell>
          <cell r="I149">
            <v>1</v>
          </cell>
          <cell r="J149" t="str">
            <v>מו"פ</v>
          </cell>
        </row>
        <row r="150">
          <cell r="A150" t="str">
            <v>רד סי אופטיקל נטוורק</v>
          </cell>
          <cell r="B150">
            <v>2004</v>
          </cell>
          <cell r="C150">
            <v>3</v>
          </cell>
          <cell r="D150" t="str">
            <v>ליסק בועז</v>
          </cell>
          <cell r="E150">
            <v>8</v>
          </cell>
          <cell r="F150">
            <v>91</v>
          </cell>
          <cell r="G150" t="str">
            <v>זק.השתלמות</v>
          </cell>
          <cell r="H150">
            <v>2309.1</v>
          </cell>
          <cell r="I150">
            <v>0</v>
          </cell>
          <cell r="J150" t="str">
            <v>מו"פ</v>
          </cell>
        </row>
        <row r="151">
          <cell r="A151" t="str">
            <v>רד סי אופטיקל נטוורק</v>
          </cell>
          <cell r="B151">
            <v>2004</v>
          </cell>
          <cell r="C151">
            <v>3</v>
          </cell>
          <cell r="D151" t="str">
            <v>ליסק בועז</v>
          </cell>
          <cell r="E151">
            <v>8</v>
          </cell>
          <cell r="F151">
            <v>93</v>
          </cell>
          <cell r="G151" t="str">
            <v>זק.תגמולים</v>
          </cell>
          <cell r="H151">
            <v>10</v>
          </cell>
          <cell r="I151">
            <v>0</v>
          </cell>
          <cell r="J151" t="str">
            <v>מו"פ</v>
          </cell>
        </row>
        <row r="152">
          <cell r="A152" t="str">
            <v>רד סי אופטיקל נטוורק</v>
          </cell>
          <cell r="B152">
            <v>2004</v>
          </cell>
          <cell r="C152">
            <v>4</v>
          </cell>
          <cell r="D152" t="str">
            <v>גולן אבירם</v>
          </cell>
          <cell r="E152">
            <v>1</v>
          </cell>
          <cell r="F152">
            <v>24</v>
          </cell>
          <cell r="G152" t="str">
            <v>שוויארוחות</v>
          </cell>
          <cell r="H152">
            <v>450</v>
          </cell>
          <cell r="I152">
            <v>0</v>
          </cell>
          <cell r="J152" t="str">
            <v>מו"פ</v>
          </cell>
        </row>
        <row r="153">
          <cell r="A153" t="str">
            <v>רד סי אופטיקל נטוורק</v>
          </cell>
          <cell r="B153">
            <v>2004</v>
          </cell>
          <cell r="C153">
            <v>4</v>
          </cell>
          <cell r="D153" t="str">
            <v>גולן אבירם</v>
          </cell>
          <cell r="E153">
            <v>1</v>
          </cell>
          <cell r="F153">
            <v>40</v>
          </cell>
          <cell r="G153" t="str">
            <v>רכב קב' 2</v>
          </cell>
          <cell r="H153">
            <v>980</v>
          </cell>
          <cell r="I153">
            <v>0</v>
          </cell>
          <cell r="J153" t="str">
            <v>מו"פ</v>
          </cell>
        </row>
        <row r="154">
          <cell r="A154" t="str">
            <v>רד סי אופטיקל נטוורק</v>
          </cell>
          <cell r="B154">
            <v>2004</v>
          </cell>
          <cell r="C154">
            <v>4</v>
          </cell>
          <cell r="D154" t="str">
            <v>גולן אבירם</v>
          </cell>
          <cell r="E154">
            <v>1</v>
          </cell>
          <cell r="F154">
            <v>47</v>
          </cell>
          <cell r="G154" t="str">
            <v>שווי פלא</v>
          </cell>
          <cell r="H154">
            <v>85</v>
          </cell>
          <cell r="I154">
            <v>0</v>
          </cell>
          <cell r="J154" t="str">
            <v>מו"פ</v>
          </cell>
        </row>
        <row r="155">
          <cell r="A155" t="str">
            <v>רד סי אופטיקל נטוורק</v>
          </cell>
          <cell r="B155">
            <v>2004</v>
          </cell>
          <cell r="C155">
            <v>4</v>
          </cell>
          <cell r="D155" t="str">
            <v>גולן אבירם</v>
          </cell>
          <cell r="E155">
            <v>2</v>
          </cell>
          <cell r="F155">
            <v>24</v>
          </cell>
          <cell r="G155" t="str">
            <v>שוויארוחות</v>
          </cell>
          <cell r="H155">
            <v>450</v>
          </cell>
          <cell r="I155">
            <v>0</v>
          </cell>
          <cell r="J155" t="str">
            <v>מו"פ</v>
          </cell>
        </row>
        <row r="156">
          <cell r="A156" t="str">
            <v>רד סי אופטיקל נטוורק</v>
          </cell>
          <cell r="B156">
            <v>2004</v>
          </cell>
          <cell r="C156">
            <v>4</v>
          </cell>
          <cell r="D156" t="str">
            <v>גולן אבירם</v>
          </cell>
          <cell r="E156">
            <v>2</v>
          </cell>
          <cell r="F156">
            <v>40</v>
          </cell>
          <cell r="G156" t="str">
            <v>רכב קב' 2</v>
          </cell>
          <cell r="H156">
            <v>980</v>
          </cell>
          <cell r="I156">
            <v>0</v>
          </cell>
          <cell r="J156" t="str">
            <v>מו"פ</v>
          </cell>
        </row>
        <row r="157">
          <cell r="A157" t="str">
            <v>רד סי אופטיקל נטוורק</v>
          </cell>
          <cell r="B157">
            <v>2004</v>
          </cell>
          <cell r="C157">
            <v>4</v>
          </cell>
          <cell r="D157" t="str">
            <v>גולן אבירם</v>
          </cell>
          <cell r="E157">
            <v>2</v>
          </cell>
          <cell r="F157">
            <v>47</v>
          </cell>
          <cell r="G157" t="str">
            <v>שווי פלא</v>
          </cell>
          <cell r="H157">
            <v>85</v>
          </cell>
          <cell r="I157">
            <v>0</v>
          </cell>
          <cell r="J157" t="str">
            <v>מו"פ</v>
          </cell>
        </row>
        <row r="158">
          <cell r="A158" t="str">
            <v>רד סי אופטיקל נטוורק</v>
          </cell>
          <cell r="B158">
            <v>2004</v>
          </cell>
          <cell r="C158">
            <v>4</v>
          </cell>
          <cell r="D158" t="str">
            <v>גולן אבירם</v>
          </cell>
          <cell r="E158">
            <v>3</v>
          </cell>
          <cell r="F158">
            <v>22</v>
          </cell>
          <cell r="G158" t="str">
            <v>שווי מתנות</v>
          </cell>
          <cell r="H158">
            <v>186.25</v>
          </cell>
          <cell r="I158">
            <v>0</v>
          </cell>
          <cell r="J158" t="str">
            <v>מו"פ</v>
          </cell>
        </row>
        <row r="159">
          <cell r="A159" t="str">
            <v>רד סי אופטיקל נטוורק</v>
          </cell>
          <cell r="B159">
            <v>2004</v>
          </cell>
          <cell r="C159">
            <v>4</v>
          </cell>
          <cell r="D159" t="str">
            <v>גולן אבירם</v>
          </cell>
          <cell r="E159">
            <v>3</v>
          </cell>
          <cell r="F159">
            <v>24</v>
          </cell>
          <cell r="G159" t="str">
            <v>שוויארוחות</v>
          </cell>
          <cell r="H159">
            <v>450</v>
          </cell>
          <cell r="I159">
            <v>0</v>
          </cell>
          <cell r="J159" t="str">
            <v>מו"פ</v>
          </cell>
        </row>
        <row r="160">
          <cell r="A160" t="str">
            <v>רד סי אופטיקל נטוורק</v>
          </cell>
          <cell r="B160">
            <v>2004</v>
          </cell>
          <cell r="C160">
            <v>4</v>
          </cell>
          <cell r="D160" t="str">
            <v>גולן אבירם</v>
          </cell>
          <cell r="E160">
            <v>3</v>
          </cell>
          <cell r="F160">
            <v>40</v>
          </cell>
          <cell r="G160" t="str">
            <v>רכב קב' 2</v>
          </cell>
          <cell r="H160">
            <v>980</v>
          </cell>
          <cell r="I160">
            <v>0</v>
          </cell>
          <cell r="J160" t="str">
            <v>מו"פ</v>
          </cell>
        </row>
        <row r="161">
          <cell r="A161" t="str">
            <v>רד סי אופטיקל נטוורק</v>
          </cell>
          <cell r="B161">
            <v>2004</v>
          </cell>
          <cell r="C161">
            <v>4</v>
          </cell>
          <cell r="D161" t="str">
            <v>גולן אבירם</v>
          </cell>
          <cell r="E161">
            <v>3</v>
          </cell>
          <cell r="F161">
            <v>47</v>
          </cell>
          <cell r="G161" t="str">
            <v>שווי פלא</v>
          </cell>
          <cell r="H161">
            <v>85</v>
          </cell>
          <cell r="I161">
            <v>0</v>
          </cell>
          <cell r="J161" t="str">
            <v>מו"פ</v>
          </cell>
        </row>
        <row r="162">
          <cell r="A162" t="str">
            <v>רד סי אופטיקל נטוורק</v>
          </cell>
          <cell r="B162">
            <v>2004</v>
          </cell>
          <cell r="C162">
            <v>4</v>
          </cell>
          <cell r="D162" t="str">
            <v>גולן אבירם</v>
          </cell>
          <cell r="E162">
            <v>4</v>
          </cell>
          <cell r="F162">
            <v>24</v>
          </cell>
          <cell r="G162" t="str">
            <v>שוויארוחות</v>
          </cell>
          <cell r="H162">
            <v>450</v>
          </cell>
          <cell r="I162">
            <v>0</v>
          </cell>
          <cell r="J162" t="str">
            <v>מו"פ</v>
          </cell>
        </row>
        <row r="163">
          <cell r="A163" t="str">
            <v>רד סי אופטיקל נטוורק</v>
          </cell>
          <cell r="B163">
            <v>2004</v>
          </cell>
          <cell r="C163">
            <v>4</v>
          </cell>
          <cell r="D163" t="str">
            <v>גולן אבירם</v>
          </cell>
          <cell r="E163">
            <v>4</v>
          </cell>
          <cell r="F163">
            <v>40</v>
          </cell>
          <cell r="G163" t="str">
            <v>רכב קב' 2</v>
          </cell>
          <cell r="H163">
            <v>980</v>
          </cell>
          <cell r="I163">
            <v>0</v>
          </cell>
          <cell r="J163" t="str">
            <v>מו"פ</v>
          </cell>
        </row>
        <row r="164">
          <cell r="A164" t="str">
            <v>רד סי אופטיקל נטוורק</v>
          </cell>
          <cell r="B164">
            <v>2004</v>
          </cell>
          <cell r="C164">
            <v>4</v>
          </cell>
          <cell r="D164" t="str">
            <v>גולן אבירם</v>
          </cell>
          <cell r="E164">
            <v>4</v>
          </cell>
          <cell r="F164">
            <v>47</v>
          </cell>
          <cell r="G164" t="str">
            <v>שווי פלא</v>
          </cell>
          <cell r="H164">
            <v>85</v>
          </cell>
          <cell r="I164">
            <v>0</v>
          </cell>
          <cell r="J164" t="str">
            <v>מו"פ</v>
          </cell>
        </row>
        <row r="165">
          <cell r="A165" t="str">
            <v>רד סי אופטיקל נטוורק</v>
          </cell>
          <cell r="B165">
            <v>2004</v>
          </cell>
          <cell r="C165">
            <v>4</v>
          </cell>
          <cell r="D165" t="str">
            <v>גולן אבירם</v>
          </cell>
          <cell r="E165">
            <v>5</v>
          </cell>
          <cell r="F165">
            <v>24</v>
          </cell>
          <cell r="G165" t="str">
            <v>שוויארוחות</v>
          </cell>
          <cell r="H165">
            <v>450</v>
          </cell>
          <cell r="I165">
            <v>0</v>
          </cell>
          <cell r="J165" t="str">
            <v>מו"פ</v>
          </cell>
        </row>
        <row r="166">
          <cell r="A166" t="str">
            <v>רד סי אופטיקל נטוורק</v>
          </cell>
          <cell r="B166">
            <v>2004</v>
          </cell>
          <cell r="C166">
            <v>4</v>
          </cell>
          <cell r="D166" t="str">
            <v>גולן אבירם</v>
          </cell>
          <cell r="E166">
            <v>5</v>
          </cell>
          <cell r="F166">
            <v>40</v>
          </cell>
          <cell r="G166" t="str">
            <v>רכב קב' 2</v>
          </cell>
          <cell r="H166">
            <v>980</v>
          </cell>
          <cell r="I166">
            <v>0</v>
          </cell>
          <cell r="J166" t="str">
            <v>מו"פ</v>
          </cell>
        </row>
        <row r="167">
          <cell r="A167" t="str">
            <v>רד סי אופטיקל נטוורק</v>
          </cell>
          <cell r="B167">
            <v>2004</v>
          </cell>
          <cell r="C167">
            <v>4</v>
          </cell>
          <cell r="D167" t="str">
            <v>גולן אבירם</v>
          </cell>
          <cell r="E167">
            <v>5</v>
          </cell>
          <cell r="F167">
            <v>47</v>
          </cell>
          <cell r="G167" t="str">
            <v>שווי פלא</v>
          </cell>
          <cell r="H167">
            <v>85</v>
          </cell>
          <cell r="I167">
            <v>0</v>
          </cell>
          <cell r="J167" t="str">
            <v>מו"פ</v>
          </cell>
        </row>
        <row r="168">
          <cell r="A168" t="str">
            <v>רד סי אופטיקל נטוורק</v>
          </cell>
          <cell r="B168">
            <v>2004</v>
          </cell>
          <cell r="C168">
            <v>4</v>
          </cell>
          <cell r="D168" t="str">
            <v>גולן אבירם</v>
          </cell>
          <cell r="E168">
            <v>6</v>
          </cell>
          <cell r="F168">
            <v>24</v>
          </cell>
          <cell r="G168" t="str">
            <v>שוויארוחות</v>
          </cell>
          <cell r="H168">
            <v>450</v>
          </cell>
          <cell r="I168">
            <v>0</v>
          </cell>
          <cell r="J168" t="str">
            <v>מו"פ</v>
          </cell>
        </row>
        <row r="169">
          <cell r="A169" t="str">
            <v>רד סי אופטיקל נטוורק</v>
          </cell>
          <cell r="B169">
            <v>2004</v>
          </cell>
          <cell r="C169">
            <v>4</v>
          </cell>
          <cell r="D169" t="str">
            <v>גולן אבירם</v>
          </cell>
          <cell r="E169">
            <v>6</v>
          </cell>
          <cell r="F169">
            <v>40</v>
          </cell>
          <cell r="G169" t="str">
            <v>רכב קב' 2</v>
          </cell>
          <cell r="H169">
            <v>980</v>
          </cell>
          <cell r="I169">
            <v>0</v>
          </cell>
          <cell r="J169" t="str">
            <v>מו"פ</v>
          </cell>
        </row>
        <row r="170">
          <cell r="A170" t="str">
            <v>רד סי אופטיקל נטוורק</v>
          </cell>
          <cell r="B170">
            <v>2004</v>
          </cell>
          <cell r="C170">
            <v>4</v>
          </cell>
          <cell r="D170" t="str">
            <v>גולן אבירם</v>
          </cell>
          <cell r="E170">
            <v>6</v>
          </cell>
          <cell r="F170">
            <v>47</v>
          </cell>
          <cell r="G170" t="str">
            <v>שווי פלא</v>
          </cell>
          <cell r="H170">
            <v>85</v>
          </cell>
          <cell r="I170">
            <v>0</v>
          </cell>
          <cell r="J170" t="str">
            <v>מו"פ</v>
          </cell>
        </row>
        <row r="171">
          <cell r="A171" t="str">
            <v>רד סי אופטיקל נטוורק</v>
          </cell>
          <cell r="B171">
            <v>2004</v>
          </cell>
          <cell r="C171">
            <v>4</v>
          </cell>
          <cell r="D171" t="str">
            <v>גולן אבירם</v>
          </cell>
          <cell r="E171">
            <v>7</v>
          </cell>
          <cell r="F171">
            <v>24</v>
          </cell>
          <cell r="G171" t="str">
            <v>שוויארוחות</v>
          </cell>
          <cell r="H171">
            <v>450</v>
          </cell>
          <cell r="I171">
            <v>0</v>
          </cell>
          <cell r="J171" t="str">
            <v>מו"פ</v>
          </cell>
        </row>
        <row r="172">
          <cell r="A172" t="str">
            <v>רד סי אופטיקל נטוורק</v>
          </cell>
          <cell r="B172">
            <v>2004</v>
          </cell>
          <cell r="C172">
            <v>4</v>
          </cell>
          <cell r="D172" t="str">
            <v>גולן אבירם</v>
          </cell>
          <cell r="E172">
            <v>7</v>
          </cell>
          <cell r="F172">
            <v>40</v>
          </cell>
          <cell r="G172" t="str">
            <v>רכב קב' 2</v>
          </cell>
          <cell r="H172">
            <v>980</v>
          </cell>
          <cell r="I172">
            <v>0</v>
          </cell>
          <cell r="J172" t="str">
            <v>מו"פ</v>
          </cell>
        </row>
        <row r="173">
          <cell r="A173" t="str">
            <v>רד סי אופטיקל נטוורק</v>
          </cell>
          <cell r="B173">
            <v>2004</v>
          </cell>
          <cell r="C173">
            <v>4</v>
          </cell>
          <cell r="D173" t="str">
            <v>גולן אבירם</v>
          </cell>
          <cell r="E173">
            <v>7</v>
          </cell>
          <cell r="F173">
            <v>47</v>
          </cell>
          <cell r="G173" t="str">
            <v>שווי פלא</v>
          </cell>
          <cell r="H173">
            <v>85</v>
          </cell>
          <cell r="I173">
            <v>0</v>
          </cell>
          <cell r="J173" t="str">
            <v>מו"פ</v>
          </cell>
        </row>
        <row r="174">
          <cell r="A174" t="str">
            <v>רד סי אופטיקל נטוורק</v>
          </cell>
          <cell r="B174">
            <v>2004</v>
          </cell>
          <cell r="C174">
            <v>4</v>
          </cell>
          <cell r="D174" t="str">
            <v>גולן אבירם</v>
          </cell>
          <cell r="E174">
            <v>8</v>
          </cell>
          <cell r="F174">
            <v>24</v>
          </cell>
          <cell r="G174" t="str">
            <v>שוויארוחות</v>
          </cell>
          <cell r="H174">
            <v>483</v>
          </cell>
          <cell r="I174">
            <v>23</v>
          </cell>
          <cell r="J174" t="str">
            <v>מו"פ</v>
          </cell>
        </row>
        <row r="175">
          <cell r="A175" t="str">
            <v>רד סי אופטיקל נטוורק</v>
          </cell>
          <cell r="B175">
            <v>2004</v>
          </cell>
          <cell r="C175">
            <v>4</v>
          </cell>
          <cell r="D175" t="str">
            <v>גולן אבירם</v>
          </cell>
          <cell r="E175">
            <v>8</v>
          </cell>
          <cell r="F175">
            <v>40</v>
          </cell>
          <cell r="G175" t="str">
            <v>רכב קב' 2</v>
          </cell>
          <cell r="H175">
            <v>980</v>
          </cell>
          <cell r="I175">
            <v>0</v>
          </cell>
          <cell r="J175" t="str">
            <v>מו"פ</v>
          </cell>
        </row>
        <row r="176">
          <cell r="A176" t="str">
            <v>רד סי אופטיקל נטוורק</v>
          </cell>
          <cell r="B176">
            <v>2004</v>
          </cell>
          <cell r="C176">
            <v>4</v>
          </cell>
          <cell r="D176" t="str">
            <v>גולן אבירם</v>
          </cell>
          <cell r="E176">
            <v>8</v>
          </cell>
          <cell r="F176">
            <v>47</v>
          </cell>
          <cell r="G176" t="str">
            <v>שווי פלא</v>
          </cell>
          <cell r="H176">
            <v>85</v>
          </cell>
          <cell r="I176">
            <v>0</v>
          </cell>
          <cell r="J176" t="str">
            <v>מו"פ</v>
          </cell>
        </row>
        <row r="177">
          <cell r="A177" t="str">
            <v>רד סי אופטיקל נטוורק</v>
          </cell>
          <cell r="B177">
            <v>2004</v>
          </cell>
          <cell r="C177">
            <v>4</v>
          </cell>
          <cell r="D177" t="str">
            <v>גולן אבירם</v>
          </cell>
          <cell r="E177">
            <v>9</v>
          </cell>
          <cell r="F177">
            <v>22</v>
          </cell>
          <cell r="G177" t="str">
            <v>שווי מתנות</v>
          </cell>
          <cell r="H177">
            <v>459.25</v>
          </cell>
          <cell r="I177">
            <v>0</v>
          </cell>
          <cell r="J177" t="str">
            <v>מו"פ</v>
          </cell>
        </row>
        <row r="178">
          <cell r="A178" t="str">
            <v>רד סי אופטיקל נטוורק</v>
          </cell>
          <cell r="B178">
            <v>2004</v>
          </cell>
          <cell r="C178">
            <v>4</v>
          </cell>
          <cell r="D178" t="str">
            <v>גולן אבירם</v>
          </cell>
          <cell r="E178">
            <v>9</v>
          </cell>
          <cell r="F178">
            <v>24</v>
          </cell>
          <cell r="G178" t="str">
            <v>שוויארוחות</v>
          </cell>
          <cell r="H178">
            <v>378</v>
          </cell>
          <cell r="I178">
            <v>18</v>
          </cell>
          <cell r="J178" t="str">
            <v>מו"פ</v>
          </cell>
        </row>
        <row r="179">
          <cell r="A179" t="str">
            <v>רד סי אופטיקל נטוורק</v>
          </cell>
          <cell r="B179">
            <v>2004</v>
          </cell>
          <cell r="C179">
            <v>4</v>
          </cell>
          <cell r="D179" t="str">
            <v>גולן אבירם</v>
          </cell>
          <cell r="E179">
            <v>9</v>
          </cell>
          <cell r="F179">
            <v>40</v>
          </cell>
          <cell r="G179" t="str">
            <v>רכב קב' 2</v>
          </cell>
          <cell r="H179">
            <v>980</v>
          </cell>
          <cell r="I179">
            <v>0</v>
          </cell>
          <cell r="J179" t="str">
            <v>מו"פ</v>
          </cell>
        </row>
        <row r="180">
          <cell r="A180" t="str">
            <v>רד סי אופטיקל נטוורק</v>
          </cell>
          <cell r="B180">
            <v>2004</v>
          </cell>
          <cell r="C180">
            <v>4</v>
          </cell>
          <cell r="D180" t="str">
            <v>גולן אבירם</v>
          </cell>
          <cell r="E180">
            <v>9</v>
          </cell>
          <cell r="F180">
            <v>47</v>
          </cell>
          <cell r="G180" t="str">
            <v>שווי פלא</v>
          </cell>
          <cell r="H180">
            <v>85</v>
          </cell>
          <cell r="I180">
            <v>0</v>
          </cell>
          <cell r="J180" t="str">
            <v>מו"פ</v>
          </cell>
        </row>
        <row r="181">
          <cell r="A181" t="str">
            <v>רד סי אופטיקל נטוורק</v>
          </cell>
          <cell r="B181">
            <v>2004</v>
          </cell>
          <cell r="C181">
            <v>4</v>
          </cell>
          <cell r="D181" t="str">
            <v>גולן אבירם</v>
          </cell>
          <cell r="E181">
            <v>10</v>
          </cell>
          <cell r="F181">
            <v>24</v>
          </cell>
          <cell r="G181" t="str">
            <v>שוויארוחות</v>
          </cell>
          <cell r="H181">
            <v>399</v>
          </cell>
          <cell r="I181">
            <v>19</v>
          </cell>
          <cell r="J181" t="str">
            <v>מו"פ</v>
          </cell>
        </row>
        <row r="182">
          <cell r="A182" t="str">
            <v>רד סי אופטיקל נטוורק</v>
          </cell>
          <cell r="B182">
            <v>2004</v>
          </cell>
          <cell r="C182">
            <v>4</v>
          </cell>
          <cell r="D182" t="str">
            <v>גולן אבירם</v>
          </cell>
          <cell r="E182">
            <v>10</v>
          </cell>
          <cell r="F182">
            <v>40</v>
          </cell>
          <cell r="G182" t="str">
            <v>רכב קב' 2</v>
          </cell>
          <cell r="H182">
            <v>980</v>
          </cell>
          <cell r="I182">
            <v>0</v>
          </cell>
          <cell r="J182" t="str">
            <v>מו"פ</v>
          </cell>
        </row>
        <row r="183">
          <cell r="A183" t="str">
            <v>רד סי אופטיקל נטוורק</v>
          </cell>
          <cell r="B183">
            <v>2004</v>
          </cell>
          <cell r="C183">
            <v>4</v>
          </cell>
          <cell r="D183" t="str">
            <v>גולן אבירם</v>
          </cell>
          <cell r="E183">
            <v>10</v>
          </cell>
          <cell r="F183">
            <v>47</v>
          </cell>
          <cell r="G183" t="str">
            <v>שווי פלא</v>
          </cell>
          <cell r="H183">
            <v>85</v>
          </cell>
          <cell r="I183">
            <v>0</v>
          </cell>
          <cell r="J183" t="str">
            <v>מו"פ</v>
          </cell>
        </row>
        <row r="184">
          <cell r="A184" t="str">
            <v>רד סי אופטיקל נטוורק</v>
          </cell>
          <cell r="B184">
            <v>2004</v>
          </cell>
          <cell r="C184">
            <v>4</v>
          </cell>
          <cell r="D184" t="str">
            <v>גולן אבירם</v>
          </cell>
          <cell r="E184">
            <v>11</v>
          </cell>
          <cell r="F184">
            <v>24</v>
          </cell>
          <cell r="G184" t="str">
            <v>שוויארוחות</v>
          </cell>
          <cell r="H184">
            <v>441</v>
          </cell>
          <cell r="I184">
            <v>21</v>
          </cell>
          <cell r="J184" t="str">
            <v>מו"פ</v>
          </cell>
        </row>
        <row r="185">
          <cell r="A185" t="str">
            <v>רד סי אופטיקל נטוורק</v>
          </cell>
          <cell r="B185">
            <v>2004</v>
          </cell>
          <cell r="C185">
            <v>4</v>
          </cell>
          <cell r="D185" t="str">
            <v>גולן אבירם</v>
          </cell>
          <cell r="E185">
            <v>11</v>
          </cell>
          <cell r="F185">
            <v>40</v>
          </cell>
          <cell r="G185" t="str">
            <v>רכב קב' 2</v>
          </cell>
          <cell r="H185">
            <v>980</v>
          </cell>
          <cell r="I185">
            <v>0</v>
          </cell>
          <cell r="J185" t="str">
            <v>מו"פ</v>
          </cell>
        </row>
        <row r="186">
          <cell r="A186" t="str">
            <v>רד סי אופטיקל נטוורק</v>
          </cell>
          <cell r="B186">
            <v>2004</v>
          </cell>
          <cell r="C186">
            <v>4</v>
          </cell>
          <cell r="D186" t="str">
            <v>גולן אבירם</v>
          </cell>
          <cell r="E186">
            <v>11</v>
          </cell>
          <cell r="F186">
            <v>47</v>
          </cell>
          <cell r="G186" t="str">
            <v>שווי פלא</v>
          </cell>
          <cell r="H186">
            <v>85</v>
          </cell>
          <cell r="I186">
            <v>0</v>
          </cell>
          <cell r="J186" t="str">
            <v>מו"פ</v>
          </cell>
        </row>
        <row r="187">
          <cell r="A187" t="str">
            <v>רד סי אופטיקל נטוורק</v>
          </cell>
          <cell r="B187">
            <v>2004</v>
          </cell>
          <cell r="C187">
            <v>4</v>
          </cell>
          <cell r="D187" t="str">
            <v>גולן אבירם</v>
          </cell>
          <cell r="E187">
            <v>12</v>
          </cell>
          <cell r="F187">
            <v>22</v>
          </cell>
          <cell r="G187" t="str">
            <v>שווי מתנות</v>
          </cell>
          <cell r="H187">
            <v>0</v>
          </cell>
          <cell r="I187">
            <v>0</v>
          </cell>
          <cell r="J187" t="str">
            <v>מו"פ</v>
          </cell>
        </row>
        <row r="188">
          <cell r="A188" t="str">
            <v>רד סי אופטיקל נטוורק</v>
          </cell>
          <cell r="B188">
            <v>2004</v>
          </cell>
          <cell r="C188">
            <v>4</v>
          </cell>
          <cell r="D188" t="str">
            <v>גולן אבירם</v>
          </cell>
          <cell r="E188">
            <v>12</v>
          </cell>
          <cell r="F188">
            <v>24</v>
          </cell>
          <cell r="G188" t="str">
            <v>שוויארוחות</v>
          </cell>
          <cell r="H188">
            <v>462</v>
          </cell>
          <cell r="I188">
            <v>22</v>
          </cell>
          <cell r="J188" t="str">
            <v>מו"פ</v>
          </cell>
        </row>
        <row r="189">
          <cell r="A189" t="str">
            <v>רד סי אופטיקל נטוורק</v>
          </cell>
          <cell r="B189">
            <v>2004</v>
          </cell>
          <cell r="C189">
            <v>4</v>
          </cell>
          <cell r="D189" t="str">
            <v>גולן אבירם</v>
          </cell>
          <cell r="E189">
            <v>12</v>
          </cell>
          <cell r="F189">
            <v>40</v>
          </cell>
          <cell r="G189" t="str">
            <v>רכב קב' 2</v>
          </cell>
          <cell r="H189">
            <v>980</v>
          </cell>
          <cell r="I189">
            <v>0</v>
          </cell>
          <cell r="J189" t="str">
            <v>מו"פ</v>
          </cell>
        </row>
        <row r="190">
          <cell r="A190" t="str">
            <v>רד סי אופטיקל נטוורק</v>
          </cell>
          <cell r="B190">
            <v>2004</v>
          </cell>
          <cell r="C190">
            <v>4</v>
          </cell>
          <cell r="D190" t="str">
            <v>גולן אבירם</v>
          </cell>
          <cell r="E190">
            <v>12</v>
          </cell>
          <cell r="F190">
            <v>47</v>
          </cell>
          <cell r="G190" t="str">
            <v>שווי פלא</v>
          </cell>
          <cell r="H190">
            <v>85</v>
          </cell>
          <cell r="I190">
            <v>0</v>
          </cell>
          <cell r="J190" t="str">
            <v>מו"פ</v>
          </cell>
        </row>
        <row r="191">
          <cell r="A191" t="str">
            <v>רד סי אופטיקל נטוורק</v>
          </cell>
          <cell r="B191">
            <v>2004</v>
          </cell>
          <cell r="C191">
            <v>5</v>
          </cell>
          <cell r="D191" t="str">
            <v>ברגר דניאל</v>
          </cell>
          <cell r="E191">
            <v>1</v>
          </cell>
          <cell r="F191">
            <v>40</v>
          </cell>
          <cell r="G191" t="str">
            <v>רכב קב' 2</v>
          </cell>
          <cell r="H191">
            <v>980</v>
          </cell>
          <cell r="I191">
            <v>0</v>
          </cell>
          <cell r="J191" t="str">
            <v>מו"פ</v>
          </cell>
        </row>
        <row r="192">
          <cell r="A192" t="str">
            <v>רד סי אופטיקל נטוורק</v>
          </cell>
          <cell r="B192">
            <v>2004</v>
          </cell>
          <cell r="C192">
            <v>5</v>
          </cell>
          <cell r="D192" t="str">
            <v>ברגר דניאל</v>
          </cell>
          <cell r="E192">
            <v>2</v>
          </cell>
          <cell r="F192">
            <v>40</v>
          </cell>
          <cell r="G192" t="str">
            <v>רכב קב' 2</v>
          </cell>
          <cell r="H192">
            <v>980</v>
          </cell>
          <cell r="I192">
            <v>0</v>
          </cell>
          <cell r="J192" t="str">
            <v>מו"פ</v>
          </cell>
        </row>
        <row r="193">
          <cell r="A193" t="str">
            <v>רד סי אופטיקל נטוורק</v>
          </cell>
          <cell r="B193">
            <v>2004</v>
          </cell>
          <cell r="C193">
            <v>5</v>
          </cell>
          <cell r="D193" t="str">
            <v>ברגר דניאל</v>
          </cell>
          <cell r="E193">
            <v>3</v>
          </cell>
          <cell r="F193">
            <v>22</v>
          </cell>
          <cell r="G193" t="str">
            <v>שווי מתנות</v>
          </cell>
          <cell r="H193">
            <v>186.25</v>
          </cell>
          <cell r="I193">
            <v>0</v>
          </cell>
          <cell r="J193" t="str">
            <v>מו"פ</v>
          </cell>
        </row>
        <row r="194">
          <cell r="A194" t="str">
            <v>רד סי אופטיקל נטוורק</v>
          </cell>
          <cell r="B194">
            <v>2004</v>
          </cell>
          <cell r="C194">
            <v>5</v>
          </cell>
          <cell r="D194" t="str">
            <v>ברגר דניאל</v>
          </cell>
          <cell r="E194">
            <v>3</v>
          </cell>
          <cell r="F194">
            <v>40</v>
          </cell>
          <cell r="G194" t="str">
            <v>רכב קב' 2</v>
          </cell>
          <cell r="H194">
            <v>980</v>
          </cell>
          <cell r="I194">
            <v>0</v>
          </cell>
          <cell r="J194" t="str">
            <v>מו"פ</v>
          </cell>
        </row>
        <row r="195">
          <cell r="A195" t="str">
            <v>רד סי אופטיקל נטוורק</v>
          </cell>
          <cell r="B195">
            <v>2004</v>
          </cell>
          <cell r="C195">
            <v>5</v>
          </cell>
          <cell r="D195" t="str">
            <v>ברגר דניאל</v>
          </cell>
          <cell r="E195">
            <v>4</v>
          </cell>
          <cell r="F195">
            <v>40</v>
          </cell>
          <cell r="G195" t="str">
            <v>רכב קב' 2</v>
          </cell>
          <cell r="H195">
            <v>980</v>
          </cell>
          <cell r="I195">
            <v>0</v>
          </cell>
          <cell r="J195" t="str">
            <v>מו"פ</v>
          </cell>
        </row>
        <row r="196">
          <cell r="A196" t="str">
            <v>רד סי אופטיקל נטוורק</v>
          </cell>
          <cell r="B196">
            <v>2004</v>
          </cell>
          <cell r="C196">
            <v>5</v>
          </cell>
          <cell r="D196" t="str">
            <v>ברגר דניאל</v>
          </cell>
          <cell r="E196">
            <v>5</v>
          </cell>
          <cell r="F196">
            <v>40</v>
          </cell>
          <cell r="G196" t="str">
            <v>רכב קב' 2</v>
          </cell>
          <cell r="H196">
            <v>980</v>
          </cell>
          <cell r="I196">
            <v>0</v>
          </cell>
          <cell r="J196" t="str">
            <v>מו"פ</v>
          </cell>
        </row>
        <row r="197">
          <cell r="A197" t="str">
            <v>רד סי אופטיקל נטוורק</v>
          </cell>
          <cell r="B197">
            <v>2004</v>
          </cell>
          <cell r="C197">
            <v>5</v>
          </cell>
          <cell r="D197" t="str">
            <v>ברגר דניאל</v>
          </cell>
          <cell r="E197">
            <v>6</v>
          </cell>
          <cell r="F197">
            <v>40</v>
          </cell>
          <cell r="G197" t="str">
            <v>רכב קב' 2</v>
          </cell>
          <cell r="H197">
            <v>980</v>
          </cell>
          <cell r="I197">
            <v>0</v>
          </cell>
          <cell r="J197" t="str">
            <v>מו"פ</v>
          </cell>
        </row>
        <row r="198">
          <cell r="A198" t="str">
            <v>רד סי אופטיקל נטוורק</v>
          </cell>
          <cell r="B198">
            <v>2004</v>
          </cell>
          <cell r="C198">
            <v>5</v>
          </cell>
          <cell r="D198" t="str">
            <v>ברגר דניאל</v>
          </cell>
          <cell r="E198">
            <v>7</v>
          </cell>
          <cell r="F198">
            <v>40</v>
          </cell>
          <cell r="G198" t="str">
            <v>רכב קב' 2</v>
          </cell>
          <cell r="H198">
            <v>980</v>
          </cell>
          <cell r="I198">
            <v>0</v>
          </cell>
          <cell r="J198" t="str">
            <v>מו"פ</v>
          </cell>
        </row>
        <row r="199">
          <cell r="A199" t="str">
            <v>רד סי אופטיקל נטוורק</v>
          </cell>
          <cell r="B199">
            <v>2004</v>
          </cell>
          <cell r="C199">
            <v>5</v>
          </cell>
          <cell r="D199" t="str">
            <v>ברגר דניאל</v>
          </cell>
          <cell r="E199">
            <v>8</v>
          </cell>
          <cell r="F199">
            <v>24</v>
          </cell>
          <cell r="G199" t="str">
            <v>שוויארוחות</v>
          </cell>
          <cell r="H199">
            <v>273</v>
          </cell>
          <cell r="I199">
            <v>13</v>
          </cell>
          <cell r="J199" t="str">
            <v>מו"פ</v>
          </cell>
        </row>
        <row r="200">
          <cell r="A200" t="str">
            <v>רד סי אופטיקל נטוורק</v>
          </cell>
          <cell r="B200">
            <v>2004</v>
          </cell>
          <cell r="C200">
            <v>5</v>
          </cell>
          <cell r="D200" t="str">
            <v>ברגר דניאל</v>
          </cell>
          <cell r="E200">
            <v>8</v>
          </cell>
          <cell r="F200">
            <v>40</v>
          </cell>
          <cell r="G200" t="str">
            <v>רכב קב' 2</v>
          </cell>
          <cell r="H200">
            <v>980</v>
          </cell>
          <cell r="I200">
            <v>0</v>
          </cell>
          <cell r="J200" t="str">
            <v>מו"פ</v>
          </cell>
        </row>
        <row r="201">
          <cell r="A201" t="str">
            <v>רד סי אופטיקל נטוורק</v>
          </cell>
          <cell r="B201">
            <v>2004</v>
          </cell>
          <cell r="C201">
            <v>5</v>
          </cell>
          <cell r="D201" t="str">
            <v>ברגר דניאל</v>
          </cell>
          <cell r="E201">
            <v>9</v>
          </cell>
          <cell r="F201">
            <v>22</v>
          </cell>
          <cell r="G201" t="str">
            <v>שווי מתנות</v>
          </cell>
          <cell r="H201">
            <v>459.25</v>
          </cell>
          <cell r="I201">
            <v>0</v>
          </cell>
          <cell r="J201" t="str">
            <v>מו"פ</v>
          </cell>
        </row>
        <row r="202">
          <cell r="A202" t="str">
            <v>רד סי אופטיקל נטוורק</v>
          </cell>
          <cell r="B202">
            <v>2004</v>
          </cell>
          <cell r="C202">
            <v>5</v>
          </cell>
          <cell r="D202" t="str">
            <v>ברגר דניאל</v>
          </cell>
          <cell r="E202">
            <v>9</v>
          </cell>
          <cell r="F202">
            <v>24</v>
          </cell>
          <cell r="G202" t="str">
            <v>שוויארוחות</v>
          </cell>
          <cell r="H202">
            <v>378</v>
          </cell>
          <cell r="I202">
            <v>18</v>
          </cell>
          <cell r="J202" t="str">
            <v>מו"פ</v>
          </cell>
        </row>
        <row r="203">
          <cell r="A203" t="str">
            <v>רד סי אופטיקל נטוורק</v>
          </cell>
          <cell r="B203">
            <v>2004</v>
          </cell>
          <cell r="C203">
            <v>5</v>
          </cell>
          <cell r="D203" t="str">
            <v>ברגר דניאל</v>
          </cell>
          <cell r="E203">
            <v>9</v>
          </cell>
          <cell r="F203">
            <v>40</v>
          </cell>
          <cell r="G203" t="str">
            <v>רכב קב' 2</v>
          </cell>
          <cell r="H203">
            <v>980</v>
          </cell>
          <cell r="I203">
            <v>0</v>
          </cell>
          <cell r="J203" t="str">
            <v>מו"פ</v>
          </cell>
        </row>
        <row r="204">
          <cell r="A204" t="str">
            <v>רד סי אופטיקל נטוורק</v>
          </cell>
          <cell r="B204">
            <v>2004</v>
          </cell>
          <cell r="C204">
            <v>5</v>
          </cell>
          <cell r="D204" t="str">
            <v>ברגר דניאל</v>
          </cell>
          <cell r="E204">
            <v>10</v>
          </cell>
          <cell r="F204">
            <v>24</v>
          </cell>
          <cell r="G204" t="str">
            <v>שוויארוחות</v>
          </cell>
          <cell r="H204">
            <v>399</v>
          </cell>
          <cell r="I204">
            <v>19</v>
          </cell>
          <cell r="J204" t="str">
            <v>מו"פ</v>
          </cell>
        </row>
        <row r="205">
          <cell r="A205" t="str">
            <v>רד סי אופטיקל נטוורק</v>
          </cell>
          <cell r="B205">
            <v>2004</v>
          </cell>
          <cell r="C205">
            <v>5</v>
          </cell>
          <cell r="D205" t="str">
            <v>ברגר דניאל</v>
          </cell>
          <cell r="E205">
            <v>10</v>
          </cell>
          <cell r="F205">
            <v>40</v>
          </cell>
          <cell r="G205" t="str">
            <v>רכב קב' 2</v>
          </cell>
          <cell r="H205">
            <v>980</v>
          </cell>
          <cell r="I205">
            <v>0</v>
          </cell>
          <cell r="J205" t="str">
            <v>מו"פ</v>
          </cell>
        </row>
        <row r="206">
          <cell r="A206" t="str">
            <v>רד סי אופטיקל נטוורק</v>
          </cell>
          <cell r="B206">
            <v>2004</v>
          </cell>
          <cell r="C206">
            <v>5</v>
          </cell>
          <cell r="D206" t="str">
            <v>ברגר דניאל</v>
          </cell>
          <cell r="E206">
            <v>11</v>
          </cell>
          <cell r="F206">
            <v>24</v>
          </cell>
          <cell r="G206" t="str">
            <v>שוויארוחות</v>
          </cell>
          <cell r="H206">
            <v>441</v>
          </cell>
          <cell r="I206">
            <v>21</v>
          </cell>
          <cell r="J206" t="str">
            <v>מו"פ</v>
          </cell>
        </row>
        <row r="207">
          <cell r="A207" t="str">
            <v>רד סי אופטיקל נטוורק</v>
          </cell>
          <cell r="B207">
            <v>2004</v>
          </cell>
          <cell r="C207">
            <v>5</v>
          </cell>
          <cell r="D207" t="str">
            <v>ברגר דניאל</v>
          </cell>
          <cell r="E207">
            <v>11</v>
          </cell>
          <cell r="F207">
            <v>40</v>
          </cell>
          <cell r="G207" t="str">
            <v>רכב קב' 2</v>
          </cell>
          <cell r="H207">
            <v>980</v>
          </cell>
          <cell r="I207">
            <v>0</v>
          </cell>
          <cell r="J207" t="str">
            <v>מו"פ</v>
          </cell>
        </row>
        <row r="208">
          <cell r="A208" t="str">
            <v>רד סי אופטיקל נטוורק</v>
          </cell>
          <cell r="B208">
            <v>2004</v>
          </cell>
          <cell r="C208">
            <v>5</v>
          </cell>
          <cell r="D208" t="str">
            <v>ברגר דניאל</v>
          </cell>
          <cell r="E208">
            <v>12</v>
          </cell>
          <cell r="F208">
            <v>22</v>
          </cell>
          <cell r="G208" t="str">
            <v>שווי מתנות</v>
          </cell>
          <cell r="H208">
            <v>0</v>
          </cell>
          <cell r="I208">
            <v>0</v>
          </cell>
          <cell r="J208" t="str">
            <v>מו"פ</v>
          </cell>
        </row>
        <row r="209">
          <cell r="A209" t="str">
            <v>רד סי אופטיקל נטוורק</v>
          </cell>
          <cell r="B209">
            <v>2004</v>
          </cell>
          <cell r="C209">
            <v>5</v>
          </cell>
          <cell r="D209" t="str">
            <v>ברגר דניאל</v>
          </cell>
          <cell r="E209">
            <v>12</v>
          </cell>
          <cell r="F209">
            <v>24</v>
          </cell>
          <cell r="G209" t="str">
            <v>שוויארוחות</v>
          </cell>
          <cell r="H209">
            <v>462</v>
          </cell>
          <cell r="I209">
            <v>22</v>
          </cell>
          <cell r="J209" t="str">
            <v>מו"פ</v>
          </cell>
        </row>
        <row r="210">
          <cell r="A210" t="str">
            <v>רד סי אופטיקל נטוורק</v>
          </cell>
          <cell r="B210">
            <v>2004</v>
          </cell>
          <cell r="C210">
            <v>5</v>
          </cell>
          <cell r="D210" t="str">
            <v>ברגר דניאל</v>
          </cell>
          <cell r="E210">
            <v>12</v>
          </cell>
          <cell r="F210">
            <v>40</v>
          </cell>
          <cell r="G210" t="str">
            <v>רכב קב' 2</v>
          </cell>
          <cell r="H210">
            <v>980</v>
          </cell>
          <cell r="I210">
            <v>0</v>
          </cell>
          <cell r="J210" t="str">
            <v>מו"פ</v>
          </cell>
        </row>
        <row r="211">
          <cell r="A211" t="str">
            <v>רד סי אופטיקל נטוורק</v>
          </cell>
          <cell r="B211">
            <v>2004</v>
          </cell>
          <cell r="C211">
            <v>7</v>
          </cell>
          <cell r="D211" t="str">
            <v>עוזרי שרון</v>
          </cell>
          <cell r="E211">
            <v>1</v>
          </cell>
          <cell r="F211">
            <v>24</v>
          </cell>
          <cell r="G211" t="str">
            <v>שוויארוחות</v>
          </cell>
          <cell r="H211">
            <v>256.5</v>
          </cell>
          <cell r="I211">
            <v>0.56999999999999995</v>
          </cell>
          <cell r="J211" t="str">
            <v>תפעול</v>
          </cell>
        </row>
        <row r="212">
          <cell r="A212" t="str">
            <v>רד סי אופטיקל נטוורק</v>
          </cell>
          <cell r="B212">
            <v>2004</v>
          </cell>
          <cell r="C212">
            <v>7</v>
          </cell>
          <cell r="D212" t="str">
            <v>עוזרי שרון</v>
          </cell>
          <cell r="E212">
            <v>2</v>
          </cell>
          <cell r="F212">
            <v>24</v>
          </cell>
          <cell r="G212" t="str">
            <v>שוויארוחות</v>
          </cell>
          <cell r="H212">
            <v>405</v>
          </cell>
          <cell r="I212">
            <v>0.9</v>
          </cell>
          <cell r="J212" t="str">
            <v>תפעול</v>
          </cell>
        </row>
        <row r="213">
          <cell r="A213" t="str">
            <v>רד סי אופטיקל נטוורק</v>
          </cell>
          <cell r="B213">
            <v>2004</v>
          </cell>
          <cell r="C213">
            <v>7</v>
          </cell>
          <cell r="D213" t="str">
            <v>עוזרי שרון</v>
          </cell>
          <cell r="E213">
            <v>3</v>
          </cell>
          <cell r="F213">
            <v>22</v>
          </cell>
          <cell r="G213" t="str">
            <v>שווי מתנות</v>
          </cell>
          <cell r="H213">
            <v>186.25</v>
          </cell>
          <cell r="I213">
            <v>0</v>
          </cell>
          <cell r="J213" t="str">
            <v>תפעול</v>
          </cell>
        </row>
        <row r="214">
          <cell r="A214" t="str">
            <v>רד סי אופטיקל נטוורק</v>
          </cell>
          <cell r="B214">
            <v>2004</v>
          </cell>
          <cell r="C214">
            <v>7</v>
          </cell>
          <cell r="D214" t="str">
            <v>עוזרי שרון</v>
          </cell>
          <cell r="E214">
            <v>3</v>
          </cell>
          <cell r="F214">
            <v>24</v>
          </cell>
          <cell r="G214" t="str">
            <v>שוויארוחות</v>
          </cell>
          <cell r="H214">
            <v>450</v>
          </cell>
          <cell r="I214">
            <v>1</v>
          </cell>
          <cell r="J214" t="str">
            <v>תפעול</v>
          </cell>
        </row>
        <row r="215">
          <cell r="A215" t="str">
            <v>רד סי אופטיקל נטוורק</v>
          </cell>
          <cell r="B215">
            <v>2004</v>
          </cell>
          <cell r="C215">
            <v>7</v>
          </cell>
          <cell r="D215" t="str">
            <v>עוזרי שרון</v>
          </cell>
          <cell r="E215">
            <v>4</v>
          </cell>
          <cell r="F215">
            <v>24</v>
          </cell>
          <cell r="G215" t="str">
            <v>שוויארוחות</v>
          </cell>
          <cell r="H215">
            <v>450</v>
          </cell>
          <cell r="I215">
            <v>1</v>
          </cell>
          <cell r="J215" t="str">
            <v>תפעול</v>
          </cell>
        </row>
        <row r="216">
          <cell r="A216" t="str">
            <v>רד סי אופטיקל נטוורק</v>
          </cell>
          <cell r="B216">
            <v>2004</v>
          </cell>
          <cell r="C216">
            <v>7</v>
          </cell>
          <cell r="D216" t="str">
            <v>עוזרי שרון</v>
          </cell>
          <cell r="E216">
            <v>5</v>
          </cell>
          <cell r="F216">
            <v>24</v>
          </cell>
          <cell r="G216" t="str">
            <v>שוויארוחות</v>
          </cell>
          <cell r="H216">
            <v>450</v>
          </cell>
          <cell r="I216">
            <v>1</v>
          </cell>
          <cell r="J216" t="str">
            <v>תפעול</v>
          </cell>
        </row>
        <row r="217">
          <cell r="A217" t="str">
            <v>רד סי אופטיקל נטוורק</v>
          </cell>
          <cell r="B217">
            <v>2004</v>
          </cell>
          <cell r="C217">
            <v>7</v>
          </cell>
          <cell r="D217" t="str">
            <v>עוזרי שרון</v>
          </cell>
          <cell r="E217">
            <v>6</v>
          </cell>
          <cell r="F217">
            <v>24</v>
          </cell>
          <cell r="G217" t="str">
            <v>שוויארוחות</v>
          </cell>
          <cell r="H217">
            <v>450</v>
          </cell>
          <cell r="I217">
            <v>1</v>
          </cell>
          <cell r="J217" t="str">
            <v>תפעול</v>
          </cell>
        </row>
        <row r="218">
          <cell r="A218" t="str">
            <v>רד סי אופטיקל נטוורק</v>
          </cell>
          <cell r="B218">
            <v>2004</v>
          </cell>
          <cell r="C218">
            <v>7</v>
          </cell>
          <cell r="D218" t="str">
            <v>עוזרי שרון</v>
          </cell>
          <cell r="E218">
            <v>7</v>
          </cell>
          <cell r="F218">
            <v>24</v>
          </cell>
          <cell r="G218" t="str">
            <v>שוויארוחות</v>
          </cell>
          <cell r="H218">
            <v>450</v>
          </cell>
          <cell r="I218">
            <v>1</v>
          </cell>
          <cell r="J218" t="str">
            <v>תפעול</v>
          </cell>
        </row>
        <row r="219">
          <cell r="A219" t="str">
            <v>רד סי אופטיקל נטוורק</v>
          </cell>
          <cell r="B219">
            <v>2004</v>
          </cell>
          <cell r="C219">
            <v>7</v>
          </cell>
          <cell r="D219" t="str">
            <v>עוזרי שרון</v>
          </cell>
          <cell r="E219">
            <v>8</v>
          </cell>
          <cell r="F219">
            <v>24</v>
          </cell>
          <cell r="G219" t="str">
            <v>שוויארוחות</v>
          </cell>
          <cell r="H219">
            <v>483</v>
          </cell>
          <cell r="I219">
            <v>23</v>
          </cell>
          <cell r="J219" t="str">
            <v>תפעול</v>
          </cell>
        </row>
        <row r="220">
          <cell r="A220" t="str">
            <v>רד סי אופטיקל נטוורק</v>
          </cell>
          <cell r="B220">
            <v>2004</v>
          </cell>
          <cell r="C220">
            <v>7</v>
          </cell>
          <cell r="D220" t="str">
            <v>עוזרי שרון</v>
          </cell>
          <cell r="E220">
            <v>9</v>
          </cell>
          <cell r="F220">
            <v>22</v>
          </cell>
          <cell r="G220" t="str">
            <v>שווי מתנות</v>
          </cell>
          <cell r="H220">
            <v>459.25</v>
          </cell>
          <cell r="I220">
            <v>0</v>
          </cell>
          <cell r="J220" t="str">
            <v>תפעול</v>
          </cell>
        </row>
        <row r="221">
          <cell r="A221" t="str">
            <v>רד סי אופטיקל נטוורק</v>
          </cell>
          <cell r="B221">
            <v>2004</v>
          </cell>
          <cell r="C221">
            <v>7</v>
          </cell>
          <cell r="D221" t="str">
            <v>עוזרי שרון</v>
          </cell>
          <cell r="E221">
            <v>9</v>
          </cell>
          <cell r="F221">
            <v>24</v>
          </cell>
          <cell r="G221" t="str">
            <v>שוויארוחות</v>
          </cell>
          <cell r="H221">
            <v>378</v>
          </cell>
          <cell r="I221">
            <v>18</v>
          </cell>
          <cell r="J221" t="str">
            <v>תפעול</v>
          </cell>
        </row>
        <row r="222">
          <cell r="A222" t="str">
            <v>רד סי אופטיקל נטוורק</v>
          </cell>
          <cell r="B222">
            <v>2004</v>
          </cell>
          <cell r="C222">
            <v>7</v>
          </cell>
          <cell r="D222" t="str">
            <v>עוזרי שרון</v>
          </cell>
          <cell r="E222">
            <v>10</v>
          </cell>
          <cell r="F222">
            <v>24</v>
          </cell>
          <cell r="G222" t="str">
            <v>שוויארוחות</v>
          </cell>
          <cell r="H222">
            <v>399</v>
          </cell>
          <cell r="I222">
            <v>19</v>
          </cell>
          <cell r="J222" t="str">
            <v>תפעול</v>
          </cell>
        </row>
        <row r="223">
          <cell r="A223" t="str">
            <v>רד סי אופטיקל נטוורק</v>
          </cell>
          <cell r="B223">
            <v>2004</v>
          </cell>
          <cell r="C223">
            <v>7</v>
          </cell>
          <cell r="D223" t="str">
            <v>עוזרי שרון</v>
          </cell>
          <cell r="E223">
            <v>11</v>
          </cell>
          <cell r="F223">
            <v>24</v>
          </cell>
          <cell r="G223" t="str">
            <v>שוויארוחות</v>
          </cell>
          <cell r="H223">
            <v>441</v>
          </cell>
          <cell r="I223">
            <v>21</v>
          </cell>
          <cell r="J223" t="str">
            <v>תפעול</v>
          </cell>
        </row>
        <row r="224">
          <cell r="A224" t="str">
            <v>רד סי אופטיקל נטוורק</v>
          </cell>
          <cell r="B224">
            <v>2004</v>
          </cell>
          <cell r="C224">
            <v>7</v>
          </cell>
          <cell r="D224" t="str">
            <v>עוזרי שרון</v>
          </cell>
          <cell r="E224">
            <v>12</v>
          </cell>
          <cell r="F224">
            <v>22</v>
          </cell>
          <cell r="G224" t="str">
            <v>שווי מתנות</v>
          </cell>
          <cell r="H224">
            <v>0</v>
          </cell>
          <cell r="I224">
            <v>0</v>
          </cell>
          <cell r="J224" t="str">
            <v>תפעול</v>
          </cell>
        </row>
        <row r="225">
          <cell r="A225" t="str">
            <v>רד סי אופטיקל נטוורק</v>
          </cell>
          <cell r="B225">
            <v>2004</v>
          </cell>
          <cell r="C225">
            <v>7</v>
          </cell>
          <cell r="D225" t="str">
            <v>עוזרי שרון</v>
          </cell>
          <cell r="E225">
            <v>12</v>
          </cell>
          <cell r="F225">
            <v>24</v>
          </cell>
          <cell r="G225" t="str">
            <v>שוויארוחות</v>
          </cell>
          <cell r="H225">
            <v>462</v>
          </cell>
          <cell r="I225">
            <v>22</v>
          </cell>
          <cell r="J225" t="str">
            <v>תפעול</v>
          </cell>
        </row>
        <row r="226">
          <cell r="A226" t="str">
            <v>רד סי אופטיקל נטוורק</v>
          </cell>
          <cell r="B226">
            <v>2004</v>
          </cell>
          <cell r="C226">
            <v>8</v>
          </cell>
          <cell r="D226" t="str">
            <v>אליהו תומר</v>
          </cell>
          <cell r="E226">
            <v>1</v>
          </cell>
          <cell r="F226">
            <v>24</v>
          </cell>
          <cell r="G226" t="str">
            <v>שוויארוחות</v>
          </cell>
          <cell r="H226">
            <v>364.5</v>
          </cell>
          <cell r="I226">
            <v>0.81</v>
          </cell>
          <cell r="J226" t="str">
            <v>מו"פ</v>
          </cell>
        </row>
        <row r="227">
          <cell r="A227" t="str">
            <v>רד סי אופטיקל נטוורק</v>
          </cell>
          <cell r="B227">
            <v>2004</v>
          </cell>
          <cell r="C227">
            <v>8</v>
          </cell>
          <cell r="D227" t="str">
            <v>אליהו תומר</v>
          </cell>
          <cell r="E227">
            <v>2</v>
          </cell>
          <cell r="F227">
            <v>24</v>
          </cell>
          <cell r="G227" t="str">
            <v>שוויארוחות</v>
          </cell>
          <cell r="H227">
            <v>387</v>
          </cell>
          <cell r="I227">
            <v>0.86</v>
          </cell>
          <cell r="J227" t="str">
            <v>מו"פ</v>
          </cell>
        </row>
        <row r="228">
          <cell r="A228" t="str">
            <v>רד סי אופטיקל נטוורק</v>
          </cell>
          <cell r="B228">
            <v>2004</v>
          </cell>
          <cell r="C228">
            <v>8</v>
          </cell>
          <cell r="D228" t="str">
            <v>אליהו תומר</v>
          </cell>
          <cell r="E228">
            <v>3</v>
          </cell>
          <cell r="F228">
            <v>22</v>
          </cell>
          <cell r="G228" t="str">
            <v>שווי מתנות</v>
          </cell>
          <cell r="H228">
            <v>186.25</v>
          </cell>
          <cell r="I228">
            <v>0</v>
          </cell>
          <cell r="J228" t="str">
            <v>מו"פ</v>
          </cell>
        </row>
        <row r="229">
          <cell r="A229" t="str">
            <v>רד סי אופטיקל נטוורק</v>
          </cell>
          <cell r="B229">
            <v>2004</v>
          </cell>
          <cell r="C229">
            <v>8</v>
          </cell>
          <cell r="D229" t="str">
            <v>אליהו תומר</v>
          </cell>
          <cell r="E229">
            <v>3</v>
          </cell>
          <cell r="F229">
            <v>24</v>
          </cell>
          <cell r="G229" t="str">
            <v>שוויארוחות</v>
          </cell>
          <cell r="H229">
            <v>351</v>
          </cell>
          <cell r="I229">
            <v>0.78</v>
          </cell>
          <cell r="J229" t="str">
            <v>מו"פ</v>
          </cell>
        </row>
        <row r="230">
          <cell r="A230" t="str">
            <v>רד סי אופטיקל נטוורק</v>
          </cell>
          <cell r="B230">
            <v>2004</v>
          </cell>
          <cell r="C230">
            <v>8</v>
          </cell>
          <cell r="D230" t="str">
            <v>אליהו תומר</v>
          </cell>
          <cell r="E230">
            <v>4</v>
          </cell>
          <cell r="F230">
            <v>24</v>
          </cell>
          <cell r="G230" t="str">
            <v>שוויארוחות</v>
          </cell>
          <cell r="H230">
            <v>450</v>
          </cell>
          <cell r="I230">
            <v>1</v>
          </cell>
          <cell r="J230" t="str">
            <v>מו"פ</v>
          </cell>
        </row>
        <row r="231">
          <cell r="A231" t="str">
            <v>רד סי אופטיקל נטוורק</v>
          </cell>
          <cell r="B231">
            <v>2004</v>
          </cell>
          <cell r="C231">
            <v>8</v>
          </cell>
          <cell r="D231" t="str">
            <v>אליהו תומר</v>
          </cell>
          <cell r="E231">
            <v>5</v>
          </cell>
          <cell r="F231">
            <v>24</v>
          </cell>
          <cell r="G231" t="str">
            <v>שוויארוחות</v>
          </cell>
          <cell r="H231">
            <v>450</v>
          </cell>
          <cell r="I231">
            <v>1</v>
          </cell>
          <cell r="J231" t="str">
            <v>מו"פ</v>
          </cell>
        </row>
        <row r="232">
          <cell r="A232" t="str">
            <v>רד סי אופטיקל נטוורק</v>
          </cell>
          <cell r="B232">
            <v>2004</v>
          </cell>
          <cell r="C232">
            <v>8</v>
          </cell>
          <cell r="D232" t="str">
            <v>אליהו תומר</v>
          </cell>
          <cell r="E232">
            <v>6</v>
          </cell>
          <cell r="F232">
            <v>24</v>
          </cell>
          <cell r="G232" t="str">
            <v>שוויארוחות</v>
          </cell>
          <cell r="H232">
            <v>450</v>
          </cell>
          <cell r="I232">
            <v>1</v>
          </cell>
          <cell r="J232" t="str">
            <v>מו"פ</v>
          </cell>
        </row>
        <row r="233">
          <cell r="A233" t="str">
            <v>רד סי אופטיקל נטוורק</v>
          </cell>
          <cell r="B233">
            <v>2004</v>
          </cell>
          <cell r="C233">
            <v>8</v>
          </cell>
          <cell r="D233" t="str">
            <v>אליהו תומר</v>
          </cell>
          <cell r="E233">
            <v>7</v>
          </cell>
          <cell r="F233">
            <v>24</v>
          </cell>
          <cell r="G233" t="str">
            <v>שוויארוחות</v>
          </cell>
          <cell r="H233">
            <v>450</v>
          </cell>
          <cell r="I233">
            <v>1</v>
          </cell>
          <cell r="J233" t="str">
            <v>מו"פ</v>
          </cell>
        </row>
        <row r="234">
          <cell r="A234" t="str">
            <v>רד סי אופטיקל נטוורק</v>
          </cell>
          <cell r="B234">
            <v>2004</v>
          </cell>
          <cell r="C234">
            <v>8</v>
          </cell>
          <cell r="D234" t="str">
            <v>אליהו תומר</v>
          </cell>
          <cell r="E234">
            <v>8</v>
          </cell>
          <cell r="F234">
            <v>24</v>
          </cell>
          <cell r="G234" t="str">
            <v>שוויארוחות</v>
          </cell>
          <cell r="H234">
            <v>483</v>
          </cell>
          <cell r="I234">
            <v>23</v>
          </cell>
          <cell r="J234" t="str">
            <v>מו"פ</v>
          </cell>
        </row>
        <row r="235">
          <cell r="A235" t="str">
            <v>רד סי אופטיקל נטוורק</v>
          </cell>
          <cell r="B235">
            <v>2004</v>
          </cell>
          <cell r="C235">
            <v>8</v>
          </cell>
          <cell r="D235" t="str">
            <v>אליהו תומר</v>
          </cell>
          <cell r="E235">
            <v>9</v>
          </cell>
          <cell r="F235">
            <v>22</v>
          </cell>
          <cell r="G235" t="str">
            <v>שווי מתנות</v>
          </cell>
          <cell r="H235">
            <v>459.25</v>
          </cell>
          <cell r="I235">
            <v>0</v>
          </cell>
          <cell r="J235" t="str">
            <v>מו"פ</v>
          </cell>
        </row>
        <row r="236">
          <cell r="A236" t="str">
            <v>רד סי אופטיקל נטוורק</v>
          </cell>
          <cell r="B236">
            <v>2004</v>
          </cell>
          <cell r="C236">
            <v>8</v>
          </cell>
          <cell r="D236" t="str">
            <v>אליהו תומר</v>
          </cell>
          <cell r="E236">
            <v>9</v>
          </cell>
          <cell r="F236">
            <v>24</v>
          </cell>
          <cell r="G236" t="str">
            <v>שוויארוחות</v>
          </cell>
          <cell r="H236">
            <v>378</v>
          </cell>
          <cell r="I236">
            <v>18</v>
          </cell>
          <cell r="J236" t="str">
            <v>מו"פ</v>
          </cell>
        </row>
        <row r="237">
          <cell r="A237" t="str">
            <v>רד סי אופטיקל נטוורק</v>
          </cell>
          <cell r="B237">
            <v>2004</v>
          </cell>
          <cell r="C237">
            <v>8</v>
          </cell>
          <cell r="D237" t="str">
            <v>אליהו תומר</v>
          </cell>
          <cell r="E237">
            <v>10</v>
          </cell>
          <cell r="F237">
            <v>24</v>
          </cell>
          <cell r="G237" t="str">
            <v>שוויארוחות</v>
          </cell>
          <cell r="H237">
            <v>399</v>
          </cell>
          <cell r="I237">
            <v>19</v>
          </cell>
          <cell r="J237" t="str">
            <v>מו"פ</v>
          </cell>
        </row>
        <row r="238">
          <cell r="A238" t="str">
            <v>רד סי אופטיקל נטוורק</v>
          </cell>
          <cell r="B238">
            <v>2004</v>
          </cell>
          <cell r="C238">
            <v>8</v>
          </cell>
          <cell r="D238" t="str">
            <v>אליהו תומר</v>
          </cell>
          <cell r="E238">
            <v>11</v>
          </cell>
          <cell r="F238">
            <v>24</v>
          </cell>
          <cell r="G238" t="str">
            <v>שוויארוחות</v>
          </cell>
          <cell r="H238">
            <v>441</v>
          </cell>
          <cell r="I238">
            <v>21</v>
          </cell>
          <cell r="J238" t="str">
            <v>מו"פ</v>
          </cell>
        </row>
        <row r="239">
          <cell r="A239" t="str">
            <v>רד סי אופטיקל נטוורק</v>
          </cell>
          <cell r="B239">
            <v>2004</v>
          </cell>
          <cell r="C239">
            <v>8</v>
          </cell>
          <cell r="D239" t="str">
            <v>אליהו תומר</v>
          </cell>
          <cell r="E239">
            <v>11</v>
          </cell>
          <cell r="F239">
            <v>40</v>
          </cell>
          <cell r="G239" t="str">
            <v>רכב קב' 2</v>
          </cell>
          <cell r="H239">
            <v>980</v>
          </cell>
          <cell r="I239">
            <v>0</v>
          </cell>
          <cell r="J239" t="str">
            <v>מו"פ</v>
          </cell>
        </row>
        <row r="240">
          <cell r="A240" t="str">
            <v>רד סי אופטיקל נטוורק</v>
          </cell>
          <cell r="B240">
            <v>2004</v>
          </cell>
          <cell r="C240">
            <v>8</v>
          </cell>
          <cell r="D240" t="str">
            <v>אליהו תומר</v>
          </cell>
          <cell r="E240">
            <v>12</v>
          </cell>
          <cell r="F240">
            <v>22</v>
          </cell>
          <cell r="G240" t="str">
            <v>שווי מתנות</v>
          </cell>
          <cell r="H240">
            <v>0</v>
          </cell>
          <cell r="I240">
            <v>0</v>
          </cell>
          <cell r="J240" t="str">
            <v>מו"פ</v>
          </cell>
        </row>
        <row r="241">
          <cell r="A241" t="str">
            <v>רד סי אופטיקל נטוורק</v>
          </cell>
          <cell r="B241">
            <v>2004</v>
          </cell>
          <cell r="C241">
            <v>8</v>
          </cell>
          <cell r="D241" t="str">
            <v>אליהו תומר</v>
          </cell>
          <cell r="E241">
            <v>12</v>
          </cell>
          <cell r="F241">
            <v>24</v>
          </cell>
          <cell r="G241" t="str">
            <v>שוויארוחות</v>
          </cell>
          <cell r="H241">
            <v>462</v>
          </cell>
          <cell r="I241">
            <v>22</v>
          </cell>
          <cell r="J241" t="str">
            <v>מו"פ</v>
          </cell>
        </row>
        <row r="242">
          <cell r="A242" t="str">
            <v>רד סי אופטיקל נטוורק</v>
          </cell>
          <cell r="B242">
            <v>2004</v>
          </cell>
          <cell r="C242">
            <v>8</v>
          </cell>
          <cell r="D242" t="str">
            <v>אליהו תומר</v>
          </cell>
          <cell r="E242">
            <v>12</v>
          </cell>
          <cell r="F242">
            <v>40</v>
          </cell>
          <cell r="G242" t="str">
            <v>רכב קב' 2</v>
          </cell>
          <cell r="H242">
            <v>980</v>
          </cell>
          <cell r="I242">
            <v>0</v>
          </cell>
          <cell r="J242" t="str">
            <v>מו"פ</v>
          </cell>
        </row>
        <row r="243">
          <cell r="A243" t="str">
            <v>רד סי אופטיקל נטוורק</v>
          </cell>
          <cell r="B243">
            <v>2004</v>
          </cell>
          <cell r="C243">
            <v>9</v>
          </cell>
          <cell r="D243" t="str">
            <v>טרופימנקו גנאדי</v>
          </cell>
          <cell r="E243">
            <v>1</v>
          </cell>
          <cell r="F243">
            <v>24</v>
          </cell>
          <cell r="G243" t="str">
            <v>שוויארוחות</v>
          </cell>
          <cell r="H243">
            <v>450</v>
          </cell>
          <cell r="I243">
            <v>1</v>
          </cell>
          <cell r="J243" t="str">
            <v>ייצור</v>
          </cell>
        </row>
        <row r="244">
          <cell r="A244" t="str">
            <v>רד סי אופטיקל נטוורק</v>
          </cell>
          <cell r="B244">
            <v>2004</v>
          </cell>
          <cell r="C244">
            <v>9</v>
          </cell>
          <cell r="D244" t="str">
            <v>טרופימנקו גנאדי</v>
          </cell>
          <cell r="E244">
            <v>2</v>
          </cell>
          <cell r="F244">
            <v>24</v>
          </cell>
          <cell r="G244" t="str">
            <v>שוויארוחות</v>
          </cell>
          <cell r="H244">
            <v>450</v>
          </cell>
          <cell r="I244">
            <v>1</v>
          </cell>
          <cell r="J244" t="str">
            <v>ייצור</v>
          </cell>
        </row>
        <row r="245">
          <cell r="A245" t="str">
            <v>רד סי אופטיקל נטוורק</v>
          </cell>
          <cell r="B245">
            <v>2004</v>
          </cell>
          <cell r="C245">
            <v>9</v>
          </cell>
          <cell r="D245" t="str">
            <v>טרופימנקו גנאדי</v>
          </cell>
          <cell r="E245">
            <v>3</v>
          </cell>
          <cell r="F245">
            <v>22</v>
          </cell>
          <cell r="G245" t="str">
            <v>שווי מתנות</v>
          </cell>
          <cell r="H245">
            <v>186.25</v>
          </cell>
          <cell r="I245">
            <v>0</v>
          </cell>
          <cell r="J245" t="str">
            <v>ייצור</v>
          </cell>
        </row>
        <row r="246">
          <cell r="A246" t="str">
            <v>רד סי אופטיקל נטוורק</v>
          </cell>
          <cell r="B246">
            <v>2004</v>
          </cell>
          <cell r="C246">
            <v>9</v>
          </cell>
          <cell r="D246" t="str">
            <v>טרופימנקו גנאדי</v>
          </cell>
          <cell r="E246">
            <v>3</v>
          </cell>
          <cell r="F246">
            <v>24</v>
          </cell>
          <cell r="G246" t="str">
            <v>שוויארוחות</v>
          </cell>
          <cell r="H246">
            <v>450</v>
          </cell>
          <cell r="I246">
            <v>1</v>
          </cell>
          <cell r="J246" t="str">
            <v>ייצור</v>
          </cell>
        </row>
        <row r="247">
          <cell r="A247" t="str">
            <v>רד סי אופטיקל נטוורק</v>
          </cell>
          <cell r="B247">
            <v>2004</v>
          </cell>
          <cell r="C247">
            <v>9</v>
          </cell>
          <cell r="D247" t="str">
            <v>טרופימנקו גנאדי</v>
          </cell>
          <cell r="E247">
            <v>4</v>
          </cell>
          <cell r="F247">
            <v>24</v>
          </cell>
          <cell r="G247" t="str">
            <v>שוויארוחות</v>
          </cell>
          <cell r="H247">
            <v>450</v>
          </cell>
          <cell r="I247">
            <v>1</v>
          </cell>
          <cell r="J247" t="str">
            <v>ייצור</v>
          </cell>
        </row>
        <row r="248">
          <cell r="A248" t="str">
            <v>רד סי אופטיקל נטוורק</v>
          </cell>
          <cell r="B248">
            <v>2004</v>
          </cell>
          <cell r="C248">
            <v>9</v>
          </cell>
          <cell r="D248" t="str">
            <v>טרופימנקו גנאדי</v>
          </cell>
          <cell r="E248">
            <v>5</v>
          </cell>
          <cell r="F248">
            <v>24</v>
          </cell>
          <cell r="G248" t="str">
            <v>שוויארוחות</v>
          </cell>
          <cell r="H248">
            <v>450</v>
          </cell>
          <cell r="I248">
            <v>1</v>
          </cell>
          <cell r="J248" t="str">
            <v>ייצור</v>
          </cell>
        </row>
        <row r="249">
          <cell r="A249" t="str">
            <v>רד סי אופטיקל נטוורק</v>
          </cell>
          <cell r="B249">
            <v>2004</v>
          </cell>
          <cell r="C249">
            <v>9</v>
          </cell>
          <cell r="D249" t="str">
            <v>טרופימנקו גנאדי</v>
          </cell>
          <cell r="E249">
            <v>6</v>
          </cell>
          <cell r="F249">
            <v>24</v>
          </cell>
          <cell r="G249" t="str">
            <v>שוויארוחות</v>
          </cell>
          <cell r="H249">
            <v>450</v>
          </cell>
          <cell r="I249">
            <v>1</v>
          </cell>
          <cell r="J249" t="str">
            <v>ייצור</v>
          </cell>
        </row>
        <row r="250">
          <cell r="A250" t="str">
            <v>רד סי אופטיקל נטוורק</v>
          </cell>
          <cell r="B250">
            <v>2004</v>
          </cell>
          <cell r="C250">
            <v>9</v>
          </cell>
          <cell r="D250" t="str">
            <v>טרופימנקו גנאדי</v>
          </cell>
          <cell r="E250">
            <v>7</v>
          </cell>
          <cell r="F250">
            <v>24</v>
          </cell>
          <cell r="G250" t="str">
            <v>שוויארוחות</v>
          </cell>
          <cell r="H250">
            <v>450</v>
          </cell>
          <cell r="I250">
            <v>1</v>
          </cell>
          <cell r="J250" t="str">
            <v>ייצור</v>
          </cell>
        </row>
        <row r="251">
          <cell r="A251" t="str">
            <v>רד סי אופטיקל נטוורק</v>
          </cell>
          <cell r="B251">
            <v>2004</v>
          </cell>
          <cell r="C251">
            <v>9</v>
          </cell>
          <cell r="D251" t="str">
            <v>טרופימנקו גנאדי</v>
          </cell>
          <cell r="E251">
            <v>8</v>
          </cell>
          <cell r="F251">
            <v>24</v>
          </cell>
          <cell r="G251" t="str">
            <v>שוויארוחות</v>
          </cell>
          <cell r="H251">
            <v>483</v>
          </cell>
          <cell r="I251">
            <v>23</v>
          </cell>
          <cell r="J251" t="str">
            <v>ייצור</v>
          </cell>
        </row>
        <row r="252">
          <cell r="A252" t="str">
            <v>רד סי אופטיקל נטוורק</v>
          </cell>
          <cell r="B252">
            <v>2004</v>
          </cell>
          <cell r="C252">
            <v>9</v>
          </cell>
          <cell r="D252" t="str">
            <v>טרופימנקו גנאדי</v>
          </cell>
          <cell r="E252">
            <v>9</v>
          </cell>
          <cell r="F252">
            <v>22</v>
          </cell>
          <cell r="G252" t="str">
            <v>שווי מתנות</v>
          </cell>
          <cell r="H252">
            <v>459.25</v>
          </cell>
          <cell r="I252">
            <v>0</v>
          </cell>
          <cell r="J252" t="str">
            <v>ייצור</v>
          </cell>
        </row>
        <row r="253">
          <cell r="A253" t="str">
            <v>רד סי אופטיקל נטוורק</v>
          </cell>
          <cell r="B253">
            <v>2004</v>
          </cell>
          <cell r="C253">
            <v>9</v>
          </cell>
          <cell r="D253" t="str">
            <v>טרופימנקו גנאדי</v>
          </cell>
          <cell r="E253">
            <v>9</v>
          </cell>
          <cell r="F253">
            <v>24</v>
          </cell>
          <cell r="G253" t="str">
            <v>שוויארוחות</v>
          </cell>
          <cell r="H253">
            <v>378</v>
          </cell>
          <cell r="I253">
            <v>18</v>
          </cell>
          <cell r="J253" t="str">
            <v>ייצור</v>
          </cell>
        </row>
        <row r="254">
          <cell r="A254" t="str">
            <v>רד סי אופטיקל נטוורק</v>
          </cell>
          <cell r="B254">
            <v>2004</v>
          </cell>
          <cell r="C254">
            <v>9</v>
          </cell>
          <cell r="D254" t="str">
            <v>טרופימנקו גנאדי</v>
          </cell>
          <cell r="E254">
            <v>10</v>
          </cell>
          <cell r="F254">
            <v>24</v>
          </cell>
          <cell r="G254" t="str">
            <v>שוויארוחות</v>
          </cell>
          <cell r="H254">
            <v>399</v>
          </cell>
          <cell r="I254">
            <v>19</v>
          </cell>
          <cell r="J254" t="str">
            <v>ייצור</v>
          </cell>
        </row>
        <row r="255">
          <cell r="A255" t="str">
            <v>רד סי אופטיקל נטוורק</v>
          </cell>
          <cell r="B255">
            <v>2004</v>
          </cell>
          <cell r="C255">
            <v>9</v>
          </cell>
          <cell r="D255" t="str">
            <v>טרופימנקו גנאדי</v>
          </cell>
          <cell r="E255">
            <v>11</v>
          </cell>
          <cell r="F255">
            <v>24</v>
          </cell>
          <cell r="G255" t="str">
            <v>שוויארוחות</v>
          </cell>
          <cell r="H255">
            <v>441</v>
          </cell>
          <cell r="I255">
            <v>21</v>
          </cell>
          <cell r="J255" t="str">
            <v>ייצור</v>
          </cell>
        </row>
        <row r="256">
          <cell r="A256" t="str">
            <v>רד סי אופטיקל נטוורק</v>
          </cell>
          <cell r="B256">
            <v>2004</v>
          </cell>
          <cell r="C256">
            <v>9</v>
          </cell>
          <cell r="D256" t="str">
            <v>טרופימנקו גנאדי</v>
          </cell>
          <cell r="E256">
            <v>12</v>
          </cell>
          <cell r="F256">
            <v>22</v>
          </cell>
          <cell r="G256" t="str">
            <v>שווי מתנות</v>
          </cell>
          <cell r="H256">
            <v>0</v>
          </cell>
          <cell r="I256">
            <v>0</v>
          </cell>
          <cell r="J256" t="str">
            <v>ייצור</v>
          </cell>
        </row>
        <row r="257">
          <cell r="A257" t="str">
            <v>רד סי אופטיקל נטוורק</v>
          </cell>
          <cell r="B257">
            <v>2004</v>
          </cell>
          <cell r="C257">
            <v>9</v>
          </cell>
          <cell r="D257" t="str">
            <v>טרופימנקו גנאדי</v>
          </cell>
          <cell r="E257">
            <v>12</v>
          </cell>
          <cell r="F257">
            <v>24</v>
          </cell>
          <cell r="G257" t="str">
            <v>שוויארוחות</v>
          </cell>
          <cell r="H257">
            <v>462</v>
          </cell>
          <cell r="I257">
            <v>22</v>
          </cell>
          <cell r="J257" t="str">
            <v>ייצור</v>
          </cell>
        </row>
        <row r="258">
          <cell r="A258" t="str">
            <v>רד סי אופטיקל נטוורק</v>
          </cell>
          <cell r="B258">
            <v>2004</v>
          </cell>
          <cell r="C258">
            <v>10</v>
          </cell>
          <cell r="D258" t="str">
            <v>שטיינברג מוטי</v>
          </cell>
          <cell r="E258">
            <v>1</v>
          </cell>
          <cell r="F258">
            <v>24</v>
          </cell>
          <cell r="G258" t="str">
            <v>שוויארוחות</v>
          </cell>
          <cell r="H258">
            <v>450</v>
          </cell>
          <cell r="I258">
            <v>0</v>
          </cell>
          <cell r="J258" t="str">
            <v>מו"פ</v>
          </cell>
        </row>
        <row r="259">
          <cell r="A259" t="str">
            <v>רד סי אופטיקל נטוורק</v>
          </cell>
          <cell r="B259">
            <v>2004</v>
          </cell>
          <cell r="C259">
            <v>10</v>
          </cell>
          <cell r="D259" t="str">
            <v>שטיינברג מוטי</v>
          </cell>
          <cell r="E259">
            <v>1</v>
          </cell>
          <cell r="F259">
            <v>40</v>
          </cell>
          <cell r="G259" t="str">
            <v>רכב קב' 2</v>
          </cell>
          <cell r="H259">
            <v>980</v>
          </cell>
          <cell r="I259">
            <v>0</v>
          </cell>
          <cell r="J259" t="str">
            <v>מו"פ</v>
          </cell>
        </row>
        <row r="260">
          <cell r="A260" t="str">
            <v>רד סי אופטיקל נטוורק</v>
          </cell>
          <cell r="B260">
            <v>2004</v>
          </cell>
          <cell r="C260">
            <v>10</v>
          </cell>
          <cell r="D260" t="str">
            <v>שטיינברג מוטי</v>
          </cell>
          <cell r="E260">
            <v>1</v>
          </cell>
          <cell r="F260">
            <v>91</v>
          </cell>
          <cell r="G260" t="str">
            <v>זק.השתלמות</v>
          </cell>
          <cell r="H260">
            <v>806.69</v>
          </cell>
          <cell r="I260">
            <v>0</v>
          </cell>
          <cell r="J260" t="str">
            <v>מו"פ</v>
          </cell>
        </row>
        <row r="261">
          <cell r="A261" t="str">
            <v>רד סי אופטיקל נטוורק</v>
          </cell>
          <cell r="B261">
            <v>2004</v>
          </cell>
          <cell r="C261">
            <v>10</v>
          </cell>
          <cell r="D261" t="str">
            <v>שטיינברג מוטי</v>
          </cell>
          <cell r="E261">
            <v>2</v>
          </cell>
          <cell r="F261">
            <v>24</v>
          </cell>
          <cell r="G261" t="str">
            <v>שוויארוחות</v>
          </cell>
          <cell r="H261">
            <v>450</v>
          </cell>
          <cell r="I261">
            <v>0</v>
          </cell>
          <cell r="J261" t="str">
            <v>מו"פ</v>
          </cell>
        </row>
        <row r="262">
          <cell r="A262" t="str">
            <v>רד סי אופטיקל נטוורק</v>
          </cell>
          <cell r="B262">
            <v>2004</v>
          </cell>
          <cell r="C262">
            <v>10</v>
          </cell>
          <cell r="D262" t="str">
            <v>שטיינברג מוטי</v>
          </cell>
          <cell r="E262">
            <v>2</v>
          </cell>
          <cell r="F262">
            <v>40</v>
          </cell>
          <cell r="G262" t="str">
            <v>רכב קב' 2</v>
          </cell>
          <cell r="H262">
            <v>980</v>
          </cell>
          <cell r="I262">
            <v>0</v>
          </cell>
          <cell r="J262" t="str">
            <v>מו"פ</v>
          </cell>
        </row>
        <row r="263">
          <cell r="A263" t="str">
            <v>רד סי אופטיקל נטוורק</v>
          </cell>
          <cell r="B263">
            <v>2004</v>
          </cell>
          <cell r="C263">
            <v>10</v>
          </cell>
          <cell r="D263" t="str">
            <v>שטיינברג מוטי</v>
          </cell>
          <cell r="E263">
            <v>2</v>
          </cell>
          <cell r="F263">
            <v>91</v>
          </cell>
          <cell r="G263" t="str">
            <v>זק.השתלמות</v>
          </cell>
          <cell r="H263">
            <v>806.69</v>
          </cell>
          <cell r="I263">
            <v>0</v>
          </cell>
          <cell r="J263" t="str">
            <v>מו"פ</v>
          </cell>
        </row>
        <row r="264">
          <cell r="A264" t="str">
            <v>רד סי אופטיקל נטוורק</v>
          </cell>
          <cell r="B264">
            <v>2004</v>
          </cell>
          <cell r="C264">
            <v>10</v>
          </cell>
          <cell r="D264" t="str">
            <v>שטיינברג מוטי</v>
          </cell>
          <cell r="E264">
            <v>3</v>
          </cell>
          <cell r="F264">
            <v>22</v>
          </cell>
          <cell r="G264" t="str">
            <v>שווי מתנות</v>
          </cell>
          <cell r="H264">
            <v>186.25</v>
          </cell>
          <cell r="I264">
            <v>0</v>
          </cell>
          <cell r="J264" t="str">
            <v>מו"פ</v>
          </cell>
        </row>
        <row r="265">
          <cell r="A265" t="str">
            <v>רד סי אופטיקל נטוורק</v>
          </cell>
          <cell r="B265">
            <v>2004</v>
          </cell>
          <cell r="C265">
            <v>10</v>
          </cell>
          <cell r="D265" t="str">
            <v>שטיינברג מוטי</v>
          </cell>
          <cell r="E265">
            <v>3</v>
          </cell>
          <cell r="F265">
            <v>24</v>
          </cell>
          <cell r="G265" t="str">
            <v>שוויארוחות</v>
          </cell>
          <cell r="H265">
            <v>450</v>
          </cell>
          <cell r="I265">
            <v>0</v>
          </cell>
          <cell r="J265" t="str">
            <v>מו"פ</v>
          </cell>
        </row>
        <row r="266">
          <cell r="A266" t="str">
            <v>רד סי אופטיקל נטוורק</v>
          </cell>
          <cell r="B266">
            <v>2004</v>
          </cell>
          <cell r="C266">
            <v>10</v>
          </cell>
          <cell r="D266" t="str">
            <v>שטיינברג מוטי</v>
          </cell>
          <cell r="E266">
            <v>3</v>
          </cell>
          <cell r="F266">
            <v>40</v>
          </cell>
          <cell r="G266" t="str">
            <v>רכב קב' 2</v>
          </cell>
          <cell r="H266">
            <v>980</v>
          </cell>
          <cell r="I266">
            <v>0</v>
          </cell>
          <cell r="J266" t="str">
            <v>מו"פ</v>
          </cell>
        </row>
        <row r="267">
          <cell r="A267" t="str">
            <v>רד סי אופטיקל נטוורק</v>
          </cell>
          <cell r="B267">
            <v>2004</v>
          </cell>
          <cell r="C267">
            <v>10</v>
          </cell>
          <cell r="D267" t="str">
            <v>שטיינברג מוטי</v>
          </cell>
          <cell r="E267">
            <v>3</v>
          </cell>
          <cell r="F267">
            <v>91</v>
          </cell>
          <cell r="G267" t="str">
            <v>זק.השתלמות</v>
          </cell>
          <cell r="H267">
            <v>783.29</v>
          </cell>
          <cell r="I267">
            <v>0</v>
          </cell>
          <cell r="J267" t="str">
            <v>מו"פ</v>
          </cell>
        </row>
        <row r="268">
          <cell r="A268" t="str">
            <v>רד סי אופטיקל נטוורק</v>
          </cell>
          <cell r="B268">
            <v>2004</v>
          </cell>
          <cell r="C268">
            <v>10</v>
          </cell>
          <cell r="D268" t="str">
            <v>שטיינברג מוטי</v>
          </cell>
          <cell r="E268">
            <v>4</v>
          </cell>
          <cell r="F268">
            <v>24</v>
          </cell>
          <cell r="G268" t="str">
            <v>שוויארוחות</v>
          </cell>
          <cell r="H268">
            <v>450</v>
          </cell>
          <cell r="I268">
            <v>0</v>
          </cell>
          <cell r="J268" t="str">
            <v>מו"פ</v>
          </cell>
        </row>
        <row r="269">
          <cell r="A269" t="str">
            <v>רד סי אופטיקל נטוורק</v>
          </cell>
          <cell r="B269">
            <v>2004</v>
          </cell>
          <cell r="C269">
            <v>10</v>
          </cell>
          <cell r="D269" t="str">
            <v>שטיינברג מוטי</v>
          </cell>
          <cell r="E269">
            <v>4</v>
          </cell>
          <cell r="F269">
            <v>40</v>
          </cell>
          <cell r="G269" t="str">
            <v>רכב קב' 2</v>
          </cell>
          <cell r="H269">
            <v>980</v>
          </cell>
          <cell r="I269">
            <v>0</v>
          </cell>
          <cell r="J269" t="str">
            <v>מו"פ</v>
          </cell>
        </row>
        <row r="270">
          <cell r="A270" t="str">
            <v>רד סי אופטיקל נטוורק</v>
          </cell>
          <cell r="B270">
            <v>2004</v>
          </cell>
          <cell r="C270">
            <v>10</v>
          </cell>
          <cell r="D270" t="str">
            <v>שטיינברג מוטי</v>
          </cell>
          <cell r="E270">
            <v>4</v>
          </cell>
          <cell r="F270">
            <v>91</v>
          </cell>
          <cell r="G270" t="str">
            <v>זק.השתלמות</v>
          </cell>
          <cell r="H270">
            <v>783.29</v>
          </cell>
          <cell r="I270">
            <v>0</v>
          </cell>
          <cell r="J270" t="str">
            <v>מו"פ</v>
          </cell>
        </row>
        <row r="271">
          <cell r="A271" t="str">
            <v>רד סי אופטיקל נטוורק</v>
          </cell>
          <cell r="B271">
            <v>2004</v>
          </cell>
          <cell r="C271">
            <v>10</v>
          </cell>
          <cell r="D271" t="str">
            <v>שטיינברג מוטי</v>
          </cell>
          <cell r="E271">
            <v>5</v>
          </cell>
          <cell r="F271">
            <v>24</v>
          </cell>
          <cell r="G271" t="str">
            <v>שוויארוחות</v>
          </cell>
          <cell r="H271">
            <v>450</v>
          </cell>
          <cell r="I271">
            <v>0</v>
          </cell>
          <cell r="J271" t="str">
            <v>מו"פ</v>
          </cell>
        </row>
        <row r="272">
          <cell r="A272" t="str">
            <v>רד סי אופטיקל נטוורק</v>
          </cell>
          <cell r="B272">
            <v>2004</v>
          </cell>
          <cell r="C272">
            <v>10</v>
          </cell>
          <cell r="D272" t="str">
            <v>שטיינברג מוטי</v>
          </cell>
          <cell r="E272">
            <v>5</v>
          </cell>
          <cell r="F272">
            <v>40</v>
          </cell>
          <cell r="G272" t="str">
            <v>רכב קב' 2</v>
          </cell>
          <cell r="H272">
            <v>980</v>
          </cell>
          <cell r="I272">
            <v>0</v>
          </cell>
          <cell r="J272" t="str">
            <v>מו"פ</v>
          </cell>
        </row>
        <row r="273">
          <cell r="A273" t="str">
            <v>רד סי אופטיקל נטוורק</v>
          </cell>
          <cell r="B273">
            <v>2004</v>
          </cell>
          <cell r="C273">
            <v>10</v>
          </cell>
          <cell r="D273" t="str">
            <v>שטיינברג מוטי</v>
          </cell>
          <cell r="E273">
            <v>5</v>
          </cell>
          <cell r="F273">
            <v>91</v>
          </cell>
          <cell r="G273" t="str">
            <v>זק.השתלמות</v>
          </cell>
          <cell r="H273">
            <v>783.29</v>
          </cell>
          <cell r="I273">
            <v>0</v>
          </cell>
          <cell r="J273" t="str">
            <v>מו"פ</v>
          </cell>
        </row>
        <row r="274">
          <cell r="A274" t="str">
            <v>רד סי אופטיקל נטוורק</v>
          </cell>
          <cell r="B274">
            <v>2004</v>
          </cell>
          <cell r="C274">
            <v>10</v>
          </cell>
          <cell r="D274" t="str">
            <v>שטיינברג מוטי</v>
          </cell>
          <cell r="E274">
            <v>6</v>
          </cell>
          <cell r="F274">
            <v>24</v>
          </cell>
          <cell r="G274" t="str">
            <v>שוויארוחות</v>
          </cell>
          <cell r="H274">
            <v>450</v>
          </cell>
          <cell r="I274">
            <v>0</v>
          </cell>
          <cell r="J274" t="str">
            <v>מו"פ</v>
          </cell>
        </row>
        <row r="275">
          <cell r="A275" t="str">
            <v>רד סי אופטיקל נטוורק</v>
          </cell>
          <cell r="B275">
            <v>2004</v>
          </cell>
          <cell r="C275">
            <v>10</v>
          </cell>
          <cell r="D275" t="str">
            <v>שטיינברג מוטי</v>
          </cell>
          <cell r="E275">
            <v>6</v>
          </cell>
          <cell r="F275">
            <v>40</v>
          </cell>
          <cell r="G275" t="str">
            <v>רכב קב' 2</v>
          </cell>
          <cell r="H275">
            <v>980</v>
          </cell>
          <cell r="I275">
            <v>0</v>
          </cell>
          <cell r="J275" t="str">
            <v>מו"פ</v>
          </cell>
        </row>
        <row r="276">
          <cell r="A276" t="str">
            <v>רד סי אופטיקל נטוורק</v>
          </cell>
          <cell r="B276">
            <v>2004</v>
          </cell>
          <cell r="C276">
            <v>10</v>
          </cell>
          <cell r="D276" t="str">
            <v>שטיינברג מוטי</v>
          </cell>
          <cell r="E276">
            <v>6</v>
          </cell>
          <cell r="F276">
            <v>91</v>
          </cell>
          <cell r="G276" t="str">
            <v>זק.השתלמות</v>
          </cell>
          <cell r="H276">
            <v>783.29</v>
          </cell>
          <cell r="I276">
            <v>0</v>
          </cell>
          <cell r="J276" t="str">
            <v>מו"פ</v>
          </cell>
        </row>
        <row r="277">
          <cell r="A277" t="str">
            <v>רד סי אופטיקל נטוורק</v>
          </cell>
          <cell r="B277">
            <v>2004</v>
          </cell>
          <cell r="C277">
            <v>10</v>
          </cell>
          <cell r="D277" t="str">
            <v>שטיינברג מוטי</v>
          </cell>
          <cell r="E277">
            <v>7</v>
          </cell>
          <cell r="F277">
            <v>24</v>
          </cell>
          <cell r="G277" t="str">
            <v>שוויארוחות</v>
          </cell>
          <cell r="H277">
            <v>450</v>
          </cell>
          <cell r="I277">
            <v>0</v>
          </cell>
          <cell r="J277" t="str">
            <v>מו"פ</v>
          </cell>
        </row>
        <row r="278">
          <cell r="A278" t="str">
            <v>רד סי אופטיקל נטוורק</v>
          </cell>
          <cell r="B278">
            <v>2004</v>
          </cell>
          <cell r="C278">
            <v>10</v>
          </cell>
          <cell r="D278" t="str">
            <v>שטיינברג מוטי</v>
          </cell>
          <cell r="E278">
            <v>7</v>
          </cell>
          <cell r="F278">
            <v>40</v>
          </cell>
          <cell r="G278" t="str">
            <v>רכב קב' 2</v>
          </cell>
          <cell r="H278">
            <v>980</v>
          </cell>
          <cell r="I278">
            <v>0</v>
          </cell>
          <cell r="J278" t="str">
            <v>מו"פ</v>
          </cell>
        </row>
        <row r="279">
          <cell r="A279" t="str">
            <v>רד סי אופטיקל נטוורק</v>
          </cell>
          <cell r="B279">
            <v>2004</v>
          </cell>
          <cell r="C279">
            <v>10</v>
          </cell>
          <cell r="D279" t="str">
            <v>שטיינברג מוטי</v>
          </cell>
          <cell r="E279">
            <v>7</v>
          </cell>
          <cell r="F279">
            <v>91</v>
          </cell>
          <cell r="G279" t="str">
            <v>זק.השתלמות</v>
          </cell>
          <cell r="H279">
            <v>783.29</v>
          </cell>
          <cell r="I279">
            <v>0</v>
          </cell>
          <cell r="J279" t="str">
            <v>מו"פ</v>
          </cell>
        </row>
        <row r="280">
          <cell r="A280" t="str">
            <v>רד סי אופטיקל נטוורק</v>
          </cell>
          <cell r="B280">
            <v>2004</v>
          </cell>
          <cell r="C280">
            <v>10</v>
          </cell>
          <cell r="D280" t="str">
            <v>שטיינברג מוטי</v>
          </cell>
          <cell r="E280">
            <v>8</v>
          </cell>
          <cell r="F280">
            <v>24</v>
          </cell>
          <cell r="G280" t="str">
            <v>שוויארוחות</v>
          </cell>
          <cell r="H280">
            <v>483</v>
          </cell>
          <cell r="I280">
            <v>23</v>
          </cell>
          <cell r="J280" t="str">
            <v>מו"פ</v>
          </cell>
        </row>
        <row r="281">
          <cell r="A281" t="str">
            <v>רד סי אופטיקל נטוורק</v>
          </cell>
          <cell r="B281">
            <v>2004</v>
          </cell>
          <cell r="C281">
            <v>10</v>
          </cell>
          <cell r="D281" t="str">
            <v>שטיינברג מוטי</v>
          </cell>
          <cell r="E281">
            <v>8</v>
          </cell>
          <cell r="F281">
            <v>40</v>
          </cell>
          <cell r="G281" t="str">
            <v>רכב קב' 2</v>
          </cell>
          <cell r="H281">
            <v>980</v>
          </cell>
          <cell r="I281">
            <v>0</v>
          </cell>
          <cell r="J281" t="str">
            <v>מו"פ</v>
          </cell>
        </row>
        <row r="282">
          <cell r="A282" t="str">
            <v>רד סי אופטיקל נטוורק</v>
          </cell>
          <cell r="B282">
            <v>2004</v>
          </cell>
          <cell r="C282">
            <v>10</v>
          </cell>
          <cell r="D282" t="str">
            <v>שטיינברג מוטי</v>
          </cell>
          <cell r="E282">
            <v>8</v>
          </cell>
          <cell r="F282">
            <v>91</v>
          </cell>
          <cell r="G282" t="str">
            <v>זק.השתלמות</v>
          </cell>
          <cell r="H282">
            <v>783.29</v>
          </cell>
          <cell r="I282">
            <v>0</v>
          </cell>
          <cell r="J282" t="str">
            <v>מו"פ</v>
          </cell>
        </row>
        <row r="283">
          <cell r="A283" t="str">
            <v>רד סי אופטיקל נטוורק</v>
          </cell>
          <cell r="B283">
            <v>2004</v>
          </cell>
          <cell r="C283">
            <v>10</v>
          </cell>
          <cell r="D283" t="str">
            <v>שטיינברג מוטי</v>
          </cell>
          <cell r="E283">
            <v>9</v>
          </cell>
          <cell r="F283">
            <v>22</v>
          </cell>
          <cell r="G283" t="str">
            <v>שווי מתנות</v>
          </cell>
          <cell r="H283">
            <v>459.25</v>
          </cell>
          <cell r="I283">
            <v>0</v>
          </cell>
          <cell r="J283" t="str">
            <v>מו"פ</v>
          </cell>
        </row>
        <row r="284">
          <cell r="A284" t="str">
            <v>רד סי אופטיקל נטוורק</v>
          </cell>
          <cell r="B284">
            <v>2004</v>
          </cell>
          <cell r="C284">
            <v>10</v>
          </cell>
          <cell r="D284" t="str">
            <v>שטיינברג מוטי</v>
          </cell>
          <cell r="E284">
            <v>9</v>
          </cell>
          <cell r="F284">
            <v>24</v>
          </cell>
          <cell r="G284" t="str">
            <v>שוויארוחות</v>
          </cell>
          <cell r="H284">
            <v>378</v>
          </cell>
          <cell r="I284">
            <v>18</v>
          </cell>
          <cell r="J284" t="str">
            <v>מו"פ</v>
          </cell>
        </row>
        <row r="285">
          <cell r="A285" t="str">
            <v>רד סי אופטיקל נטוורק</v>
          </cell>
          <cell r="B285">
            <v>2004</v>
          </cell>
          <cell r="C285">
            <v>10</v>
          </cell>
          <cell r="D285" t="str">
            <v>שטיינברג מוטי</v>
          </cell>
          <cell r="E285">
            <v>9</v>
          </cell>
          <cell r="F285">
            <v>40</v>
          </cell>
          <cell r="G285" t="str">
            <v>רכב קב' 2</v>
          </cell>
          <cell r="H285">
            <v>980</v>
          </cell>
          <cell r="I285">
            <v>0</v>
          </cell>
          <cell r="J285" t="str">
            <v>מו"פ</v>
          </cell>
        </row>
        <row r="286">
          <cell r="A286" t="str">
            <v>רד סי אופטיקל נטוורק</v>
          </cell>
          <cell r="B286">
            <v>2004</v>
          </cell>
          <cell r="C286">
            <v>10</v>
          </cell>
          <cell r="D286" t="str">
            <v>שטיינברג מוטי</v>
          </cell>
          <cell r="E286">
            <v>9</v>
          </cell>
          <cell r="F286">
            <v>91</v>
          </cell>
          <cell r="G286" t="str">
            <v>זק.השתלמות</v>
          </cell>
          <cell r="H286">
            <v>783.29</v>
          </cell>
          <cell r="I286">
            <v>0</v>
          </cell>
          <cell r="J286" t="str">
            <v>מו"פ</v>
          </cell>
        </row>
        <row r="287">
          <cell r="A287" t="str">
            <v>רד סי אופטיקל נטוורק</v>
          </cell>
          <cell r="B287">
            <v>2004</v>
          </cell>
          <cell r="C287">
            <v>10</v>
          </cell>
          <cell r="D287" t="str">
            <v>שטיינברג מוטי</v>
          </cell>
          <cell r="E287">
            <v>10</v>
          </cell>
          <cell r="F287">
            <v>24</v>
          </cell>
          <cell r="G287" t="str">
            <v>שוויארוחות</v>
          </cell>
          <cell r="H287">
            <v>399</v>
          </cell>
          <cell r="I287">
            <v>19</v>
          </cell>
          <cell r="J287" t="str">
            <v>מו"פ</v>
          </cell>
        </row>
        <row r="288">
          <cell r="A288" t="str">
            <v>רד סי אופטיקל נטוורק</v>
          </cell>
          <cell r="B288">
            <v>2004</v>
          </cell>
          <cell r="C288">
            <v>10</v>
          </cell>
          <cell r="D288" t="str">
            <v>שטיינברג מוטי</v>
          </cell>
          <cell r="E288">
            <v>10</v>
          </cell>
          <cell r="F288">
            <v>40</v>
          </cell>
          <cell r="G288" t="str">
            <v>רכב קב' 2</v>
          </cell>
          <cell r="H288">
            <v>980</v>
          </cell>
          <cell r="I288">
            <v>0</v>
          </cell>
          <cell r="J288" t="str">
            <v>מו"פ</v>
          </cell>
        </row>
        <row r="289">
          <cell r="A289" t="str">
            <v>רד סי אופטיקל נטוורק</v>
          </cell>
          <cell r="B289">
            <v>2004</v>
          </cell>
          <cell r="C289">
            <v>10</v>
          </cell>
          <cell r="D289" t="str">
            <v>שטיינברג מוטי</v>
          </cell>
          <cell r="E289">
            <v>10</v>
          </cell>
          <cell r="F289">
            <v>91</v>
          </cell>
          <cell r="G289" t="str">
            <v>זק.השתלמות</v>
          </cell>
          <cell r="H289">
            <v>783.29</v>
          </cell>
          <cell r="I289">
            <v>0</v>
          </cell>
          <cell r="J289" t="str">
            <v>מו"פ</v>
          </cell>
        </row>
        <row r="290">
          <cell r="A290" t="str">
            <v>רד סי אופטיקל נטוורק</v>
          </cell>
          <cell r="B290">
            <v>2004</v>
          </cell>
          <cell r="C290">
            <v>10</v>
          </cell>
          <cell r="D290" t="str">
            <v>שטיינברג מוטי</v>
          </cell>
          <cell r="E290">
            <v>11</v>
          </cell>
          <cell r="F290">
            <v>24</v>
          </cell>
          <cell r="G290" t="str">
            <v>שוויארוחות</v>
          </cell>
          <cell r="H290">
            <v>441</v>
          </cell>
          <cell r="I290">
            <v>21</v>
          </cell>
          <cell r="J290" t="str">
            <v>מו"פ</v>
          </cell>
        </row>
        <row r="291">
          <cell r="A291" t="str">
            <v>רד סי אופטיקל נטוורק</v>
          </cell>
          <cell r="B291">
            <v>2004</v>
          </cell>
          <cell r="C291">
            <v>10</v>
          </cell>
          <cell r="D291" t="str">
            <v>שטיינברג מוטי</v>
          </cell>
          <cell r="E291">
            <v>11</v>
          </cell>
          <cell r="F291">
            <v>40</v>
          </cell>
          <cell r="G291" t="str">
            <v>רכב קב' 2</v>
          </cell>
          <cell r="H291">
            <v>980</v>
          </cell>
          <cell r="I291">
            <v>0</v>
          </cell>
          <cell r="J291" t="str">
            <v>מו"פ</v>
          </cell>
        </row>
        <row r="292">
          <cell r="A292" t="str">
            <v>רד סי אופטיקל נטוורק</v>
          </cell>
          <cell r="B292">
            <v>2004</v>
          </cell>
          <cell r="C292">
            <v>10</v>
          </cell>
          <cell r="D292" t="str">
            <v>שטיינברג מוטי</v>
          </cell>
          <cell r="E292">
            <v>11</v>
          </cell>
          <cell r="F292">
            <v>91</v>
          </cell>
          <cell r="G292" t="str">
            <v>זק.השתלמות</v>
          </cell>
          <cell r="H292">
            <v>783.29</v>
          </cell>
          <cell r="I292">
            <v>0</v>
          </cell>
          <cell r="J292" t="str">
            <v>מו"פ</v>
          </cell>
        </row>
        <row r="293">
          <cell r="A293" t="str">
            <v>רד סי אופטיקל נטוורק</v>
          </cell>
          <cell r="B293">
            <v>2004</v>
          </cell>
          <cell r="C293">
            <v>10</v>
          </cell>
          <cell r="D293" t="str">
            <v>שטיינברג מוטי</v>
          </cell>
          <cell r="E293">
            <v>12</v>
          </cell>
          <cell r="F293">
            <v>22</v>
          </cell>
          <cell r="G293" t="str">
            <v>שווי מתנות</v>
          </cell>
          <cell r="H293">
            <v>0</v>
          </cell>
          <cell r="I293">
            <v>0</v>
          </cell>
          <cell r="J293" t="str">
            <v>מו"פ</v>
          </cell>
        </row>
        <row r="294">
          <cell r="A294" t="str">
            <v>רד סי אופטיקל נטוורק</v>
          </cell>
          <cell r="B294">
            <v>2004</v>
          </cell>
          <cell r="C294">
            <v>10</v>
          </cell>
          <cell r="D294" t="str">
            <v>שטיינברג מוטי</v>
          </cell>
          <cell r="E294">
            <v>12</v>
          </cell>
          <cell r="F294">
            <v>24</v>
          </cell>
          <cell r="G294" t="str">
            <v>שוויארוחות</v>
          </cell>
          <cell r="H294">
            <v>462</v>
          </cell>
          <cell r="I294">
            <v>22</v>
          </cell>
          <cell r="J294" t="str">
            <v>מו"פ</v>
          </cell>
        </row>
        <row r="295">
          <cell r="A295" t="str">
            <v>רד סי אופטיקל נטוורק</v>
          </cell>
          <cell r="B295">
            <v>2004</v>
          </cell>
          <cell r="C295">
            <v>10</v>
          </cell>
          <cell r="D295" t="str">
            <v>שטיינברג מוטי</v>
          </cell>
          <cell r="E295">
            <v>12</v>
          </cell>
          <cell r="F295">
            <v>40</v>
          </cell>
          <cell r="G295" t="str">
            <v>רכב קב' 2</v>
          </cell>
          <cell r="H295">
            <v>980</v>
          </cell>
          <cell r="I295">
            <v>0</v>
          </cell>
          <cell r="J295" t="str">
            <v>מו"פ</v>
          </cell>
        </row>
        <row r="296">
          <cell r="A296" t="str">
            <v>רד סי אופטיקל נטוורק</v>
          </cell>
          <cell r="B296">
            <v>2004</v>
          </cell>
          <cell r="C296">
            <v>10</v>
          </cell>
          <cell r="D296" t="str">
            <v>שטיינברג מוטי</v>
          </cell>
          <cell r="E296">
            <v>12</v>
          </cell>
          <cell r="F296">
            <v>91</v>
          </cell>
          <cell r="G296" t="str">
            <v>זק.השתלמות</v>
          </cell>
          <cell r="H296">
            <v>783.29</v>
          </cell>
          <cell r="I296">
            <v>0</v>
          </cell>
          <cell r="J296" t="str">
            <v>מו"פ</v>
          </cell>
        </row>
        <row r="297">
          <cell r="A297" t="str">
            <v>רד סי אופטיקל נטוורק</v>
          </cell>
          <cell r="B297">
            <v>2004</v>
          </cell>
          <cell r="C297">
            <v>11</v>
          </cell>
          <cell r="D297" t="str">
            <v>כהן בועז</v>
          </cell>
          <cell r="E297">
            <v>1</v>
          </cell>
          <cell r="F297">
            <v>24</v>
          </cell>
          <cell r="G297" t="str">
            <v>שוויארוחות</v>
          </cell>
          <cell r="H297">
            <v>450</v>
          </cell>
          <cell r="I297">
            <v>1</v>
          </cell>
          <cell r="J297" t="str">
            <v>מו"פ</v>
          </cell>
        </row>
        <row r="298">
          <cell r="A298" t="str">
            <v>רד סי אופטיקל נטוורק</v>
          </cell>
          <cell r="B298">
            <v>2004</v>
          </cell>
          <cell r="C298">
            <v>11</v>
          </cell>
          <cell r="D298" t="str">
            <v>כהן בועז</v>
          </cell>
          <cell r="E298">
            <v>2</v>
          </cell>
          <cell r="F298">
            <v>24</v>
          </cell>
          <cell r="G298" t="str">
            <v>שוויארוחות</v>
          </cell>
          <cell r="H298">
            <v>342</v>
          </cell>
          <cell r="I298">
            <v>0.76</v>
          </cell>
          <cell r="J298" t="str">
            <v>מו"פ</v>
          </cell>
        </row>
        <row r="299">
          <cell r="A299" t="str">
            <v>רד סי אופטיקל נטוורק</v>
          </cell>
          <cell r="B299">
            <v>2004</v>
          </cell>
          <cell r="C299">
            <v>11</v>
          </cell>
          <cell r="D299" t="str">
            <v>כהן בועז</v>
          </cell>
          <cell r="E299">
            <v>3</v>
          </cell>
          <cell r="F299">
            <v>22</v>
          </cell>
          <cell r="G299" t="str">
            <v>שווי מתנות</v>
          </cell>
          <cell r="H299">
            <v>186.25</v>
          </cell>
          <cell r="I299">
            <v>0</v>
          </cell>
          <cell r="J299" t="str">
            <v>מו"פ</v>
          </cell>
        </row>
        <row r="300">
          <cell r="A300" t="str">
            <v>רד סי אופטיקל נטוורק</v>
          </cell>
          <cell r="B300">
            <v>2004</v>
          </cell>
          <cell r="C300">
            <v>11</v>
          </cell>
          <cell r="D300" t="str">
            <v>כהן בועז</v>
          </cell>
          <cell r="E300">
            <v>3</v>
          </cell>
          <cell r="F300">
            <v>24</v>
          </cell>
          <cell r="G300" t="str">
            <v>שוויארוחות</v>
          </cell>
          <cell r="H300">
            <v>391.5</v>
          </cell>
          <cell r="I300">
            <v>0.87</v>
          </cell>
          <cell r="J300" t="str">
            <v>מו"פ</v>
          </cell>
        </row>
        <row r="301">
          <cell r="A301" t="str">
            <v>רד סי אופטיקל נטוורק</v>
          </cell>
          <cell r="B301">
            <v>2004</v>
          </cell>
          <cell r="C301">
            <v>11</v>
          </cell>
          <cell r="D301" t="str">
            <v>כהן בועז</v>
          </cell>
          <cell r="E301">
            <v>4</v>
          </cell>
          <cell r="F301">
            <v>24</v>
          </cell>
          <cell r="G301" t="str">
            <v>שוויארוחות</v>
          </cell>
          <cell r="H301">
            <v>450</v>
          </cell>
          <cell r="I301">
            <v>1</v>
          </cell>
          <cell r="J301" t="str">
            <v>מו"פ</v>
          </cell>
        </row>
        <row r="302">
          <cell r="A302" t="str">
            <v>רד סי אופטיקל נטוורק</v>
          </cell>
          <cell r="B302">
            <v>2004</v>
          </cell>
          <cell r="C302">
            <v>11</v>
          </cell>
          <cell r="D302" t="str">
            <v>כהן בועז</v>
          </cell>
          <cell r="E302">
            <v>5</v>
          </cell>
          <cell r="F302">
            <v>24</v>
          </cell>
          <cell r="G302" t="str">
            <v>שוויארוחות</v>
          </cell>
          <cell r="H302">
            <v>450</v>
          </cell>
          <cell r="I302">
            <v>1</v>
          </cell>
          <cell r="J302" t="str">
            <v>מו"פ</v>
          </cell>
        </row>
        <row r="303">
          <cell r="A303" t="str">
            <v>רד סי אופטיקל נטוורק</v>
          </cell>
          <cell r="B303">
            <v>2004</v>
          </cell>
          <cell r="C303">
            <v>11</v>
          </cell>
          <cell r="D303" t="str">
            <v>כהן בועז</v>
          </cell>
          <cell r="E303">
            <v>6</v>
          </cell>
          <cell r="F303">
            <v>24</v>
          </cell>
          <cell r="G303" t="str">
            <v>שוויארוחות</v>
          </cell>
          <cell r="H303">
            <v>450</v>
          </cell>
          <cell r="I303">
            <v>1</v>
          </cell>
          <cell r="J303" t="str">
            <v>מו"פ</v>
          </cell>
        </row>
        <row r="304">
          <cell r="A304" t="str">
            <v>רד סי אופטיקל נטוורק</v>
          </cell>
          <cell r="B304">
            <v>2004</v>
          </cell>
          <cell r="C304">
            <v>11</v>
          </cell>
          <cell r="D304" t="str">
            <v>כהן בועז</v>
          </cell>
          <cell r="E304">
            <v>7</v>
          </cell>
          <cell r="F304">
            <v>24</v>
          </cell>
          <cell r="G304" t="str">
            <v>שוויארוחות</v>
          </cell>
          <cell r="H304">
            <v>450</v>
          </cell>
          <cell r="I304">
            <v>1</v>
          </cell>
          <cell r="J304" t="str">
            <v>מו"פ</v>
          </cell>
        </row>
        <row r="305">
          <cell r="A305" t="str">
            <v>רד סי אופטיקל נטוורק</v>
          </cell>
          <cell r="B305">
            <v>2004</v>
          </cell>
          <cell r="C305">
            <v>11</v>
          </cell>
          <cell r="D305" t="str">
            <v>כהן בועז</v>
          </cell>
          <cell r="E305">
            <v>8</v>
          </cell>
          <cell r="F305">
            <v>24</v>
          </cell>
          <cell r="G305" t="str">
            <v>שוויארוחות</v>
          </cell>
          <cell r="H305">
            <v>483</v>
          </cell>
          <cell r="I305">
            <v>23</v>
          </cell>
          <cell r="J305" t="str">
            <v>מו"פ</v>
          </cell>
        </row>
        <row r="306">
          <cell r="A306" t="str">
            <v>רד סי אופטיקל נטוורק</v>
          </cell>
          <cell r="B306">
            <v>2004</v>
          </cell>
          <cell r="C306">
            <v>11</v>
          </cell>
          <cell r="D306" t="str">
            <v>כהן בועז</v>
          </cell>
          <cell r="E306">
            <v>9</v>
          </cell>
          <cell r="F306">
            <v>22</v>
          </cell>
          <cell r="G306" t="str">
            <v>שווי מתנות</v>
          </cell>
          <cell r="H306">
            <v>459.25</v>
          </cell>
          <cell r="I306">
            <v>0</v>
          </cell>
          <cell r="J306" t="str">
            <v>מו"פ</v>
          </cell>
        </row>
        <row r="307">
          <cell r="A307" t="str">
            <v>רד סי אופטיקל נטוורק</v>
          </cell>
          <cell r="B307">
            <v>2004</v>
          </cell>
          <cell r="C307">
            <v>11</v>
          </cell>
          <cell r="D307" t="str">
            <v>כהן בועז</v>
          </cell>
          <cell r="E307">
            <v>9</v>
          </cell>
          <cell r="F307">
            <v>24</v>
          </cell>
          <cell r="G307" t="str">
            <v>שוויארוחות</v>
          </cell>
          <cell r="H307">
            <v>378</v>
          </cell>
          <cell r="I307">
            <v>18</v>
          </cell>
          <cell r="J307" t="str">
            <v>מו"פ</v>
          </cell>
        </row>
        <row r="308">
          <cell r="A308" t="str">
            <v>רד סי אופטיקל נטוורק</v>
          </cell>
          <cell r="B308">
            <v>2004</v>
          </cell>
          <cell r="C308">
            <v>11</v>
          </cell>
          <cell r="D308" t="str">
            <v>כהן בועז</v>
          </cell>
          <cell r="E308">
            <v>9</v>
          </cell>
          <cell r="F308">
            <v>93</v>
          </cell>
          <cell r="G308" t="str">
            <v>זק.תגמולים</v>
          </cell>
          <cell r="H308">
            <v>16.38</v>
          </cell>
          <cell r="I308">
            <v>0</v>
          </cell>
          <cell r="J308" t="str">
            <v>מו"פ</v>
          </cell>
        </row>
        <row r="309">
          <cell r="A309" t="str">
            <v>רד סי אופטיקל נטוורק</v>
          </cell>
          <cell r="B309">
            <v>2004</v>
          </cell>
          <cell r="C309">
            <v>11</v>
          </cell>
          <cell r="D309" t="str">
            <v>כהן בועז</v>
          </cell>
          <cell r="E309">
            <v>10</v>
          </cell>
          <cell r="F309">
            <v>24</v>
          </cell>
          <cell r="G309" t="str">
            <v>שוויארוחות</v>
          </cell>
          <cell r="H309">
            <v>189</v>
          </cell>
          <cell r="I309">
            <v>9</v>
          </cell>
          <cell r="J309" t="str">
            <v>מו"פ</v>
          </cell>
        </row>
        <row r="310">
          <cell r="A310" t="str">
            <v>רד סי אופטיקל נטוורק</v>
          </cell>
          <cell r="B310">
            <v>2004</v>
          </cell>
          <cell r="C310">
            <v>11</v>
          </cell>
          <cell r="D310" t="str">
            <v>כהן בועז</v>
          </cell>
          <cell r="E310">
            <v>10</v>
          </cell>
          <cell r="F310">
            <v>93</v>
          </cell>
          <cell r="G310" t="str">
            <v>זק.תגמולים</v>
          </cell>
          <cell r="H310">
            <v>-16.38</v>
          </cell>
          <cell r="I310">
            <v>0</v>
          </cell>
          <cell r="J310" t="str">
            <v>מו"פ</v>
          </cell>
        </row>
        <row r="311">
          <cell r="A311" t="str">
            <v>רד סי אופטיקל נטוורק</v>
          </cell>
          <cell r="B311">
            <v>2004</v>
          </cell>
          <cell r="C311">
            <v>11</v>
          </cell>
          <cell r="D311" t="str">
            <v>כהן בועז</v>
          </cell>
          <cell r="E311">
            <v>11</v>
          </cell>
          <cell r="F311">
            <v>24</v>
          </cell>
          <cell r="G311" t="str">
            <v>שוויארוחות</v>
          </cell>
          <cell r="H311">
            <v>189</v>
          </cell>
          <cell r="I311">
            <v>9</v>
          </cell>
          <cell r="J311" t="str">
            <v>מו"פ</v>
          </cell>
        </row>
        <row r="312">
          <cell r="A312" t="str">
            <v>רד סי אופטיקל נטוורק</v>
          </cell>
          <cell r="B312">
            <v>2004</v>
          </cell>
          <cell r="C312">
            <v>11</v>
          </cell>
          <cell r="D312" t="str">
            <v>כהן בועז</v>
          </cell>
          <cell r="E312">
            <v>12</v>
          </cell>
          <cell r="F312">
            <v>22</v>
          </cell>
          <cell r="G312" t="str">
            <v>שווי מתנות</v>
          </cell>
          <cell r="H312">
            <v>0</v>
          </cell>
          <cell r="I312">
            <v>0</v>
          </cell>
          <cell r="J312" t="str">
            <v>מו"פ</v>
          </cell>
        </row>
        <row r="313">
          <cell r="A313" t="str">
            <v>רד סי אופטיקל נטוורק</v>
          </cell>
          <cell r="B313">
            <v>2004</v>
          </cell>
          <cell r="C313">
            <v>11</v>
          </cell>
          <cell r="D313" t="str">
            <v>כהן בועז</v>
          </cell>
          <cell r="E313">
            <v>12</v>
          </cell>
          <cell r="F313">
            <v>24</v>
          </cell>
          <cell r="G313" t="str">
            <v>שוויארוחות</v>
          </cell>
          <cell r="H313">
            <v>147</v>
          </cell>
          <cell r="I313">
            <v>7</v>
          </cell>
          <cell r="J313" t="str">
            <v>מו"פ</v>
          </cell>
        </row>
        <row r="314">
          <cell r="A314" t="str">
            <v>רד סי אופטיקל נטוורק</v>
          </cell>
          <cell r="B314">
            <v>2004</v>
          </cell>
          <cell r="C314">
            <v>12</v>
          </cell>
          <cell r="D314" t="str">
            <v>שליפר אלכסנדר</v>
          </cell>
          <cell r="E314">
            <v>1</v>
          </cell>
          <cell r="F314">
            <v>24</v>
          </cell>
          <cell r="G314" t="str">
            <v>שוויארוחות</v>
          </cell>
          <cell r="H314">
            <v>450</v>
          </cell>
          <cell r="I314">
            <v>0</v>
          </cell>
          <cell r="J314" t="str">
            <v>מו"פ</v>
          </cell>
        </row>
        <row r="315">
          <cell r="A315" t="str">
            <v>רד סי אופטיקל נטוורק</v>
          </cell>
          <cell r="B315">
            <v>2004</v>
          </cell>
          <cell r="C315">
            <v>12</v>
          </cell>
          <cell r="D315" t="str">
            <v>שליפר אלכסנדר</v>
          </cell>
          <cell r="E315">
            <v>1</v>
          </cell>
          <cell r="F315">
            <v>40</v>
          </cell>
          <cell r="G315" t="str">
            <v>רכב קב' 2</v>
          </cell>
          <cell r="H315">
            <v>980</v>
          </cell>
          <cell r="I315">
            <v>0</v>
          </cell>
          <cell r="J315" t="str">
            <v>מו"פ</v>
          </cell>
        </row>
        <row r="316">
          <cell r="A316" t="str">
            <v>רד סי אופטיקל נטוורק</v>
          </cell>
          <cell r="B316">
            <v>2004</v>
          </cell>
          <cell r="C316">
            <v>12</v>
          </cell>
          <cell r="D316" t="str">
            <v>שליפר אלכסנדר</v>
          </cell>
          <cell r="E316">
            <v>2</v>
          </cell>
          <cell r="F316">
            <v>24</v>
          </cell>
          <cell r="G316" t="str">
            <v>שוויארוחות</v>
          </cell>
          <cell r="H316">
            <v>450</v>
          </cell>
          <cell r="I316">
            <v>0</v>
          </cell>
          <cell r="J316" t="str">
            <v>מו"פ</v>
          </cell>
        </row>
        <row r="317">
          <cell r="A317" t="str">
            <v>רד סי אופטיקל נטוורק</v>
          </cell>
          <cell r="B317">
            <v>2004</v>
          </cell>
          <cell r="C317">
            <v>12</v>
          </cell>
          <cell r="D317" t="str">
            <v>שליפר אלכסנדר</v>
          </cell>
          <cell r="E317">
            <v>2</v>
          </cell>
          <cell r="F317">
            <v>40</v>
          </cell>
          <cell r="G317" t="str">
            <v>רכב קב' 2</v>
          </cell>
          <cell r="H317">
            <v>980</v>
          </cell>
          <cell r="I317">
            <v>0</v>
          </cell>
          <cell r="J317" t="str">
            <v>מו"פ</v>
          </cell>
        </row>
        <row r="318">
          <cell r="A318" t="str">
            <v>רד סי אופטיקל נטוורק</v>
          </cell>
          <cell r="B318">
            <v>2004</v>
          </cell>
          <cell r="C318">
            <v>12</v>
          </cell>
          <cell r="D318" t="str">
            <v>שליפר אלכסנדר</v>
          </cell>
          <cell r="E318">
            <v>3</v>
          </cell>
          <cell r="F318">
            <v>22</v>
          </cell>
          <cell r="G318" t="str">
            <v>שווי מתנות</v>
          </cell>
          <cell r="H318">
            <v>186.25</v>
          </cell>
          <cell r="I318">
            <v>0</v>
          </cell>
          <cell r="J318" t="str">
            <v>מו"פ</v>
          </cell>
        </row>
        <row r="319">
          <cell r="A319" t="str">
            <v>רד סי אופטיקל נטוורק</v>
          </cell>
          <cell r="B319">
            <v>2004</v>
          </cell>
          <cell r="C319">
            <v>12</v>
          </cell>
          <cell r="D319" t="str">
            <v>שליפר אלכסנדר</v>
          </cell>
          <cell r="E319">
            <v>3</v>
          </cell>
          <cell r="F319">
            <v>24</v>
          </cell>
          <cell r="G319" t="str">
            <v>שוויארוחות</v>
          </cell>
          <cell r="H319">
            <v>450</v>
          </cell>
          <cell r="I319">
            <v>0</v>
          </cell>
          <cell r="J319" t="str">
            <v>מו"פ</v>
          </cell>
        </row>
        <row r="320">
          <cell r="A320" t="str">
            <v>רד סי אופטיקל נטוורק</v>
          </cell>
          <cell r="B320">
            <v>2004</v>
          </cell>
          <cell r="C320">
            <v>12</v>
          </cell>
          <cell r="D320" t="str">
            <v>שליפר אלכסנדר</v>
          </cell>
          <cell r="E320">
            <v>3</v>
          </cell>
          <cell r="F320">
            <v>40</v>
          </cell>
          <cell r="G320" t="str">
            <v>רכב קב' 2</v>
          </cell>
          <cell r="H320">
            <v>980</v>
          </cell>
          <cell r="I320">
            <v>0</v>
          </cell>
          <cell r="J320" t="str">
            <v>מו"פ</v>
          </cell>
        </row>
        <row r="321">
          <cell r="A321" t="str">
            <v>רד סי אופטיקל נטוורק</v>
          </cell>
          <cell r="B321">
            <v>2004</v>
          </cell>
          <cell r="C321">
            <v>12</v>
          </cell>
          <cell r="D321" t="str">
            <v>שליפר אלכסנדר</v>
          </cell>
          <cell r="E321">
            <v>4</v>
          </cell>
          <cell r="F321">
            <v>24</v>
          </cell>
          <cell r="G321" t="str">
            <v>שוויארוחות</v>
          </cell>
          <cell r="H321">
            <v>450</v>
          </cell>
          <cell r="I321">
            <v>0</v>
          </cell>
          <cell r="J321" t="str">
            <v>מו"פ</v>
          </cell>
        </row>
        <row r="322">
          <cell r="A322" t="str">
            <v>רד סי אופטיקל נטוורק</v>
          </cell>
          <cell r="B322">
            <v>2004</v>
          </cell>
          <cell r="C322">
            <v>12</v>
          </cell>
          <cell r="D322" t="str">
            <v>שליפר אלכסנדר</v>
          </cell>
          <cell r="E322">
            <v>4</v>
          </cell>
          <cell r="F322">
            <v>40</v>
          </cell>
          <cell r="G322" t="str">
            <v>רכב קב' 2</v>
          </cell>
          <cell r="H322">
            <v>980</v>
          </cell>
          <cell r="I322">
            <v>0</v>
          </cell>
          <cell r="J322" t="str">
            <v>מו"פ</v>
          </cell>
        </row>
        <row r="323">
          <cell r="A323" t="str">
            <v>רד סי אופטיקל נטוורק</v>
          </cell>
          <cell r="B323">
            <v>2004</v>
          </cell>
          <cell r="C323">
            <v>12</v>
          </cell>
          <cell r="D323" t="str">
            <v>שליפר אלכסנדר</v>
          </cell>
          <cell r="E323">
            <v>5</v>
          </cell>
          <cell r="F323">
            <v>24</v>
          </cell>
          <cell r="G323" t="str">
            <v>שוויארוחות</v>
          </cell>
          <cell r="H323">
            <v>450</v>
          </cell>
          <cell r="I323">
            <v>0</v>
          </cell>
          <cell r="J323" t="str">
            <v>מו"פ</v>
          </cell>
        </row>
        <row r="324">
          <cell r="A324" t="str">
            <v>רד סי אופטיקל נטוורק</v>
          </cell>
          <cell r="B324">
            <v>2004</v>
          </cell>
          <cell r="C324">
            <v>12</v>
          </cell>
          <cell r="D324" t="str">
            <v>שליפר אלכסנדר</v>
          </cell>
          <cell r="E324">
            <v>5</v>
          </cell>
          <cell r="F324">
            <v>40</v>
          </cell>
          <cell r="G324" t="str">
            <v>רכב קב' 2</v>
          </cell>
          <cell r="H324">
            <v>980</v>
          </cell>
          <cell r="I324">
            <v>0</v>
          </cell>
          <cell r="J324" t="str">
            <v>מו"פ</v>
          </cell>
        </row>
        <row r="325">
          <cell r="A325" t="str">
            <v>רד סי אופטיקל נטוורק</v>
          </cell>
          <cell r="B325">
            <v>2004</v>
          </cell>
          <cell r="C325">
            <v>12</v>
          </cell>
          <cell r="D325" t="str">
            <v>שליפר אלכסנדר</v>
          </cell>
          <cell r="E325">
            <v>6</v>
          </cell>
          <cell r="F325">
            <v>24</v>
          </cell>
          <cell r="G325" t="str">
            <v>שוויארוחות</v>
          </cell>
          <cell r="H325">
            <v>450</v>
          </cell>
          <cell r="I325">
            <v>0</v>
          </cell>
          <cell r="J325" t="str">
            <v>מו"פ</v>
          </cell>
        </row>
        <row r="326">
          <cell r="A326" t="str">
            <v>רד סי אופטיקל נטוורק</v>
          </cell>
          <cell r="B326">
            <v>2004</v>
          </cell>
          <cell r="C326">
            <v>12</v>
          </cell>
          <cell r="D326" t="str">
            <v>שליפר אלכסנדר</v>
          </cell>
          <cell r="E326">
            <v>6</v>
          </cell>
          <cell r="F326">
            <v>40</v>
          </cell>
          <cell r="G326" t="str">
            <v>רכב קב' 2</v>
          </cell>
          <cell r="H326">
            <v>980</v>
          </cell>
          <cell r="I326">
            <v>0</v>
          </cell>
          <cell r="J326" t="str">
            <v>מו"פ</v>
          </cell>
        </row>
        <row r="327">
          <cell r="A327" t="str">
            <v>רד סי אופטיקל נטוורק</v>
          </cell>
          <cell r="B327">
            <v>2004</v>
          </cell>
          <cell r="C327">
            <v>12</v>
          </cell>
          <cell r="D327" t="str">
            <v>שליפר אלכסנדר</v>
          </cell>
          <cell r="E327">
            <v>7</v>
          </cell>
          <cell r="F327">
            <v>24</v>
          </cell>
          <cell r="G327" t="str">
            <v>שוויארוחות</v>
          </cell>
          <cell r="H327">
            <v>450</v>
          </cell>
          <cell r="I327">
            <v>0</v>
          </cell>
          <cell r="J327" t="str">
            <v>מו"פ</v>
          </cell>
        </row>
        <row r="328">
          <cell r="A328" t="str">
            <v>רד סי אופטיקל נטוורק</v>
          </cell>
          <cell r="B328">
            <v>2004</v>
          </cell>
          <cell r="C328">
            <v>12</v>
          </cell>
          <cell r="D328" t="str">
            <v>שליפר אלכסנדר</v>
          </cell>
          <cell r="E328">
            <v>7</v>
          </cell>
          <cell r="F328">
            <v>40</v>
          </cell>
          <cell r="G328" t="str">
            <v>רכב קב' 2</v>
          </cell>
          <cell r="H328">
            <v>980</v>
          </cell>
          <cell r="I328">
            <v>0</v>
          </cell>
          <cell r="J328" t="str">
            <v>מו"פ</v>
          </cell>
        </row>
        <row r="329">
          <cell r="A329" t="str">
            <v>רד סי אופטיקל נטוורק</v>
          </cell>
          <cell r="B329">
            <v>2004</v>
          </cell>
          <cell r="C329">
            <v>12</v>
          </cell>
          <cell r="D329" t="str">
            <v>שליפר אלכסנדר</v>
          </cell>
          <cell r="E329">
            <v>8</v>
          </cell>
          <cell r="F329">
            <v>24</v>
          </cell>
          <cell r="G329" t="str">
            <v>שוויארוחות</v>
          </cell>
          <cell r="H329">
            <v>483</v>
          </cell>
          <cell r="I329">
            <v>23</v>
          </cell>
          <cell r="J329" t="str">
            <v>מו"פ</v>
          </cell>
        </row>
        <row r="330">
          <cell r="A330" t="str">
            <v>רד סי אופטיקל נטוורק</v>
          </cell>
          <cell r="B330">
            <v>2004</v>
          </cell>
          <cell r="C330">
            <v>12</v>
          </cell>
          <cell r="D330" t="str">
            <v>שליפר אלכסנדר</v>
          </cell>
          <cell r="E330">
            <v>8</v>
          </cell>
          <cell r="F330">
            <v>40</v>
          </cell>
          <cell r="G330" t="str">
            <v>רכב קב' 2</v>
          </cell>
          <cell r="H330">
            <v>980</v>
          </cell>
          <cell r="I330">
            <v>0</v>
          </cell>
          <cell r="J330" t="str">
            <v>מו"פ</v>
          </cell>
        </row>
        <row r="331">
          <cell r="A331" t="str">
            <v>רד סי אופטיקל נטוורק</v>
          </cell>
          <cell r="B331">
            <v>2004</v>
          </cell>
          <cell r="C331">
            <v>12</v>
          </cell>
          <cell r="D331" t="str">
            <v>שליפר אלכסנדר</v>
          </cell>
          <cell r="E331">
            <v>9</v>
          </cell>
          <cell r="F331">
            <v>22</v>
          </cell>
          <cell r="G331" t="str">
            <v>שווי מתנות</v>
          </cell>
          <cell r="H331">
            <v>459.25</v>
          </cell>
          <cell r="I331">
            <v>0</v>
          </cell>
          <cell r="J331" t="str">
            <v>מו"פ</v>
          </cell>
        </row>
        <row r="332">
          <cell r="A332" t="str">
            <v>רד סי אופטיקל נטוורק</v>
          </cell>
          <cell r="B332">
            <v>2004</v>
          </cell>
          <cell r="C332">
            <v>12</v>
          </cell>
          <cell r="D332" t="str">
            <v>שליפר אלכסנדר</v>
          </cell>
          <cell r="E332">
            <v>9</v>
          </cell>
          <cell r="F332">
            <v>24</v>
          </cell>
          <cell r="G332" t="str">
            <v>שוויארוחות</v>
          </cell>
          <cell r="H332">
            <v>378</v>
          </cell>
          <cell r="I332">
            <v>18</v>
          </cell>
          <cell r="J332" t="str">
            <v>מו"פ</v>
          </cell>
        </row>
        <row r="333">
          <cell r="A333" t="str">
            <v>רד סי אופטיקל נטוורק</v>
          </cell>
          <cell r="B333">
            <v>2004</v>
          </cell>
          <cell r="C333">
            <v>12</v>
          </cell>
          <cell r="D333" t="str">
            <v>שליפר אלכסנדר</v>
          </cell>
          <cell r="E333">
            <v>9</v>
          </cell>
          <cell r="F333">
            <v>40</v>
          </cell>
          <cell r="G333" t="str">
            <v>רכב קב' 2</v>
          </cell>
          <cell r="H333">
            <v>980</v>
          </cell>
          <cell r="I333">
            <v>0</v>
          </cell>
          <cell r="J333" t="str">
            <v>מו"פ</v>
          </cell>
        </row>
        <row r="334">
          <cell r="A334" t="str">
            <v>רד סי אופטיקל נטוורק</v>
          </cell>
          <cell r="B334">
            <v>2004</v>
          </cell>
          <cell r="C334">
            <v>12</v>
          </cell>
          <cell r="D334" t="str">
            <v>שליפר אלכסנדר</v>
          </cell>
          <cell r="E334">
            <v>10</v>
          </cell>
          <cell r="F334">
            <v>24</v>
          </cell>
          <cell r="G334" t="str">
            <v>שוויארוחות</v>
          </cell>
          <cell r="H334">
            <v>399</v>
          </cell>
          <cell r="I334">
            <v>19</v>
          </cell>
          <cell r="J334" t="str">
            <v>מו"פ</v>
          </cell>
        </row>
        <row r="335">
          <cell r="A335" t="str">
            <v>רד סי אופטיקל נטוורק</v>
          </cell>
          <cell r="B335">
            <v>2004</v>
          </cell>
          <cell r="C335">
            <v>12</v>
          </cell>
          <cell r="D335" t="str">
            <v>שליפר אלכסנדר</v>
          </cell>
          <cell r="E335">
            <v>10</v>
          </cell>
          <cell r="F335">
            <v>40</v>
          </cell>
          <cell r="G335" t="str">
            <v>רכב קב' 2</v>
          </cell>
          <cell r="H335">
            <v>980</v>
          </cell>
          <cell r="I335">
            <v>0</v>
          </cell>
          <cell r="J335" t="str">
            <v>מו"פ</v>
          </cell>
        </row>
        <row r="336">
          <cell r="A336" t="str">
            <v>רד סי אופטיקל נטוורק</v>
          </cell>
          <cell r="B336">
            <v>2004</v>
          </cell>
          <cell r="C336">
            <v>12</v>
          </cell>
          <cell r="D336" t="str">
            <v>שליפר אלכסנדר</v>
          </cell>
          <cell r="E336">
            <v>11</v>
          </cell>
          <cell r="F336">
            <v>24</v>
          </cell>
          <cell r="G336" t="str">
            <v>שוויארוחות</v>
          </cell>
          <cell r="H336">
            <v>441</v>
          </cell>
          <cell r="I336">
            <v>21</v>
          </cell>
          <cell r="J336" t="str">
            <v>מו"פ</v>
          </cell>
        </row>
        <row r="337">
          <cell r="A337" t="str">
            <v>רד סי אופטיקל נטוורק</v>
          </cell>
          <cell r="B337">
            <v>2004</v>
          </cell>
          <cell r="C337">
            <v>12</v>
          </cell>
          <cell r="D337" t="str">
            <v>שליפר אלכסנדר</v>
          </cell>
          <cell r="E337">
            <v>11</v>
          </cell>
          <cell r="F337">
            <v>40</v>
          </cell>
          <cell r="G337" t="str">
            <v>רכב קב' 2</v>
          </cell>
          <cell r="H337">
            <v>980</v>
          </cell>
          <cell r="I337">
            <v>0</v>
          </cell>
          <cell r="J337" t="str">
            <v>מו"פ</v>
          </cell>
        </row>
        <row r="338">
          <cell r="A338" t="str">
            <v>רד סי אופטיקל נטוורק</v>
          </cell>
          <cell r="B338">
            <v>2004</v>
          </cell>
          <cell r="C338">
            <v>12</v>
          </cell>
          <cell r="D338" t="str">
            <v>שליפר אלכסנדר</v>
          </cell>
          <cell r="E338">
            <v>12</v>
          </cell>
          <cell r="F338">
            <v>22</v>
          </cell>
          <cell r="G338" t="str">
            <v>שווי מתנות</v>
          </cell>
          <cell r="H338">
            <v>0</v>
          </cell>
          <cell r="I338">
            <v>0</v>
          </cell>
          <cell r="J338" t="str">
            <v>מו"פ</v>
          </cell>
        </row>
        <row r="339">
          <cell r="A339" t="str">
            <v>רד סי אופטיקל נטוורק</v>
          </cell>
          <cell r="B339">
            <v>2004</v>
          </cell>
          <cell r="C339">
            <v>12</v>
          </cell>
          <cell r="D339" t="str">
            <v>שליפר אלכסנדר</v>
          </cell>
          <cell r="E339">
            <v>12</v>
          </cell>
          <cell r="F339">
            <v>24</v>
          </cell>
          <cell r="G339" t="str">
            <v>שוויארוחות</v>
          </cell>
          <cell r="H339">
            <v>462</v>
          </cell>
          <cell r="I339">
            <v>22</v>
          </cell>
          <cell r="J339" t="str">
            <v>מו"פ</v>
          </cell>
        </row>
        <row r="340">
          <cell r="A340" t="str">
            <v>רד סי אופטיקל נטוורק</v>
          </cell>
          <cell r="B340">
            <v>2004</v>
          </cell>
          <cell r="C340">
            <v>12</v>
          </cell>
          <cell r="D340" t="str">
            <v>שליפר אלכסנדר</v>
          </cell>
          <cell r="E340">
            <v>12</v>
          </cell>
          <cell r="F340">
            <v>40</v>
          </cell>
          <cell r="G340" t="str">
            <v>רכב קב' 2</v>
          </cell>
          <cell r="H340">
            <v>980</v>
          </cell>
          <cell r="I340">
            <v>0</v>
          </cell>
          <cell r="J340" t="str">
            <v>מו"פ</v>
          </cell>
        </row>
        <row r="341">
          <cell r="A341" t="str">
            <v>רד סי אופטיקל נטוורק</v>
          </cell>
          <cell r="B341">
            <v>2004</v>
          </cell>
          <cell r="C341">
            <v>13</v>
          </cell>
          <cell r="D341" t="str">
            <v>ברוכים אילנה</v>
          </cell>
          <cell r="E341">
            <v>3</v>
          </cell>
          <cell r="F341">
            <v>22</v>
          </cell>
          <cell r="G341" t="str">
            <v>שווי מתנות</v>
          </cell>
          <cell r="H341">
            <v>186.25</v>
          </cell>
          <cell r="I341">
            <v>0</v>
          </cell>
          <cell r="J341" t="str">
            <v>ייצור</v>
          </cell>
        </row>
        <row r="342">
          <cell r="A342" t="str">
            <v>רד סי אופטיקל נטוורק</v>
          </cell>
          <cell r="B342">
            <v>2004</v>
          </cell>
          <cell r="C342">
            <v>13</v>
          </cell>
          <cell r="D342" t="str">
            <v>ברוכים אילנה</v>
          </cell>
          <cell r="E342">
            <v>9</v>
          </cell>
          <cell r="F342">
            <v>22</v>
          </cell>
          <cell r="G342" t="str">
            <v>שווי מתנות</v>
          </cell>
          <cell r="H342">
            <v>459.25</v>
          </cell>
          <cell r="I342">
            <v>0</v>
          </cell>
          <cell r="J342" t="str">
            <v>ייצור</v>
          </cell>
        </row>
        <row r="343">
          <cell r="A343" t="str">
            <v>רד סי אופטיקל נטוורק</v>
          </cell>
          <cell r="B343">
            <v>2004</v>
          </cell>
          <cell r="C343">
            <v>13</v>
          </cell>
          <cell r="D343" t="str">
            <v>ברוכים אילנה</v>
          </cell>
          <cell r="E343">
            <v>12</v>
          </cell>
          <cell r="F343">
            <v>22</v>
          </cell>
          <cell r="G343" t="str">
            <v>שווי מתנות</v>
          </cell>
          <cell r="H343">
            <v>0</v>
          </cell>
          <cell r="I343">
            <v>0</v>
          </cell>
          <cell r="J343" t="str">
            <v>ייצור</v>
          </cell>
        </row>
        <row r="344">
          <cell r="A344" t="str">
            <v>רד סי אופטיקל נטוורק</v>
          </cell>
          <cell r="B344">
            <v>2004</v>
          </cell>
          <cell r="C344">
            <v>14</v>
          </cell>
          <cell r="D344" t="str">
            <v>אהרוני עופר</v>
          </cell>
          <cell r="E344">
            <v>1</v>
          </cell>
          <cell r="F344">
            <v>24</v>
          </cell>
          <cell r="G344" t="str">
            <v>שוויארוחות</v>
          </cell>
          <cell r="H344">
            <v>450</v>
          </cell>
          <cell r="I344">
            <v>0</v>
          </cell>
          <cell r="J344" t="str">
            <v>מו"פ</v>
          </cell>
        </row>
        <row r="345">
          <cell r="A345" t="str">
            <v>רד סי אופטיקל נטוורק</v>
          </cell>
          <cell r="B345">
            <v>2004</v>
          </cell>
          <cell r="C345">
            <v>14</v>
          </cell>
          <cell r="D345" t="str">
            <v>אהרוני עופר</v>
          </cell>
          <cell r="E345">
            <v>1</v>
          </cell>
          <cell r="F345">
            <v>40</v>
          </cell>
          <cell r="G345" t="str">
            <v>רכב קב' 2</v>
          </cell>
          <cell r="H345">
            <v>980</v>
          </cell>
          <cell r="I345">
            <v>0</v>
          </cell>
          <cell r="J345" t="str">
            <v>מו"פ</v>
          </cell>
        </row>
        <row r="346">
          <cell r="A346" t="str">
            <v>רד סי אופטיקל נטוורק</v>
          </cell>
          <cell r="B346">
            <v>2004</v>
          </cell>
          <cell r="C346">
            <v>14</v>
          </cell>
          <cell r="D346" t="str">
            <v>אהרוני עופר</v>
          </cell>
          <cell r="E346">
            <v>1</v>
          </cell>
          <cell r="F346">
            <v>91</v>
          </cell>
          <cell r="G346" t="str">
            <v>זק.השתלמות</v>
          </cell>
          <cell r="H346">
            <v>506.69</v>
          </cell>
          <cell r="I346">
            <v>0</v>
          </cell>
          <cell r="J346" t="str">
            <v>מו"פ</v>
          </cell>
        </row>
        <row r="347">
          <cell r="A347" t="str">
            <v>רד סי אופטיקל נטוורק</v>
          </cell>
          <cell r="B347">
            <v>2004</v>
          </cell>
          <cell r="C347">
            <v>14</v>
          </cell>
          <cell r="D347" t="str">
            <v>אהרוני עופר</v>
          </cell>
          <cell r="E347">
            <v>2</v>
          </cell>
          <cell r="F347">
            <v>24</v>
          </cell>
          <cell r="G347" t="str">
            <v>שוויארוחות</v>
          </cell>
          <cell r="H347">
            <v>342</v>
          </cell>
          <cell r="I347">
            <v>0.76</v>
          </cell>
          <cell r="J347" t="str">
            <v>מו"פ</v>
          </cell>
        </row>
        <row r="348">
          <cell r="A348" t="str">
            <v>רד סי אופטיקל נטוורק</v>
          </cell>
          <cell r="B348">
            <v>2004</v>
          </cell>
          <cell r="C348">
            <v>14</v>
          </cell>
          <cell r="D348" t="str">
            <v>אהרוני עופר</v>
          </cell>
          <cell r="E348">
            <v>2</v>
          </cell>
          <cell r="F348">
            <v>40</v>
          </cell>
          <cell r="G348" t="str">
            <v>רכב קב' 2</v>
          </cell>
          <cell r="H348">
            <v>980</v>
          </cell>
          <cell r="I348">
            <v>0</v>
          </cell>
          <cell r="J348" t="str">
            <v>מו"פ</v>
          </cell>
        </row>
        <row r="349">
          <cell r="A349" t="str">
            <v>רד סי אופטיקל נטוורק</v>
          </cell>
          <cell r="B349">
            <v>2004</v>
          </cell>
          <cell r="C349">
            <v>14</v>
          </cell>
          <cell r="D349" t="str">
            <v>אהרוני עופר</v>
          </cell>
          <cell r="E349">
            <v>2</v>
          </cell>
          <cell r="F349">
            <v>91</v>
          </cell>
          <cell r="G349" t="str">
            <v>זק.השתלמות</v>
          </cell>
          <cell r="H349">
            <v>506.69</v>
          </cell>
          <cell r="I349">
            <v>0</v>
          </cell>
          <cell r="J349" t="str">
            <v>מו"פ</v>
          </cell>
        </row>
        <row r="350">
          <cell r="A350" t="str">
            <v>רד סי אופטיקל נטוורק</v>
          </cell>
          <cell r="B350">
            <v>2004</v>
          </cell>
          <cell r="C350">
            <v>14</v>
          </cell>
          <cell r="D350" t="str">
            <v>אהרוני עופר</v>
          </cell>
          <cell r="E350">
            <v>3</v>
          </cell>
          <cell r="F350">
            <v>22</v>
          </cell>
          <cell r="G350" t="str">
            <v>שווי מתנות</v>
          </cell>
          <cell r="H350">
            <v>186.25</v>
          </cell>
          <cell r="I350">
            <v>0</v>
          </cell>
          <cell r="J350" t="str">
            <v>מו"פ</v>
          </cell>
        </row>
        <row r="351">
          <cell r="A351" t="str">
            <v>רד סי אופטיקל נטוורק</v>
          </cell>
          <cell r="B351">
            <v>2004</v>
          </cell>
          <cell r="C351">
            <v>14</v>
          </cell>
          <cell r="D351" t="str">
            <v>אהרוני עופר</v>
          </cell>
          <cell r="E351">
            <v>3</v>
          </cell>
          <cell r="F351">
            <v>24</v>
          </cell>
          <cell r="G351" t="str">
            <v>שוויארוחות</v>
          </cell>
          <cell r="H351">
            <v>450</v>
          </cell>
          <cell r="I351">
            <v>1</v>
          </cell>
          <cell r="J351" t="str">
            <v>מו"פ</v>
          </cell>
        </row>
        <row r="352">
          <cell r="A352" t="str">
            <v>רד סי אופטיקל נטוורק</v>
          </cell>
          <cell r="B352">
            <v>2004</v>
          </cell>
          <cell r="C352">
            <v>14</v>
          </cell>
          <cell r="D352" t="str">
            <v>אהרוני עופר</v>
          </cell>
          <cell r="E352">
            <v>3</v>
          </cell>
          <cell r="F352">
            <v>40</v>
          </cell>
          <cell r="G352" t="str">
            <v>רכב קב' 2</v>
          </cell>
          <cell r="H352">
            <v>980</v>
          </cell>
          <cell r="I352">
            <v>0</v>
          </cell>
          <cell r="J352" t="str">
            <v>מו"פ</v>
          </cell>
        </row>
        <row r="353">
          <cell r="A353" t="str">
            <v>רד סי אופטיקל נטוורק</v>
          </cell>
          <cell r="B353">
            <v>2004</v>
          </cell>
          <cell r="C353">
            <v>14</v>
          </cell>
          <cell r="D353" t="str">
            <v>אהרוני עופר</v>
          </cell>
          <cell r="E353">
            <v>3</v>
          </cell>
          <cell r="F353">
            <v>91</v>
          </cell>
          <cell r="G353" t="str">
            <v>זק.השתלמות</v>
          </cell>
          <cell r="H353">
            <v>483.29</v>
          </cell>
          <cell r="I353">
            <v>0</v>
          </cell>
          <cell r="J353" t="str">
            <v>מו"פ</v>
          </cell>
        </row>
        <row r="354">
          <cell r="A354" t="str">
            <v>רד סי אופטיקל נטוורק</v>
          </cell>
          <cell r="B354">
            <v>2004</v>
          </cell>
          <cell r="C354">
            <v>14</v>
          </cell>
          <cell r="D354" t="str">
            <v>אהרוני עופר</v>
          </cell>
          <cell r="E354">
            <v>4</v>
          </cell>
          <cell r="F354">
            <v>24</v>
          </cell>
          <cell r="G354" t="str">
            <v>שוויארוחות</v>
          </cell>
          <cell r="H354">
            <v>450</v>
          </cell>
          <cell r="I354">
            <v>1</v>
          </cell>
          <cell r="J354" t="str">
            <v>מו"פ</v>
          </cell>
        </row>
        <row r="355">
          <cell r="A355" t="str">
            <v>רד סי אופטיקל נטוורק</v>
          </cell>
          <cell r="B355">
            <v>2004</v>
          </cell>
          <cell r="C355">
            <v>14</v>
          </cell>
          <cell r="D355" t="str">
            <v>אהרוני עופר</v>
          </cell>
          <cell r="E355">
            <v>4</v>
          </cell>
          <cell r="F355">
            <v>40</v>
          </cell>
          <cell r="G355" t="str">
            <v>רכב קב' 2</v>
          </cell>
          <cell r="H355">
            <v>980</v>
          </cell>
          <cell r="I355">
            <v>0</v>
          </cell>
          <cell r="J355" t="str">
            <v>מו"פ</v>
          </cell>
        </row>
        <row r="356">
          <cell r="A356" t="str">
            <v>רד סי אופטיקל נטוורק</v>
          </cell>
          <cell r="B356">
            <v>2004</v>
          </cell>
          <cell r="C356">
            <v>14</v>
          </cell>
          <cell r="D356" t="str">
            <v>אהרוני עופר</v>
          </cell>
          <cell r="E356">
            <v>4</v>
          </cell>
          <cell r="F356">
            <v>91</v>
          </cell>
          <cell r="G356" t="str">
            <v>זק.השתלמות</v>
          </cell>
          <cell r="H356">
            <v>483.29</v>
          </cell>
          <cell r="I356">
            <v>0</v>
          </cell>
          <cell r="J356" t="str">
            <v>מו"פ</v>
          </cell>
        </row>
        <row r="357">
          <cell r="A357" t="str">
            <v>רד סי אופטיקל נטוורק</v>
          </cell>
          <cell r="B357">
            <v>2004</v>
          </cell>
          <cell r="C357">
            <v>14</v>
          </cell>
          <cell r="D357" t="str">
            <v>אהרוני עופר</v>
          </cell>
          <cell r="E357">
            <v>5</v>
          </cell>
          <cell r="F357">
            <v>24</v>
          </cell>
          <cell r="G357" t="str">
            <v>שוויארוחות</v>
          </cell>
          <cell r="H357">
            <v>450</v>
          </cell>
          <cell r="I357">
            <v>1</v>
          </cell>
          <cell r="J357" t="str">
            <v>מו"פ</v>
          </cell>
        </row>
        <row r="358">
          <cell r="A358" t="str">
            <v>רד סי אופטיקל נטוורק</v>
          </cell>
          <cell r="B358">
            <v>2004</v>
          </cell>
          <cell r="C358">
            <v>14</v>
          </cell>
          <cell r="D358" t="str">
            <v>אהרוני עופר</v>
          </cell>
          <cell r="E358">
            <v>5</v>
          </cell>
          <cell r="F358">
            <v>40</v>
          </cell>
          <cell r="G358" t="str">
            <v>רכב קב' 2</v>
          </cell>
          <cell r="H358">
            <v>980</v>
          </cell>
          <cell r="I358">
            <v>0</v>
          </cell>
          <cell r="J358" t="str">
            <v>מו"פ</v>
          </cell>
        </row>
        <row r="359">
          <cell r="A359" t="str">
            <v>רד סי אופטיקל נטוורק</v>
          </cell>
          <cell r="B359">
            <v>2004</v>
          </cell>
          <cell r="C359">
            <v>14</v>
          </cell>
          <cell r="D359" t="str">
            <v>אהרוני עופר</v>
          </cell>
          <cell r="E359">
            <v>5</v>
          </cell>
          <cell r="F359">
            <v>91</v>
          </cell>
          <cell r="G359" t="str">
            <v>זק.השתלמות</v>
          </cell>
          <cell r="H359">
            <v>483.29</v>
          </cell>
          <cell r="I359">
            <v>0</v>
          </cell>
          <cell r="J359" t="str">
            <v>מו"פ</v>
          </cell>
        </row>
        <row r="360">
          <cell r="A360" t="str">
            <v>רד סי אופטיקל נטוורק</v>
          </cell>
          <cell r="B360">
            <v>2004</v>
          </cell>
          <cell r="C360">
            <v>14</v>
          </cell>
          <cell r="D360" t="str">
            <v>אהרוני עופר</v>
          </cell>
          <cell r="E360">
            <v>6</v>
          </cell>
          <cell r="F360">
            <v>24</v>
          </cell>
          <cell r="G360" t="str">
            <v>שוויארוחות</v>
          </cell>
          <cell r="H360">
            <v>450</v>
          </cell>
          <cell r="I360">
            <v>1</v>
          </cell>
          <cell r="J360" t="str">
            <v>מו"פ</v>
          </cell>
        </row>
        <row r="361">
          <cell r="A361" t="str">
            <v>רד סי אופטיקל נטוורק</v>
          </cell>
          <cell r="B361">
            <v>2004</v>
          </cell>
          <cell r="C361">
            <v>14</v>
          </cell>
          <cell r="D361" t="str">
            <v>אהרוני עופר</v>
          </cell>
          <cell r="E361">
            <v>6</v>
          </cell>
          <cell r="F361">
            <v>40</v>
          </cell>
          <cell r="G361" t="str">
            <v>רכב קב' 2</v>
          </cell>
          <cell r="H361">
            <v>980</v>
          </cell>
          <cell r="I361">
            <v>0</v>
          </cell>
          <cell r="J361" t="str">
            <v>מו"פ</v>
          </cell>
        </row>
        <row r="362">
          <cell r="A362" t="str">
            <v>רד סי אופטיקל נטוורק</v>
          </cell>
          <cell r="B362">
            <v>2004</v>
          </cell>
          <cell r="C362">
            <v>14</v>
          </cell>
          <cell r="D362" t="str">
            <v>אהרוני עופר</v>
          </cell>
          <cell r="E362">
            <v>6</v>
          </cell>
          <cell r="F362">
            <v>91</v>
          </cell>
          <cell r="G362" t="str">
            <v>זק.השתלמות</v>
          </cell>
          <cell r="H362">
            <v>483.29</v>
          </cell>
          <cell r="I362">
            <v>0</v>
          </cell>
          <cell r="J362" t="str">
            <v>מו"פ</v>
          </cell>
        </row>
        <row r="363">
          <cell r="A363" t="str">
            <v>רד סי אופטיקל נטוורק</v>
          </cell>
          <cell r="B363">
            <v>2004</v>
          </cell>
          <cell r="C363">
            <v>14</v>
          </cell>
          <cell r="D363" t="str">
            <v>אהרוני עופר</v>
          </cell>
          <cell r="E363">
            <v>7</v>
          </cell>
          <cell r="F363">
            <v>24</v>
          </cell>
          <cell r="G363" t="str">
            <v>שוויארוחות</v>
          </cell>
          <cell r="H363">
            <v>450</v>
          </cell>
          <cell r="I363">
            <v>1</v>
          </cell>
          <cell r="J363" t="str">
            <v>מו"פ</v>
          </cell>
        </row>
        <row r="364">
          <cell r="A364" t="str">
            <v>רד סי אופטיקל נטוורק</v>
          </cell>
          <cell r="B364">
            <v>2004</v>
          </cell>
          <cell r="C364">
            <v>14</v>
          </cell>
          <cell r="D364" t="str">
            <v>אהרוני עופר</v>
          </cell>
          <cell r="E364">
            <v>7</v>
          </cell>
          <cell r="F364">
            <v>40</v>
          </cell>
          <cell r="G364" t="str">
            <v>רכב קב' 2</v>
          </cell>
          <cell r="H364">
            <v>980</v>
          </cell>
          <cell r="I364">
            <v>0</v>
          </cell>
          <cell r="J364" t="str">
            <v>מו"פ</v>
          </cell>
        </row>
        <row r="365">
          <cell r="A365" t="str">
            <v>רד סי אופטיקל נטוורק</v>
          </cell>
          <cell r="B365">
            <v>2004</v>
          </cell>
          <cell r="C365">
            <v>14</v>
          </cell>
          <cell r="D365" t="str">
            <v>אהרוני עופר</v>
          </cell>
          <cell r="E365">
            <v>7</v>
          </cell>
          <cell r="F365">
            <v>91</v>
          </cell>
          <cell r="G365" t="str">
            <v>זק.השתלמות</v>
          </cell>
          <cell r="H365">
            <v>483.29</v>
          </cell>
          <cell r="I365">
            <v>0</v>
          </cell>
          <cell r="J365" t="str">
            <v>מו"פ</v>
          </cell>
        </row>
        <row r="366">
          <cell r="A366" t="str">
            <v>רד סי אופטיקל נטוורק</v>
          </cell>
          <cell r="B366">
            <v>2004</v>
          </cell>
          <cell r="C366">
            <v>14</v>
          </cell>
          <cell r="D366" t="str">
            <v>אהרוני עופר</v>
          </cell>
          <cell r="E366">
            <v>8</v>
          </cell>
          <cell r="F366">
            <v>24</v>
          </cell>
          <cell r="G366" t="str">
            <v>שוויארוחות</v>
          </cell>
          <cell r="H366">
            <v>483</v>
          </cell>
          <cell r="I366">
            <v>23</v>
          </cell>
          <cell r="J366" t="str">
            <v>מו"פ</v>
          </cell>
        </row>
        <row r="367">
          <cell r="A367" t="str">
            <v>רד סי אופטיקל נטוורק</v>
          </cell>
          <cell r="B367">
            <v>2004</v>
          </cell>
          <cell r="C367">
            <v>14</v>
          </cell>
          <cell r="D367" t="str">
            <v>אהרוני עופר</v>
          </cell>
          <cell r="E367">
            <v>8</v>
          </cell>
          <cell r="F367">
            <v>40</v>
          </cell>
          <cell r="G367" t="str">
            <v>רכב קב' 2</v>
          </cell>
          <cell r="H367">
            <v>980</v>
          </cell>
          <cell r="I367">
            <v>0</v>
          </cell>
          <cell r="J367" t="str">
            <v>מו"פ</v>
          </cell>
        </row>
        <row r="368">
          <cell r="A368" t="str">
            <v>רד סי אופטיקל נטוורק</v>
          </cell>
          <cell r="B368">
            <v>2004</v>
          </cell>
          <cell r="C368">
            <v>14</v>
          </cell>
          <cell r="D368" t="str">
            <v>אהרוני עופר</v>
          </cell>
          <cell r="E368">
            <v>8</v>
          </cell>
          <cell r="F368">
            <v>91</v>
          </cell>
          <cell r="G368" t="str">
            <v>זק.השתלמות</v>
          </cell>
          <cell r="H368">
            <v>483.29</v>
          </cell>
          <cell r="I368">
            <v>0</v>
          </cell>
          <cell r="J368" t="str">
            <v>מו"פ</v>
          </cell>
        </row>
        <row r="369">
          <cell r="A369" t="str">
            <v>רד סי אופטיקל נטוורק</v>
          </cell>
          <cell r="B369">
            <v>2004</v>
          </cell>
          <cell r="C369">
            <v>14</v>
          </cell>
          <cell r="D369" t="str">
            <v>אהרוני עופר</v>
          </cell>
          <cell r="E369">
            <v>9</v>
          </cell>
          <cell r="F369">
            <v>22</v>
          </cell>
          <cell r="G369" t="str">
            <v>שווי מתנות</v>
          </cell>
          <cell r="H369">
            <v>459.25</v>
          </cell>
          <cell r="I369">
            <v>0</v>
          </cell>
          <cell r="J369" t="str">
            <v>מו"פ</v>
          </cell>
        </row>
        <row r="370">
          <cell r="A370" t="str">
            <v>רד סי אופטיקל נטוורק</v>
          </cell>
          <cell r="B370">
            <v>2004</v>
          </cell>
          <cell r="C370">
            <v>14</v>
          </cell>
          <cell r="D370" t="str">
            <v>אהרוני עופר</v>
          </cell>
          <cell r="E370">
            <v>9</v>
          </cell>
          <cell r="F370">
            <v>24</v>
          </cell>
          <cell r="G370" t="str">
            <v>שוויארוחות</v>
          </cell>
          <cell r="H370">
            <v>378</v>
          </cell>
          <cell r="I370">
            <v>18</v>
          </cell>
          <cell r="J370" t="str">
            <v>מו"פ</v>
          </cell>
        </row>
        <row r="371">
          <cell r="A371" t="str">
            <v>רד סי אופטיקל נטוורק</v>
          </cell>
          <cell r="B371">
            <v>2004</v>
          </cell>
          <cell r="C371">
            <v>14</v>
          </cell>
          <cell r="D371" t="str">
            <v>אהרוני עופר</v>
          </cell>
          <cell r="E371">
            <v>9</v>
          </cell>
          <cell r="F371">
            <v>40</v>
          </cell>
          <cell r="G371" t="str">
            <v>רכב קב' 2</v>
          </cell>
          <cell r="H371">
            <v>980</v>
          </cell>
          <cell r="I371">
            <v>0</v>
          </cell>
          <cell r="J371" t="str">
            <v>מו"פ</v>
          </cell>
        </row>
        <row r="372">
          <cell r="A372" t="str">
            <v>רד סי אופטיקל נטוורק</v>
          </cell>
          <cell r="B372">
            <v>2004</v>
          </cell>
          <cell r="C372">
            <v>14</v>
          </cell>
          <cell r="D372" t="str">
            <v>אהרוני עופר</v>
          </cell>
          <cell r="E372">
            <v>9</v>
          </cell>
          <cell r="F372">
            <v>91</v>
          </cell>
          <cell r="G372" t="str">
            <v>זק.השתלמות</v>
          </cell>
          <cell r="H372">
            <v>483.29</v>
          </cell>
          <cell r="I372">
            <v>0</v>
          </cell>
          <cell r="J372" t="str">
            <v>מו"פ</v>
          </cell>
        </row>
        <row r="373">
          <cell r="A373" t="str">
            <v>רד סי אופטיקל נטוורק</v>
          </cell>
          <cell r="B373">
            <v>2004</v>
          </cell>
          <cell r="C373">
            <v>14</v>
          </cell>
          <cell r="D373" t="str">
            <v>אהרוני עופר</v>
          </cell>
          <cell r="E373">
            <v>10</v>
          </cell>
          <cell r="F373">
            <v>24</v>
          </cell>
          <cell r="G373" t="str">
            <v>שוויארוחות</v>
          </cell>
          <cell r="H373">
            <v>399</v>
          </cell>
          <cell r="I373">
            <v>19</v>
          </cell>
          <cell r="J373" t="str">
            <v>מו"פ</v>
          </cell>
        </row>
        <row r="374">
          <cell r="A374" t="str">
            <v>רד סי אופטיקל נטוורק</v>
          </cell>
          <cell r="B374">
            <v>2004</v>
          </cell>
          <cell r="C374">
            <v>14</v>
          </cell>
          <cell r="D374" t="str">
            <v>אהרוני עופר</v>
          </cell>
          <cell r="E374">
            <v>10</v>
          </cell>
          <cell r="F374">
            <v>40</v>
          </cell>
          <cell r="G374" t="str">
            <v>רכב קב' 2</v>
          </cell>
          <cell r="H374">
            <v>980</v>
          </cell>
          <cell r="I374">
            <v>0</v>
          </cell>
          <cell r="J374" t="str">
            <v>מו"פ</v>
          </cell>
        </row>
        <row r="375">
          <cell r="A375" t="str">
            <v>רד סי אופטיקל נטוורק</v>
          </cell>
          <cell r="B375">
            <v>2004</v>
          </cell>
          <cell r="C375">
            <v>14</v>
          </cell>
          <cell r="D375" t="str">
            <v>אהרוני עופר</v>
          </cell>
          <cell r="E375">
            <v>10</v>
          </cell>
          <cell r="F375">
            <v>91</v>
          </cell>
          <cell r="G375" t="str">
            <v>זק.השתלמות</v>
          </cell>
          <cell r="H375">
            <v>483.29</v>
          </cell>
          <cell r="I375">
            <v>0</v>
          </cell>
          <cell r="J375" t="str">
            <v>מו"פ</v>
          </cell>
        </row>
        <row r="376">
          <cell r="A376" t="str">
            <v>רד סי אופטיקל נטוורק</v>
          </cell>
          <cell r="B376">
            <v>2004</v>
          </cell>
          <cell r="C376">
            <v>14</v>
          </cell>
          <cell r="D376" t="str">
            <v>אהרוני עופר</v>
          </cell>
          <cell r="E376">
            <v>11</v>
          </cell>
          <cell r="F376">
            <v>24</v>
          </cell>
          <cell r="G376" t="str">
            <v>שוויארוחות</v>
          </cell>
          <cell r="H376">
            <v>441</v>
          </cell>
          <cell r="I376">
            <v>21</v>
          </cell>
          <cell r="J376" t="str">
            <v>מו"פ</v>
          </cell>
        </row>
        <row r="377">
          <cell r="A377" t="str">
            <v>רד סי אופטיקל נטוורק</v>
          </cell>
          <cell r="B377">
            <v>2004</v>
          </cell>
          <cell r="C377">
            <v>14</v>
          </cell>
          <cell r="D377" t="str">
            <v>אהרוני עופר</v>
          </cell>
          <cell r="E377">
            <v>11</v>
          </cell>
          <cell r="F377">
            <v>40</v>
          </cell>
          <cell r="G377" t="str">
            <v>רכב קב' 2</v>
          </cell>
          <cell r="H377">
            <v>980</v>
          </cell>
          <cell r="I377">
            <v>0</v>
          </cell>
          <cell r="J377" t="str">
            <v>מו"פ</v>
          </cell>
        </row>
        <row r="378">
          <cell r="A378" t="str">
            <v>רד סי אופטיקל נטוורק</v>
          </cell>
          <cell r="B378">
            <v>2004</v>
          </cell>
          <cell r="C378">
            <v>14</v>
          </cell>
          <cell r="D378" t="str">
            <v>אהרוני עופר</v>
          </cell>
          <cell r="E378">
            <v>11</v>
          </cell>
          <cell r="F378">
            <v>91</v>
          </cell>
          <cell r="G378" t="str">
            <v>זק.השתלמות</v>
          </cell>
          <cell r="H378">
            <v>483.29</v>
          </cell>
          <cell r="I378">
            <v>0</v>
          </cell>
          <cell r="J378" t="str">
            <v>מו"פ</v>
          </cell>
        </row>
        <row r="379">
          <cell r="A379" t="str">
            <v>רד סי אופטיקל נטוורק</v>
          </cell>
          <cell r="B379">
            <v>2004</v>
          </cell>
          <cell r="C379">
            <v>14</v>
          </cell>
          <cell r="D379" t="str">
            <v>אהרוני עופר</v>
          </cell>
          <cell r="E379">
            <v>12</v>
          </cell>
          <cell r="F379">
            <v>22</v>
          </cell>
          <cell r="G379" t="str">
            <v>שווי מתנות</v>
          </cell>
          <cell r="H379">
            <v>0</v>
          </cell>
          <cell r="I379">
            <v>0</v>
          </cell>
          <cell r="J379" t="str">
            <v>מו"פ</v>
          </cell>
        </row>
        <row r="380">
          <cell r="A380" t="str">
            <v>רד סי אופטיקל נטוורק</v>
          </cell>
          <cell r="B380">
            <v>2004</v>
          </cell>
          <cell r="C380">
            <v>14</v>
          </cell>
          <cell r="D380" t="str">
            <v>אהרוני עופר</v>
          </cell>
          <cell r="E380">
            <v>12</v>
          </cell>
          <cell r="F380">
            <v>24</v>
          </cell>
          <cell r="G380" t="str">
            <v>שוויארוחות</v>
          </cell>
          <cell r="H380">
            <v>462</v>
          </cell>
          <cell r="I380">
            <v>22</v>
          </cell>
          <cell r="J380" t="str">
            <v>מו"פ</v>
          </cell>
        </row>
        <row r="381">
          <cell r="A381" t="str">
            <v>רד סי אופטיקל נטוורק</v>
          </cell>
          <cell r="B381">
            <v>2004</v>
          </cell>
          <cell r="C381">
            <v>14</v>
          </cell>
          <cell r="D381" t="str">
            <v>אהרוני עופר</v>
          </cell>
          <cell r="E381">
            <v>12</v>
          </cell>
          <cell r="F381">
            <v>40</v>
          </cell>
          <cell r="G381" t="str">
            <v>רכב קב' 2</v>
          </cell>
          <cell r="H381">
            <v>980</v>
          </cell>
          <cell r="I381">
            <v>0</v>
          </cell>
          <cell r="J381" t="str">
            <v>מו"פ</v>
          </cell>
        </row>
        <row r="382">
          <cell r="A382" t="str">
            <v>רד סי אופטיקל נטוורק</v>
          </cell>
          <cell r="B382">
            <v>2004</v>
          </cell>
          <cell r="C382">
            <v>14</v>
          </cell>
          <cell r="D382" t="str">
            <v>אהרוני עופר</v>
          </cell>
          <cell r="E382">
            <v>12</v>
          </cell>
          <cell r="F382">
            <v>91</v>
          </cell>
          <cell r="G382" t="str">
            <v>זק.השתלמות</v>
          </cell>
          <cell r="H382">
            <v>483.29</v>
          </cell>
          <cell r="I382">
            <v>0</v>
          </cell>
          <cell r="J382" t="str">
            <v>מו"פ</v>
          </cell>
        </row>
        <row r="383">
          <cell r="A383" t="str">
            <v>רד סי אופטיקל נטוורק</v>
          </cell>
          <cell r="B383">
            <v>2004</v>
          </cell>
          <cell r="C383">
            <v>15</v>
          </cell>
          <cell r="D383" t="str">
            <v>בלכר אלכסנדר</v>
          </cell>
          <cell r="E383">
            <v>1</v>
          </cell>
          <cell r="F383">
            <v>24</v>
          </cell>
          <cell r="G383" t="str">
            <v>שוויארוחות</v>
          </cell>
          <cell r="H383">
            <v>450</v>
          </cell>
          <cell r="I383">
            <v>0</v>
          </cell>
          <cell r="J383" t="str">
            <v>מו"פ</v>
          </cell>
        </row>
        <row r="384">
          <cell r="A384" t="str">
            <v>רד סי אופטיקל נטוורק</v>
          </cell>
          <cell r="B384">
            <v>2004</v>
          </cell>
          <cell r="C384">
            <v>15</v>
          </cell>
          <cell r="D384" t="str">
            <v>בלכר אלכסנדר</v>
          </cell>
          <cell r="E384">
            <v>2</v>
          </cell>
          <cell r="F384">
            <v>24</v>
          </cell>
          <cell r="G384" t="str">
            <v>שוויארוחות</v>
          </cell>
          <cell r="H384">
            <v>450</v>
          </cell>
          <cell r="I384">
            <v>0</v>
          </cell>
          <cell r="J384" t="str">
            <v>מו"פ</v>
          </cell>
        </row>
        <row r="385">
          <cell r="A385" t="str">
            <v>רד סי אופטיקל נטוורק</v>
          </cell>
          <cell r="B385">
            <v>2004</v>
          </cell>
          <cell r="C385">
            <v>15</v>
          </cell>
          <cell r="D385" t="str">
            <v>בלכר אלכסנדר</v>
          </cell>
          <cell r="E385">
            <v>3</v>
          </cell>
          <cell r="F385">
            <v>22</v>
          </cell>
          <cell r="G385" t="str">
            <v>שווי מתנות</v>
          </cell>
          <cell r="H385">
            <v>186.25</v>
          </cell>
          <cell r="I385">
            <v>0</v>
          </cell>
          <cell r="J385" t="str">
            <v>מו"פ</v>
          </cell>
        </row>
        <row r="386">
          <cell r="A386" t="str">
            <v>רד סי אופטיקל נטוורק</v>
          </cell>
          <cell r="B386">
            <v>2004</v>
          </cell>
          <cell r="C386">
            <v>15</v>
          </cell>
          <cell r="D386" t="str">
            <v>בלכר אלכסנדר</v>
          </cell>
          <cell r="E386">
            <v>3</v>
          </cell>
          <cell r="F386">
            <v>24</v>
          </cell>
          <cell r="G386" t="str">
            <v>שוויארוחות</v>
          </cell>
          <cell r="H386">
            <v>450</v>
          </cell>
          <cell r="I386">
            <v>0</v>
          </cell>
          <cell r="J386" t="str">
            <v>מו"פ</v>
          </cell>
        </row>
        <row r="387">
          <cell r="A387" t="str">
            <v>רד סי אופטיקל נטוורק</v>
          </cell>
          <cell r="B387">
            <v>2004</v>
          </cell>
          <cell r="C387">
            <v>15</v>
          </cell>
          <cell r="D387" t="str">
            <v>בלכר אלכסנדר</v>
          </cell>
          <cell r="E387">
            <v>4</v>
          </cell>
          <cell r="F387">
            <v>24</v>
          </cell>
          <cell r="G387" t="str">
            <v>שוויארוחות</v>
          </cell>
          <cell r="H387">
            <v>450</v>
          </cell>
          <cell r="I387">
            <v>0</v>
          </cell>
          <cell r="J387" t="str">
            <v>מו"פ</v>
          </cell>
        </row>
        <row r="388">
          <cell r="A388" t="str">
            <v>רד סי אופטיקל נטוורק</v>
          </cell>
          <cell r="B388">
            <v>2004</v>
          </cell>
          <cell r="C388">
            <v>15</v>
          </cell>
          <cell r="D388" t="str">
            <v>בלכר אלכסנדר</v>
          </cell>
          <cell r="E388">
            <v>5</v>
          </cell>
          <cell r="F388">
            <v>24</v>
          </cell>
          <cell r="G388" t="str">
            <v>שוויארוחות</v>
          </cell>
          <cell r="H388">
            <v>450</v>
          </cell>
          <cell r="I388">
            <v>0</v>
          </cell>
          <cell r="J388" t="str">
            <v>מו"פ</v>
          </cell>
        </row>
        <row r="389">
          <cell r="A389" t="str">
            <v>רד סי אופטיקל נטוורק</v>
          </cell>
          <cell r="B389">
            <v>2004</v>
          </cell>
          <cell r="C389">
            <v>15</v>
          </cell>
          <cell r="D389" t="str">
            <v>בלכר אלכסנדר</v>
          </cell>
          <cell r="E389">
            <v>6</v>
          </cell>
          <cell r="F389">
            <v>24</v>
          </cell>
          <cell r="G389" t="str">
            <v>שוויארוחות</v>
          </cell>
          <cell r="H389">
            <v>450</v>
          </cell>
          <cell r="I389">
            <v>0</v>
          </cell>
          <cell r="J389" t="str">
            <v>מו"פ</v>
          </cell>
        </row>
        <row r="390">
          <cell r="A390" t="str">
            <v>רד סי אופטיקל נטוורק</v>
          </cell>
          <cell r="B390">
            <v>2004</v>
          </cell>
          <cell r="C390">
            <v>15</v>
          </cell>
          <cell r="D390" t="str">
            <v>בלכר אלכסנדר</v>
          </cell>
          <cell r="E390">
            <v>7</v>
          </cell>
          <cell r="F390">
            <v>24</v>
          </cell>
          <cell r="G390" t="str">
            <v>שוויארוחות</v>
          </cell>
          <cell r="H390">
            <v>450</v>
          </cell>
          <cell r="I390">
            <v>0</v>
          </cell>
          <cell r="J390" t="str">
            <v>מו"פ</v>
          </cell>
        </row>
        <row r="391">
          <cell r="A391" t="str">
            <v>רד סי אופטיקל נטוורק</v>
          </cell>
          <cell r="B391">
            <v>2004</v>
          </cell>
          <cell r="C391">
            <v>15</v>
          </cell>
          <cell r="D391" t="str">
            <v>בלכר אלכסנדר</v>
          </cell>
          <cell r="E391">
            <v>8</v>
          </cell>
          <cell r="F391">
            <v>24</v>
          </cell>
          <cell r="G391" t="str">
            <v>שוויארוחות</v>
          </cell>
          <cell r="H391">
            <v>483</v>
          </cell>
          <cell r="I391">
            <v>23</v>
          </cell>
          <cell r="J391" t="str">
            <v>מו"פ</v>
          </cell>
        </row>
        <row r="392">
          <cell r="A392" t="str">
            <v>רד סי אופטיקל נטוורק</v>
          </cell>
          <cell r="B392">
            <v>2004</v>
          </cell>
          <cell r="C392">
            <v>15</v>
          </cell>
          <cell r="D392" t="str">
            <v>בלכר אלכסנדר</v>
          </cell>
          <cell r="E392">
            <v>9</v>
          </cell>
          <cell r="F392">
            <v>22</v>
          </cell>
          <cell r="G392" t="str">
            <v>שווי מתנות</v>
          </cell>
          <cell r="H392">
            <v>459.25</v>
          </cell>
          <cell r="I392">
            <v>0</v>
          </cell>
          <cell r="J392" t="str">
            <v>מו"פ</v>
          </cell>
        </row>
        <row r="393">
          <cell r="A393" t="str">
            <v>רד סי אופטיקל נטוורק</v>
          </cell>
          <cell r="B393">
            <v>2004</v>
          </cell>
          <cell r="C393">
            <v>15</v>
          </cell>
          <cell r="D393" t="str">
            <v>בלכר אלכסנדר</v>
          </cell>
          <cell r="E393">
            <v>9</v>
          </cell>
          <cell r="F393">
            <v>24</v>
          </cell>
          <cell r="G393" t="str">
            <v>שוויארוחות</v>
          </cell>
          <cell r="H393">
            <v>378</v>
          </cell>
          <cell r="I393">
            <v>18</v>
          </cell>
          <cell r="J393" t="str">
            <v>מו"פ</v>
          </cell>
        </row>
        <row r="394">
          <cell r="A394" t="str">
            <v>רד סי אופטיקל נטוורק</v>
          </cell>
          <cell r="B394">
            <v>2004</v>
          </cell>
          <cell r="C394">
            <v>15</v>
          </cell>
          <cell r="D394" t="str">
            <v>בלכר אלכסנדר</v>
          </cell>
          <cell r="E394">
            <v>10</v>
          </cell>
          <cell r="F394">
            <v>24</v>
          </cell>
          <cell r="G394" t="str">
            <v>שוויארוחות</v>
          </cell>
          <cell r="H394">
            <v>399</v>
          </cell>
          <cell r="I394">
            <v>19</v>
          </cell>
          <cell r="J394" t="str">
            <v>מו"פ</v>
          </cell>
        </row>
        <row r="395">
          <cell r="A395" t="str">
            <v>רד סי אופטיקל נטוורק</v>
          </cell>
          <cell r="B395">
            <v>2004</v>
          </cell>
          <cell r="C395">
            <v>15</v>
          </cell>
          <cell r="D395" t="str">
            <v>בלכר אלכסנדר</v>
          </cell>
          <cell r="E395">
            <v>11</v>
          </cell>
          <cell r="F395">
            <v>24</v>
          </cell>
          <cell r="G395" t="str">
            <v>שוויארוחות</v>
          </cell>
          <cell r="H395">
            <v>441</v>
          </cell>
          <cell r="I395">
            <v>21</v>
          </cell>
          <cell r="J395" t="str">
            <v>מו"פ</v>
          </cell>
        </row>
        <row r="396">
          <cell r="A396" t="str">
            <v>רד סי אופטיקל נטוורק</v>
          </cell>
          <cell r="B396">
            <v>2004</v>
          </cell>
          <cell r="C396">
            <v>15</v>
          </cell>
          <cell r="D396" t="str">
            <v>בלכר אלכסנדר</v>
          </cell>
          <cell r="E396">
            <v>12</v>
          </cell>
          <cell r="F396">
            <v>22</v>
          </cell>
          <cell r="G396" t="str">
            <v>שווי מתנות</v>
          </cell>
          <cell r="H396">
            <v>0</v>
          </cell>
          <cell r="I396">
            <v>0</v>
          </cell>
          <cell r="J396" t="str">
            <v>מו"פ</v>
          </cell>
        </row>
        <row r="397">
          <cell r="A397" t="str">
            <v>רד סי אופטיקל נטוורק</v>
          </cell>
          <cell r="B397">
            <v>2004</v>
          </cell>
          <cell r="C397">
            <v>15</v>
          </cell>
          <cell r="D397" t="str">
            <v>בלכר אלכסנדר</v>
          </cell>
          <cell r="E397">
            <v>12</v>
          </cell>
          <cell r="F397">
            <v>24</v>
          </cell>
          <cell r="G397" t="str">
            <v>שוויארוחות</v>
          </cell>
          <cell r="H397">
            <v>462</v>
          </cell>
          <cell r="I397">
            <v>22</v>
          </cell>
          <cell r="J397" t="str">
            <v>מו"פ</v>
          </cell>
        </row>
        <row r="398">
          <cell r="A398" t="str">
            <v>רד סי אופטיקל נטוורק</v>
          </cell>
          <cell r="B398">
            <v>2004</v>
          </cell>
          <cell r="C398">
            <v>19</v>
          </cell>
          <cell r="D398" t="str">
            <v>אוגנסיאן גריגור</v>
          </cell>
          <cell r="E398">
            <v>1</v>
          </cell>
          <cell r="F398">
            <v>24</v>
          </cell>
          <cell r="G398" t="str">
            <v>שוויארוחות</v>
          </cell>
          <cell r="H398">
            <v>450</v>
          </cell>
          <cell r="I398">
            <v>1</v>
          </cell>
          <cell r="J398" t="str">
            <v>ייצור</v>
          </cell>
        </row>
        <row r="399">
          <cell r="A399" t="str">
            <v>רד סי אופטיקל נטוורק</v>
          </cell>
          <cell r="B399">
            <v>2004</v>
          </cell>
          <cell r="C399">
            <v>19</v>
          </cell>
          <cell r="D399" t="str">
            <v>אוגנסיאן גריגור</v>
          </cell>
          <cell r="E399">
            <v>2</v>
          </cell>
          <cell r="F399">
            <v>24</v>
          </cell>
          <cell r="G399" t="str">
            <v>שוויארוחות</v>
          </cell>
          <cell r="H399">
            <v>450</v>
          </cell>
          <cell r="I399">
            <v>1</v>
          </cell>
          <cell r="J399" t="str">
            <v>ייצור</v>
          </cell>
        </row>
        <row r="400">
          <cell r="A400" t="str">
            <v>רד סי אופטיקל נטוורק</v>
          </cell>
          <cell r="B400">
            <v>2004</v>
          </cell>
          <cell r="C400">
            <v>19</v>
          </cell>
          <cell r="D400" t="str">
            <v>אוגנסיאן גריגור</v>
          </cell>
          <cell r="E400">
            <v>3</v>
          </cell>
          <cell r="F400">
            <v>22</v>
          </cell>
          <cell r="G400" t="str">
            <v>שווי מתנות</v>
          </cell>
          <cell r="H400">
            <v>186.25</v>
          </cell>
          <cell r="I400">
            <v>0</v>
          </cell>
          <cell r="J400" t="str">
            <v>ייצור</v>
          </cell>
        </row>
        <row r="401">
          <cell r="A401" t="str">
            <v>רד סי אופטיקל נטוורק</v>
          </cell>
          <cell r="B401">
            <v>2004</v>
          </cell>
          <cell r="C401">
            <v>19</v>
          </cell>
          <cell r="D401" t="str">
            <v>אוגנסיאן גריגור</v>
          </cell>
          <cell r="E401">
            <v>3</v>
          </cell>
          <cell r="F401">
            <v>24</v>
          </cell>
          <cell r="G401" t="str">
            <v>שוויארוחות</v>
          </cell>
          <cell r="H401">
            <v>450</v>
          </cell>
          <cell r="I401">
            <v>1</v>
          </cell>
          <cell r="J401" t="str">
            <v>ייצור</v>
          </cell>
        </row>
        <row r="402">
          <cell r="A402" t="str">
            <v>רד סי אופטיקל נטוורק</v>
          </cell>
          <cell r="B402">
            <v>2004</v>
          </cell>
          <cell r="C402">
            <v>19</v>
          </cell>
          <cell r="D402" t="str">
            <v>אוגנסיאן גריגור</v>
          </cell>
          <cell r="E402">
            <v>4</v>
          </cell>
          <cell r="F402">
            <v>24</v>
          </cell>
          <cell r="G402" t="str">
            <v>שוויארוחות</v>
          </cell>
          <cell r="H402">
            <v>450</v>
          </cell>
          <cell r="I402">
            <v>1</v>
          </cell>
          <cell r="J402" t="str">
            <v>ייצור</v>
          </cell>
        </row>
        <row r="403">
          <cell r="A403" t="str">
            <v>רד סי אופטיקל נטוורק</v>
          </cell>
          <cell r="B403">
            <v>2004</v>
          </cell>
          <cell r="C403">
            <v>19</v>
          </cell>
          <cell r="D403" t="str">
            <v>אוגנסיאן גריגור</v>
          </cell>
          <cell r="E403">
            <v>5</v>
          </cell>
          <cell r="F403">
            <v>24</v>
          </cell>
          <cell r="G403" t="str">
            <v>שוויארוחות</v>
          </cell>
          <cell r="H403">
            <v>450</v>
          </cell>
          <cell r="I403">
            <v>1</v>
          </cell>
          <cell r="J403" t="str">
            <v>ייצור</v>
          </cell>
        </row>
        <row r="404">
          <cell r="A404" t="str">
            <v>רד סי אופטיקל נטוורק</v>
          </cell>
          <cell r="B404">
            <v>2004</v>
          </cell>
          <cell r="C404">
            <v>19</v>
          </cell>
          <cell r="D404" t="str">
            <v>אוגנסיאן גריגור</v>
          </cell>
          <cell r="E404">
            <v>6</v>
          </cell>
          <cell r="F404">
            <v>24</v>
          </cell>
          <cell r="G404" t="str">
            <v>שוויארוחות</v>
          </cell>
          <cell r="H404">
            <v>450</v>
          </cell>
          <cell r="I404">
            <v>1</v>
          </cell>
          <cell r="J404" t="str">
            <v>ייצור</v>
          </cell>
        </row>
        <row r="405">
          <cell r="A405" t="str">
            <v>רד סי אופטיקל נטוורק</v>
          </cell>
          <cell r="B405">
            <v>2004</v>
          </cell>
          <cell r="C405">
            <v>19</v>
          </cell>
          <cell r="D405" t="str">
            <v>אוגנסיאן גריגור</v>
          </cell>
          <cell r="E405">
            <v>7</v>
          </cell>
          <cell r="F405">
            <v>24</v>
          </cell>
          <cell r="G405" t="str">
            <v>שוויארוחות</v>
          </cell>
          <cell r="H405">
            <v>450</v>
          </cell>
          <cell r="I405">
            <v>1</v>
          </cell>
          <cell r="J405" t="str">
            <v>ייצור</v>
          </cell>
        </row>
        <row r="406">
          <cell r="A406" t="str">
            <v>רד סי אופטיקל נטוורק</v>
          </cell>
          <cell r="B406">
            <v>2004</v>
          </cell>
          <cell r="C406">
            <v>19</v>
          </cell>
          <cell r="D406" t="str">
            <v>אוגנסיאן גריגור</v>
          </cell>
          <cell r="E406">
            <v>8</v>
          </cell>
          <cell r="F406">
            <v>24</v>
          </cell>
          <cell r="G406" t="str">
            <v>שוויארוחות</v>
          </cell>
          <cell r="H406">
            <v>483</v>
          </cell>
          <cell r="I406">
            <v>23</v>
          </cell>
          <cell r="J406" t="str">
            <v>ייצור</v>
          </cell>
        </row>
        <row r="407">
          <cell r="A407" t="str">
            <v>רד סי אופטיקל נטוורק</v>
          </cell>
          <cell r="B407">
            <v>2004</v>
          </cell>
          <cell r="C407">
            <v>19</v>
          </cell>
          <cell r="D407" t="str">
            <v>אוגנסיאן גריגור</v>
          </cell>
          <cell r="E407">
            <v>9</v>
          </cell>
          <cell r="F407">
            <v>22</v>
          </cell>
          <cell r="G407" t="str">
            <v>שווי מתנות</v>
          </cell>
          <cell r="H407">
            <v>459.25</v>
          </cell>
          <cell r="I407">
            <v>0</v>
          </cell>
          <cell r="J407" t="str">
            <v>ייצור</v>
          </cell>
        </row>
        <row r="408">
          <cell r="A408" t="str">
            <v>רד סי אופטיקל נטוורק</v>
          </cell>
          <cell r="B408">
            <v>2004</v>
          </cell>
          <cell r="C408">
            <v>19</v>
          </cell>
          <cell r="D408" t="str">
            <v>אוגנסיאן גריגור</v>
          </cell>
          <cell r="E408">
            <v>9</v>
          </cell>
          <cell r="F408">
            <v>24</v>
          </cell>
          <cell r="G408" t="str">
            <v>שוויארוחות</v>
          </cell>
          <cell r="H408">
            <v>378</v>
          </cell>
          <cell r="I408">
            <v>18</v>
          </cell>
          <cell r="J408" t="str">
            <v>ייצור</v>
          </cell>
        </row>
        <row r="409">
          <cell r="A409" t="str">
            <v>רד סי אופטיקל נטוורק</v>
          </cell>
          <cell r="B409">
            <v>2004</v>
          </cell>
          <cell r="C409">
            <v>19</v>
          </cell>
          <cell r="D409" t="str">
            <v>אוגנסיאן גריגור</v>
          </cell>
          <cell r="E409">
            <v>10</v>
          </cell>
          <cell r="F409">
            <v>24</v>
          </cell>
          <cell r="G409" t="str">
            <v>שוויארוחות</v>
          </cell>
          <cell r="H409">
            <v>399</v>
          </cell>
          <cell r="I409">
            <v>19</v>
          </cell>
          <cell r="J409" t="str">
            <v>ייצור</v>
          </cell>
        </row>
        <row r="410">
          <cell r="A410" t="str">
            <v>רד סי אופטיקל נטוורק</v>
          </cell>
          <cell r="B410">
            <v>2004</v>
          </cell>
          <cell r="C410">
            <v>19</v>
          </cell>
          <cell r="D410" t="str">
            <v>אוגנסיאן גריגור</v>
          </cell>
          <cell r="E410">
            <v>11</v>
          </cell>
          <cell r="F410">
            <v>24</v>
          </cell>
          <cell r="G410" t="str">
            <v>שוויארוחות</v>
          </cell>
          <cell r="H410">
            <v>441</v>
          </cell>
          <cell r="I410">
            <v>21</v>
          </cell>
          <cell r="J410" t="str">
            <v>ייצור</v>
          </cell>
        </row>
        <row r="411">
          <cell r="A411" t="str">
            <v>רד סי אופטיקל נטוורק</v>
          </cell>
          <cell r="B411">
            <v>2004</v>
          </cell>
          <cell r="C411">
            <v>19</v>
          </cell>
          <cell r="D411" t="str">
            <v>אוגנסיאן גריגור</v>
          </cell>
          <cell r="E411">
            <v>12</v>
          </cell>
          <cell r="F411">
            <v>22</v>
          </cell>
          <cell r="G411" t="str">
            <v>שווי מתנות</v>
          </cell>
          <cell r="H411">
            <v>0</v>
          </cell>
          <cell r="I411">
            <v>0</v>
          </cell>
          <cell r="J411" t="str">
            <v>ייצור</v>
          </cell>
        </row>
        <row r="412">
          <cell r="A412" t="str">
            <v>רד סי אופטיקל נטוורק</v>
          </cell>
          <cell r="B412">
            <v>2004</v>
          </cell>
          <cell r="C412">
            <v>19</v>
          </cell>
          <cell r="D412" t="str">
            <v>אוגנסיאן גריגור</v>
          </cell>
          <cell r="E412">
            <v>12</v>
          </cell>
          <cell r="F412">
            <v>24</v>
          </cell>
          <cell r="G412" t="str">
            <v>שוויארוחות</v>
          </cell>
          <cell r="H412">
            <v>462</v>
          </cell>
          <cell r="I412">
            <v>22</v>
          </cell>
          <cell r="J412" t="str">
            <v>ייצור</v>
          </cell>
        </row>
        <row r="413">
          <cell r="A413" t="str">
            <v>רד סי אופטיקל נטוורק</v>
          </cell>
          <cell r="B413">
            <v>2004</v>
          </cell>
          <cell r="C413">
            <v>20</v>
          </cell>
          <cell r="D413" t="str">
            <v>פיגלביץ רוזלינד</v>
          </cell>
          <cell r="E413">
            <v>1</v>
          </cell>
          <cell r="F413">
            <v>24</v>
          </cell>
          <cell r="G413" t="str">
            <v>שוויארוחות</v>
          </cell>
          <cell r="H413">
            <v>450</v>
          </cell>
          <cell r="I413">
            <v>0</v>
          </cell>
          <cell r="J413" t="str">
            <v>הנהלה</v>
          </cell>
        </row>
        <row r="414">
          <cell r="A414" t="str">
            <v>רד סי אופטיקל נטוורק</v>
          </cell>
          <cell r="B414">
            <v>2004</v>
          </cell>
          <cell r="C414">
            <v>20</v>
          </cell>
          <cell r="D414" t="str">
            <v>פיגלביץ רוזלינד</v>
          </cell>
          <cell r="E414">
            <v>2</v>
          </cell>
          <cell r="F414">
            <v>24</v>
          </cell>
          <cell r="G414" t="str">
            <v>שוויארוחות</v>
          </cell>
          <cell r="H414">
            <v>450</v>
          </cell>
          <cell r="I414">
            <v>0</v>
          </cell>
          <cell r="J414" t="str">
            <v>הנהלה</v>
          </cell>
        </row>
        <row r="415">
          <cell r="A415" t="str">
            <v>רד סי אופטיקל נטוורק</v>
          </cell>
          <cell r="B415">
            <v>2004</v>
          </cell>
          <cell r="C415">
            <v>20</v>
          </cell>
          <cell r="D415" t="str">
            <v>פיגלביץ רוזלינד</v>
          </cell>
          <cell r="E415">
            <v>3</v>
          </cell>
          <cell r="F415">
            <v>22</v>
          </cell>
          <cell r="G415" t="str">
            <v>שווי מתנות</v>
          </cell>
          <cell r="H415">
            <v>186.25</v>
          </cell>
          <cell r="I415">
            <v>0</v>
          </cell>
          <cell r="J415" t="str">
            <v>הנהלה</v>
          </cell>
        </row>
        <row r="416">
          <cell r="A416" t="str">
            <v>רד סי אופטיקל נטוורק</v>
          </cell>
          <cell r="B416">
            <v>2004</v>
          </cell>
          <cell r="C416">
            <v>20</v>
          </cell>
          <cell r="D416" t="str">
            <v>פיגלביץ רוזלינד</v>
          </cell>
          <cell r="E416">
            <v>3</v>
          </cell>
          <cell r="F416">
            <v>24</v>
          </cell>
          <cell r="G416" t="str">
            <v>שוויארוחות</v>
          </cell>
          <cell r="H416">
            <v>450</v>
          </cell>
          <cell r="I416">
            <v>0</v>
          </cell>
          <cell r="J416" t="str">
            <v>הנהלה</v>
          </cell>
        </row>
        <row r="417">
          <cell r="A417" t="str">
            <v>רד סי אופטיקל נטוורק</v>
          </cell>
          <cell r="B417">
            <v>2004</v>
          </cell>
          <cell r="C417">
            <v>20</v>
          </cell>
          <cell r="D417" t="str">
            <v>פיגלביץ רוזלינד</v>
          </cell>
          <cell r="E417">
            <v>4</v>
          </cell>
          <cell r="F417">
            <v>24</v>
          </cell>
          <cell r="G417" t="str">
            <v>שוויארוחות</v>
          </cell>
          <cell r="H417">
            <v>450</v>
          </cell>
          <cell r="I417">
            <v>0</v>
          </cell>
          <cell r="J417" t="str">
            <v>הנהלה</v>
          </cell>
        </row>
        <row r="418">
          <cell r="A418" t="str">
            <v>רד סי אופטיקל נטוורק</v>
          </cell>
          <cell r="B418">
            <v>2004</v>
          </cell>
          <cell r="C418">
            <v>20</v>
          </cell>
          <cell r="D418" t="str">
            <v>פיגלביץ רוזלינד</v>
          </cell>
          <cell r="E418">
            <v>5</v>
          </cell>
          <cell r="F418">
            <v>24</v>
          </cell>
          <cell r="G418" t="str">
            <v>שוויארוחות</v>
          </cell>
          <cell r="H418">
            <v>450</v>
          </cell>
          <cell r="I418">
            <v>0</v>
          </cell>
          <cell r="J418" t="str">
            <v>הנהלה</v>
          </cell>
        </row>
        <row r="419">
          <cell r="A419" t="str">
            <v>רד סי אופטיקל נטוורק</v>
          </cell>
          <cell r="B419">
            <v>2004</v>
          </cell>
          <cell r="C419">
            <v>20</v>
          </cell>
          <cell r="D419" t="str">
            <v>פיגלביץ רוזלינד</v>
          </cell>
          <cell r="E419">
            <v>6</v>
          </cell>
          <cell r="F419">
            <v>24</v>
          </cell>
          <cell r="G419" t="str">
            <v>שוויארוחות</v>
          </cell>
          <cell r="H419">
            <v>450</v>
          </cell>
          <cell r="I419">
            <v>0</v>
          </cell>
          <cell r="J419" t="str">
            <v>הנהלה</v>
          </cell>
        </row>
        <row r="420">
          <cell r="A420" t="str">
            <v>רד סי אופטיקל נטוורק</v>
          </cell>
          <cell r="B420">
            <v>2004</v>
          </cell>
          <cell r="C420">
            <v>20</v>
          </cell>
          <cell r="D420" t="str">
            <v>פיגלביץ רוזלינד</v>
          </cell>
          <cell r="E420">
            <v>7</v>
          </cell>
          <cell r="F420">
            <v>24</v>
          </cell>
          <cell r="G420" t="str">
            <v>שוויארוחות</v>
          </cell>
          <cell r="H420">
            <v>450</v>
          </cell>
          <cell r="I420">
            <v>0</v>
          </cell>
          <cell r="J420" t="str">
            <v>הנהלה</v>
          </cell>
        </row>
        <row r="421">
          <cell r="A421" t="str">
            <v>רד סי אופטיקל נטוורק</v>
          </cell>
          <cell r="B421">
            <v>2004</v>
          </cell>
          <cell r="C421">
            <v>20</v>
          </cell>
          <cell r="D421" t="str">
            <v>פיגלביץ רוזלינד</v>
          </cell>
          <cell r="E421">
            <v>8</v>
          </cell>
          <cell r="F421">
            <v>24</v>
          </cell>
          <cell r="G421" t="str">
            <v>שוויארוחות</v>
          </cell>
          <cell r="H421">
            <v>483</v>
          </cell>
          <cell r="I421">
            <v>23</v>
          </cell>
          <cell r="J421" t="str">
            <v>הנהלה</v>
          </cell>
        </row>
        <row r="422">
          <cell r="A422" t="str">
            <v>רד סי אופטיקל נטוורק</v>
          </cell>
          <cell r="B422">
            <v>2004</v>
          </cell>
          <cell r="C422">
            <v>20</v>
          </cell>
          <cell r="D422" t="str">
            <v>פיגלביץ רוזלינד</v>
          </cell>
          <cell r="E422">
            <v>9</v>
          </cell>
          <cell r="F422">
            <v>22</v>
          </cell>
          <cell r="G422" t="str">
            <v>שווי מתנות</v>
          </cell>
          <cell r="H422">
            <v>459.25</v>
          </cell>
          <cell r="I422">
            <v>0</v>
          </cell>
          <cell r="J422" t="str">
            <v>הנהלה</v>
          </cell>
        </row>
        <row r="423">
          <cell r="A423" t="str">
            <v>רד סי אופטיקל נטוורק</v>
          </cell>
          <cell r="B423">
            <v>2004</v>
          </cell>
          <cell r="C423">
            <v>20</v>
          </cell>
          <cell r="D423" t="str">
            <v>פיגלביץ רוזלינד</v>
          </cell>
          <cell r="E423">
            <v>9</v>
          </cell>
          <cell r="F423">
            <v>24</v>
          </cell>
          <cell r="G423" t="str">
            <v>שוויארוחות</v>
          </cell>
          <cell r="H423">
            <v>378</v>
          </cell>
          <cell r="I423">
            <v>18</v>
          </cell>
          <cell r="J423" t="str">
            <v>הנהלה</v>
          </cell>
        </row>
        <row r="424">
          <cell r="A424" t="str">
            <v>רד סי אופטיקל נטוורק</v>
          </cell>
          <cell r="B424">
            <v>2004</v>
          </cell>
          <cell r="C424">
            <v>20</v>
          </cell>
          <cell r="D424" t="str">
            <v>פיגלביץ רוזלינד</v>
          </cell>
          <cell r="E424">
            <v>10</v>
          </cell>
          <cell r="F424">
            <v>24</v>
          </cell>
          <cell r="G424" t="str">
            <v>שוויארוחות</v>
          </cell>
          <cell r="H424">
            <v>399</v>
          </cell>
          <cell r="I424">
            <v>19</v>
          </cell>
          <cell r="J424" t="str">
            <v>הנהלה</v>
          </cell>
        </row>
        <row r="425">
          <cell r="A425" t="str">
            <v>רד סי אופטיקל נטוורק</v>
          </cell>
          <cell r="B425">
            <v>2004</v>
          </cell>
          <cell r="C425">
            <v>20</v>
          </cell>
          <cell r="D425" t="str">
            <v>פיגלביץ רוזלינד</v>
          </cell>
          <cell r="E425">
            <v>11</v>
          </cell>
          <cell r="F425">
            <v>24</v>
          </cell>
          <cell r="G425" t="str">
            <v>שוויארוחות</v>
          </cell>
          <cell r="H425">
            <v>441</v>
          </cell>
          <cell r="I425">
            <v>21</v>
          </cell>
          <cell r="J425" t="str">
            <v>הנהלה</v>
          </cell>
        </row>
        <row r="426">
          <cell r="A426" t="str">
            <v>רד סי אופטיקל נטוורק</v>
          </cell>
          <cell r="B426">
            <v>2004</v>
          </cell>
          <cell r="C426">
            <v>20</v>
          </cell>
          <cell r="D426" t="str">
            <v>פיגלביץ רוזלינד</v>
          </cell>
          <cell r="E426">
            <v>12</v>
          </cell>
          <cell r="F426">
            <v>22</v>
          </cell>
          <cell r="G426" t="str">
            <v>שווי מתנות</v>
          </cell>
          <cell r="H426">
            <v>0</v>
          </cell>
          <cell r="I426">
            <v>0</v>
          </cell>
          <cell r="J426" t="str">
            <v>הנהלה</v>
          </cell>
        </row>
        <row r="427">
          <cell r="A427" t="str">
            <v>רד סי אופטיקל נטוורק</v>
          </cell>
          <cell r="B427">
            <v>2004</v>
          </cell>
          <cell r="C427">
            <v>20</v>
          </cell>
          <cell r="D427" t="str">
            <v>פיגלביץ רוזלינד</v>
          </cell>
          <cell r="E427">
            <v>12</v>
          </cell>
          <cell r="F427">
            <v>24</v>
          </cell>
          <cell r="G427" t="str">
            <v>שוויארוחות</v>
          </cell>
          <cell r="H427">
            <v>462</v>
          </cell>
          <cell r="I427">
            <v>22</v>
          </cell>
          <cell r="J427" t="str">
            <v>הנהלה</v>
          </cell>
        </row>
        <row r="428">
          <cell r="A428" t="str">
            <v>רד סי אופטיקל נטוורק</v>
          </cell>
          <cell r="B428">
            <v>2004</v>
          </cell>
          <cell r="C428">
            <v>21</v>
          </cell>
          <cell r="D428" t="str">
            <v>שי גיא</v>
          </cell>
          <cell r="E428">
            <v>3</v>
          </cell>
          <cell r="F428">
            <v>22</v>
          </cell>
          <cell r="G428" t="str">
            <v>שווי מתנות</v>
          </cell>
          <cell r="H428">
            <v>61</v>
          </cell>
          <cell r="I428">
            <v>0</v>
          </cell>
          <cell r="J428" t="str">
            <v>מו"פ</v>
          </cell>
        </row>
        <row r="429">
          <cell r="A429" t="str">
            <v>רד סי אופטיקל נטוורק</v>
          </cell>
          <cell r="B429">
            <v>2004</v>
          </cell>
          <cell r="C429">
            <v>21</v>
          </cell>
          <cell r="D429" t="str">
            <v>שי גיא</v>
          </cell>
          <cell r="E429">
            <v>3</v>
          </cell>
          <cell r="F429">
            <v>24</v>
          </cell>
          <cell r="G429" t="str">
            <v>שוויארוחות</v>
          </cell>
          <cell r="H429">
            <v>99</v>
          </cell>
          <cell r="I429">
            <v>0.22</v>
          </cell>
          <cell r="J429" t="str">
            <v>מו"פ</v>
          </cell>
        </row>
        <row r="430">
          <cell r="A430" t="str">
            <v>רד סי אופטיקל נטוורק</v>
          </cell>
          <cell r="B430">
            <v>2004</v>
          </cell>
          <cell r="C430">
            <v>21</v>
          </cell>
          <cell r="D430" t="str">
            <v>שי גיא</v>
          </cell>
          <cell r="E430">
            <v>4</v>
          </cell>
          <cell r="F430">
            <v>24</v>
          </cell>
          <cell r="G430" t="str">
            <v>שוויארוחות</v>
          </cell>
          <cell r="H430">
            <v>139.5</v>
          </cell>
          <cell r="I430">
            <v>0.31</v>
          </cell>
          <cell r="J430" t="str">
            <v>מו"פ</v>
          </cell>
        </row>
        <row r="431">
          <cell r="A431" t="str">
            <v>רד סי אופטיקל נטוורק</v>
          </cell>
          <cell r="B431">
            <v>2004</v>
          </cell>
          <cell r="C431">
            <v>21</v>
          </cell>
          <cell r="D431" t="str">
            <v>שי גיא</v>
          </cell>
          <cell r="E431">
            <v>5</v>
          </cell>
          <cell r="F431">
            <v>24</v>
          </cell>
          <cell r="G431" t="str">
            <v>שוויארוחות</v>
          </cell>
          <cell r="H431">
            <v>72</v>
          </cell>
          <cell r="I431">
            <v>0.16</v>
          </cell>
          <cell r="J431" t="str">
            <v>מו"פ</v>
          </cell>
        </row>
        <row r="432">
          <cell r="A432" t="str">
            <v>רד סי אופטיקל נטוורק</v>
          </cell>
          <cell r="B432">
            <v>2004</v>
          </cell>
          <cell r="C432">
            <v>21</v>
          </cell>
          <cell r="D432" t="str">
            <v>שי גיא</v>
          </cell>
          <cell r="E432">
            <v>6</v>
          </cell>
          <cell r="F432">
            <v>24</v>
          </cell>
          <cell r="G432" t="str">
            <v>שוויארוחות</v>
          </cell>
          <cell r="H432">
            <v>40.5</v>
          </cell>
          <cell r="I432">
            <v>0.09</v>
          </cell>
          <cell r="J432" t="str">
            <v>מו"פ</v>
          </cell>
        </row>
        <row r="433">
          <cell r="A433" t="str">
            <v>רד סי אופטיקל נטוורק</v>
          </cell>
          <cell r="B433">
            <v>2004</v>
          </cell>
          <cell r="C433">
            <v>21</v>
          </cell>
          <cell r="D433" t="str">
            <v>שי גיא</v>
          </cell>
          <cell r="E433">
            <v>8</v>
          </cell>
          <cell r="F433">
            <v>24</v>
          </cell>
          <cell r="G433" t="str">
            <v>שוויארוחות</v>
          </cell>
          <cell r="H433">
            <v>210</v>
          </cell>
          <cell r="I433">
            <v>10</v>
          </cell>
          <cell r="J433" t="str">
            <v>מו"פ</v>
          </cell>
        </row>
        <row r="434">
          <cell r="A434" t="str">
            <v>רד סי אופטיקל נטוורק</v>
          </cell>
          <cell r="B434">
            <v>2004</v>
          </cell>
          <cell r="C434">
            <v>21</v>
          </cell>
          <cell r="D434" t="str">
            <v>שי גיא</v>
          </cell>
          <cell r="E434">
            <v>9</v>
          </cell>
          <cell r="F434">
            <v>22</v>
          </cell>
          <cell r="G434" t="str">
            <v>שווי מתנות</v>
          </cell>
          <cell r="H434">
            <v>125.25</v>
          </cell>
          <cell r="I434">
            <v>0</v>
          </cell>
          <cell r="J434" t="str">
            <v>מו"פ</v>
          </cell>
        </row>
        <row r="435">
          <cell r="A435" t="str">
            <v>רד סי אופטיקל נטוורק</v>
          </cell>
          <cell r="B435">
            <v>2004</v>
          </cell>
          <cell r="C435">
            <v>21</v>
          </cell>
          <cell r="D435" t="str">
            <v>שי גיא</v>
          </cell>
          <cell r="E435">
            <v>9</v>
          </cell>
          <cell r="F435">
            <v>24</v>
          </cell>
          <cell r="G435" t="str">
            <v>שוויארוחות</v>
          </cell>
          <cell r="H435">
            <v>21</v>
          </cell>
          <cell r="I435">
            <v>1</v>
          </cell>
          <cell r="J435" t="str">
            <v>מו"פ</v>
          </cell>
        </row>
        <row r="436">
          <cell r="A436" t="str">
            <v>רד סי אופטיקל נטוורק</v>
          </cell>
          <cell r="B436">
            <v>2004</v>
          </cell>
          <cell r="C436">
            <v>21</v>
          </cell>
          <cell r="D436" t="str">
            <v>שי גיא</v>
          </cell>
          <cell r="E436">
            <v>10</v>
          </cell>
          <cell r="F436">
            <v>24</v>
          </cell>
          <cell r="G436" t="str">
            <v>שוויארוחות</v>
          </cell>
          <cell r="H436">
            <v>42</v>
          </cell>
          <cell r="I436">
            <v>2</v>
          </cell>
          <cell r="J436" t="str">
            <v>מו"פ</v>
          </cell>
        </row>
        <row r="437">
          <cell r="A437" t="str">
            <v>רד סי אופטיקל נטוורק</v>
          </cell>
          <cell r="B437">
            <v>2004</v>
          </cell>
          <cell r="C437">
            <v>21</v>
          </cell>
          <cell r="D437" t="str">
            <v>שי גיא</v>
          </cell>
          <cell r="E437">
            <v>11</v>
          </cell>
          <cell r="F437">
            <v>24</v>
          </cell>
          <cell r="G437" t="str">
            <v>שוויארוחות</v>
          </cell>
          <cell r="H437">
            <v>0</v>
          </cell>
          <cell r="I437">
            <v>0</v>
          </cell>
          <cell r="J437" t="str">
            <v>מו"פ</v>
          </cell>
        </row>
        <row r="438">
          <cell r="A438" t="str">
            <v>רד סי אופטיקל נטוורק</v>
          </cell>
          <cell r="B438">
            <v>2004</v>
          </cell>
          <cell r="C438">
            <v>21</v>
          </cell>
          <cell r="D438" t="str">
            <v>שי גיא</v>
          </cell>
          <cell r="E438">
            <v>12</v>
          </cell>
          <cell r="F438">
            <v>22</v>
          </cell>
          <cell r="G438" t="str">
            <v>שווי מתנות</v>
          </cell>
          <cell r="H438">
            <v>0</v>
          </cell>
          <cell r="I438">
            <v>0</v>
          </cell>
          <cell r="J438" t="str">
            <v>מו"פ</v>
          </cell>
        </row>
        <row r="439">
          <cell r="A439" t="str">
            <v>רד סי אופטיקל נטוורק</v>
          </cell>
          <cell r="B439">
            <v>2004</v>
          </cell>
          <cell r="C439">
            <v>21</v>
          </cell>
          <cell r="D439" t="str">
            <v>שי גיא</v>
          </cell>
          <cell r="E439">
            <v>12</v>
          </cell>
          <cell r="F439">
            <v>24</v>
          </cell>
          <cell r="G439" t="str">
            <v>שוויארוחות</v>
          </cell>
          <cell r="H439">
            <v>21</v>
          </cell>
          <cell r="I439">
            <v>1</v>
          </cell>
          <cell r="J439" t="str">
            <v>מו"פ</v>
          </cell>
        </row>
        <row r="440">
          <cell r="A440" t="str">
            <v>רד סי אופטיקל נטוורק</v>
          </cell>
          <cell r="B440">
            <v>2004</v>
          </cell>
          <cell r="C440">
            <v>22</v>
          </cell>
          <cell r="D440" t="str">
            <v>דימינשטיין אוסקר</v>
          </cell>
          <cell r="E440">
            <v>1</v>
          </cell>
          <cell r="F440">
            <v>24</v>
          </cell>
          <cell r="G440" t="str">
            <v>שוויארוחות</v>
          </cell>
          <cell r="H440">
            <v>450</v>
          </cell>
          <cell r="I440">
            <v>0</v>
          </cell>
          <cell r="J440" t="str">
            <v>מו"פ</v>
          </cell>
        </row>
        <row r="441">
          <cell r="A441" t="str">
            <v>רד סי אופטיקל נטוורק</v>
          </cell>
          <cell r="B441">
            <v>2004</v>
          </cell>
          <cell r="C441">
            <v>22</v>
          </cell>
          <cell r="D441" t="str">
            <v>דימינשטיין אוסקר</v>
          </cell>
          <cell r="E441">
            <v>2</v>
          </cell>
          <cell r="F441">
            <v>24</v>
          </cell>
          <cell r="G441" t="str">
            <v>שוויארוחות</v>
          </cell>
          <cell r="H441">
            <v>450</v>
          </cell>
          <cell r="I441">
            <v>0</v>
          </cell>
          <cell r="J441" t="str">
            <v>מו"פ</v>
          </cell>
        </row>
        <row r="442">
          <cell r="A442" t="str">
            <v>רד סי אופטיקל נטוורק</v>
          </cell>
          <cell r="B442">
            <v>2004</v>
          </cell>
          <cell r="C442">
            <v>22</v>
          </cell>
          <cell r="D442" t="str">
            <v>דימינשטיין אוסקר</v>
          </cell>
          <cell r="E442">
            <v>3</v>
          </cell>
          <cell r="F442">
            <v>22</v>
          </cell>
          <cell r="G442" t="str">
            <v>שווי מתנות</v>
          </cell>
          <cell r="H442">
            <v>186.25</v>
          </cell>
          <cell r="I442">
            <v>0</v>
          </cell>
          <cell r="J442" t="str">
            <v>מו"פ</v>
          </cell>
        </row>
        <row r="443">
          <cell r="A443" t="str">
            <v>רד סי אופטיקל נטוורק</v>
          </cell>
          <cell r="B443">
            <v>2004</v>
          </cell>
          <cell r="C443">
            <v>22</v>
          </cell>
          <cell r="D443" t="str">
            <v>דימינשטיין אוסקר</v>
          </cell>
          <cell r="E443">
            <v>3</v>
          </cell>
          <cell r="F443">
            <v>24</v>
          </cell>
          <cell r="G443" t="str">
            <v>שוויארוחות</v>
          </cell>
          <cell r="H443">
            <v>450</v>
          </cell>
          <cell r="I443">
            <v>0</v>
          </cell>
          <cell r="J443" t="str">
            <v>מו"פ</v>
          </cell>
        </row>
        <row r="444">
          <cell r="A444" t="str">
            <v>רד סי אופטיקל נטוורק</v>
          </cell>
          <cell r="B444">
            <v>2004</v>
          </cell>
          <cell r="C444">
            <v>22</v>
          </cell>
          <cell r="D444" t="str">
            <v>דימינשטיין אוסקר</v>
          </cell>
          <cell r="E444">
            <v>4</v>
          </cell>
          <cell r="F444">
            <v>24</v>
          </cell>
          <cell r="G444" t="str">
            <v>שוויארוחות</v>
          </cell>
          <cell r="H444">
            <v>450</v>
          </cell>
          <cell r="I444">
            <v>0</v>
          </cell>
          <cell r="J444" t="str">
            <v>מו"פ</v>
          </cell>
        </row>
        <row r="445">
          <cell r="A445" t="str">
            <v>רד סי אופטיקל נטוורק</v>
          </cell>
          <cell r="B445">
            <v>2004</v>
          </cell>
          <cell r="C445">
            <v>22</v>
          </cell>
          <cell r="D445" t="str">
            <v>דימינשטיין אוסקר</v>
          </cell>
          <cell r="E445">
            <v>5</v>
          </cell>
          <cell r="F445">
            <v>24</v>
          </cell>
          <cell r="G445" t="str">
            <v>שוויארוחות</v>
          </cell>
          <cell r="H445">
            <v>450</v>
          </cell>
          <cell r="I445">
            <v>0</v>
          </cell>
          <cell r="J445" t="str">
            <v>מו"פ</v>
          </cell>
        </row>
        <row r="446">
          <cell r="A446" t="str">
            <v>רד סי אופטיקל נטוורק</v>
          </cell>
          <cell r="B446">
            <v>2004</v>
          </cell>
          <cell r="C446">
            <v>22</v>
          </cell>
          <cell r="D446" t="str">
            <v>דימינשטיין אוסקר</v>
          </cell>
          <cell r="E446">
            <v>6</v>
          </cell>
          <cell r="F446">
            <v>24</v>
          </cell>
          <cell r="G446" t="str">
            <v>שוויארוחות</v>
          </cell>
          <cell r="H446">
            <v>450</v>
          </cell>
          <cell r="I446">
            <v>0</v>
          </cell>
          <cell r="J446" t="str">
            <v>מו"פ</v>
          </cell>
        </row>
        <row r="447">
          <cell r="A447" t="str">
            <v>רד סי אופטיקל נטוורק</v>
          </cell>
          <cell r="B447">
            <v>2004</v>
          </cell>
          <cell r="C447">
            <v>22</v>
          </cell>
          <cell r="D447" t="str">
            <v>דימינשטיין אוסקר</v>
          </cell>
          <cell r="E447">
            <v>7</v>
          </cell>
          <cell r="F447">
            <v>24</v>
          </cell>
          <cell r="G447" t="str">
            <v>שוויארוחות</v>
          </cell>
          <cell r="H447">
            <v>450</v>
          </cell>
          <cell r="I447">
            <v>0</v>
          </cell>
          <cell r="J447" t="str">
            <v>מו"פ</v>
          </cell>
        </row>
        <row r="448">
          <cell r="A448" t="str">
            <v>רד סי אופטיקל נטוורק</v>
          </cell>
          <cell r="B448">
            <v>2004</v>
          </cell>
          <cell r="C448">
            <v>22</v>
          </cell>
          <cell r="D448" t="str">
            <v>דימינשטיין אוסקר</v>
          </cell>
          <cell r="E448">
            <v>8</v>
          </cell>
          <cell r="F448">
            <v>24</v>
          </cell>
          <cell r="G448" t="str">
            <v>שוויארוחות</v>
          </cell>
          <cell r="H448">
            <v>483</v>
          </cell>
          <cell r="I448">
            <v>23</v>
          </cell>
          <cell r="J448" t="str">
            <v>מו"פ</v>
          </cell>
        </row>
        <row r="449">
          <cell r="A449" t="str">
            <v>רד סי אופטיקל נטוורק</v>
          </cell>
          <cell r="B449">
            <v>2004</v>
          </cell>
          <cell r="C449">
            <v>22</v>
          </cell>
          <cell r="D449" t="str">
            <v>דימינשטיין אוסקר</v>
          </cell>
          <cell r="E449">
            <v>9</v>
          </cell>
          <cell r="F449">
            <v>22</v>
          </cell>
          <cell r="G449" t="str">
            <v>שווי מתנות</v>
          </cell>
          <cell r="H449">
            <v>459.25</v>
          </cell>
          <cell r="I449">
            <v>0</v>
          </cell>
          <cell r="J449" t="str">
            <v>מו"פ</v>
          </cell>
        </row>
        <row r="450">
          <cell r="A450" t="str">
            <v>רד סי אופטיקל נטוורק</v>
          </cell>
          <cell r="B450">
            <v>2004</v>
          </cell>
          <cell r="C450">
            <v>22</v>
          </cell>
          <cell r="D450" t="str">
            <v>דימינשטיין אוסקר</v>
          </cell>
          <cell r="E450">
            <v>9</v>
          </cell>
          <cell r="F450">
            <v>24</v>
          </cell>
          <cell r="G450" t="str">
            <v>שוויארוחות</v>
          </cell>
          <cell r="H450">
            <v>378</v>
          </cell>
          <cell r="I450">
            <v>18</v>
          </cell>
          <cell r="J450" t="str">
            <v>מו"פ</v>
          </cell>
        </row>
        <row r="451">
          <cell r="A451" t="str">
            <v>רד סי אופטיקל נטוורק</v>
          </cell>
          <cell r="B451">
            <v>2004</v>
          </cell>
          <cell r="C451">
            <v>22</v>
          </cell>
          <cell r="D451" t="str">
            <v>דימינשטיין אוסקר</v>
          </cell>
          <cell r="E451">
            <v>10</v>
          </cell>
          <cell r="F451">
            <v>24</v>
          </cell>
          <cell r="G451" t="str">
            <v>שוויארוחות</v>
          </cell>
          <cell r="H451">
            <v>399</v>
          </cell>
          <cell r="I451">
            <v>19</v>
          </cell>
          <cell r="J451" t="str">
            <v>מו"פ</v>
          </cell>
        </row>
        <row r="452">
          <cell r="A452" t="str">
            <v>רד סי אופטיקל נטוורק</v>
          </cell>
          <cell r="B452">
            <v>2004</v>
          </cell>
          <cell r="C452">
            <v>22</v>
          </cell>
          <cell r="D452" t="str">
            <v>דימינשטיין אוסקר</v>
          </cell>
          <cell r="E452">
            <v>11</v>
          </cell>
          <cell r="F452">
            <v>24</v>
          </cell>
          <cell r="G452" t="str">
            <v>שוויארוחות</v>
          </cell>
          <cell r="H452">
            <v>441</v>
          </cell>
          <cell r="I452">
            <v>21</v>
          </cell>
          <cell r="J452" t="str">
            <v>מו"פ</v>
          </cell>
        </row>
        <row r="453">
          <cell r="A453" t="str">
            <v>רד סי אופטיקל נטוורק</v>
          </cell>
          <cell r="B453">
            <v>2004</v>
          </cell>
          <cell r="C453">
            <v>22</v>
          </cell>
          <cell r="D453" t="str">
            <v>דימינשטיין אוסקר</v>
          </cell>
          <cell r="E453">
            <v>12</v>
          </cell>
          <cell r="F453">
            <v>22</v>
          </cell>
          <cell r="G453" t="str">
            <v>שווי מתנות</v>
          </cell>
          <cell r="H453">
            <v>0</v>
          </cell>
          <cell r="I453">
            <v>0</v>
          </cell>
          <cell r="J453" t="str">
            <v>מו"פ</v>
          </cell>
        </row>
        <row r="454">
          <cell r="A454" t="str">
            <v>רד סי אופטיקל נטוורק</v>
          </cell>
          <cell r="B454">
            <v>2004</v>
          </cell>
          <cell r="C454">
            <v>22</v>
          </cell>
          <cell r="D454" t="str">
            <v>דימינשטיין אוסקר</v>
          </cell>
          <cell r="E454">
            <v>12</v>
          </cell>
          <cell r="F454">
            <v>24</v>
          </cell>
          <cell r="G454" t="str">
            <v>שוויארוחות</v>
          </cell>
          <cell r="H454">
            <v>462</v>
          </cell>
          <cell r="I454">
            <v>22</v>
          </cell>
          <cell r="J454" t="str">
            <v>מו"פ</v>
          </cell>
        </row>
        <row r="455">
          <cell r="A455" t="str">
            <v>רד סי אופטיקל נטוורק</v>
          </cell>
          <cell r="B455">
            <v>2004</v>
          </cell>
          <cell r="C455">
            <v>23</v>
          </cell>
          <cell r="D455" t="str">
            <v>הר זיו צבי</v>
          </cell>
          <cell r="E455">
            <v>1</v>
          </cell>
          <cell r="F455">
            <v>24</v>
          </cell>
          <cell r="G455" t="str">
            <v>שוויארוחות</v>
          </cell>
          <cell r="H455">
            <v>450</v>
          </cell>
          <cell r="I455">
            <v>0</v>
          </cell>
          <cell r="J455" t="str">
            <v>תפעול</v>
          </cell>
        </row>
        <row r="456">
          <cell r="A456" t="str">
            <v>רד סי אופטיקל נטוורק</v>
          </cell>
          <cell r="B456">
            <v>2004</v>
          </cell>
          <cell r="C456">
            <v>23</v>
          </cell>
          <cell r="D456" t="str">
            <v>הר זיו צבי</v>
          </cell>
          <cell r="E456">
            <v>1</v>
          </cell>
          <cell r="F456">
            <v>40</v>
          </cell>
          <cell r="G456" t="str">
            <v>רכב קב' 2</v>
          </cell>
          <cell r="H456">
            <v>980</v>
          </cell>
          <cell r="I456">
            <v>0</v>
          </cell>
          <cell r="J456" t="str">
            <v>תפעול</v>
          </cell>
        </row>
        <row r="457">
          <cell r="A457" t="str">
            <v>רד סי אופטיקל נטוורק</v>
          </cell>
          <cell r="B457">
            <v>2004</v>
          </cell>
          <cell r="C457">
            <v>23</v>
          </cell>
          <cell r="D457" t="str">
            <v>הר זיו צבי</v>
          </cell>
          <cell r="E457">
            <v>1</v>
          </cell>
          <cell r="F457">
            <v>47</v>
          </cell>
          <cell r="G457" t="str">
            <v>שווי פלא</v>
          </cell>
          <cell r="H457">
            <v>85</v>
          </cell>
          <cell r="I457">
            <v>0</v>
          </cell>
          <cell r="J457" t="str">
            <v>תפעול</v>
          </cell>
        </row>
        <row r="458">
          <cell r="A458" t="str">
            <v>רד סי אופטיקל נטוורק</v>
          </cell>
          <cell r="B458">
            <v>2004</v>
          </cell>
          <cell r="C458">
            <v>23</v>
          </cell>
          <cell r="D458" t="str">
            <v>הר זיו צבי</v>
          </cell>
          <cell r="E458">
            <v>1</v>
          </cell>
          <cell r="F458">
            <v>91</v>
          </cell>
          <cell r="G458" t="str">
            <v>זק.השתלמות</v>
          </cell>
          <cell r="H458">
            <v>1031.69</v>
          </cell>
          <cell r="I458">
            <v>0</v>
          </cell>
          <cell r="J458" t="str">
            <v>תפעול</v>
          </cell>
        </row>
        <row r="459">
          <cell r="A459" t="str">
            <v>רד סי אופטיקל נטוורק</v>
          </cell>
          <cell r="B459">
            <v>2004</v>
          </cell>
          <cell r="C459">
            <v>23</v>
          </cell>
          <cell r="D459" t="str">
            <v>הר זיו צבי</v>
          </cell>
          <cell r="E459">
            <v>2</v>
          </cell>
          <cell r="F459">
            <v>24</v>
          </cell>
          <cell r="G459" t="str">
            <v>שוויארוחות</v>
          </cell>
          <cell r="H459">
            <v>450</v>
          </cell>
          <cell r="I459">
            <v>0</v>
          </cell>
          <cell r="J459" t="str">
            <v>תפעול</v>
          </cell>
        </row>
        <row r="460">
          <cell r="A460" t="str">
            <v>רד סי אופטיקל נטוורק</v>
          </cell>
          <cell r="B460">
            <v>2004</v>
          </cell>
          <cell r="C460">
            <v>23</v>
          </cell>
          <cell r="D460" t="str">
            <v>הר זיו צבי</v>
          </cell>
          <cell r="E460">
            <v>2</v>
          </cell>
          <cell r="F460">
            <v>40</v>
          </cell>
          <cell r="G460" t="str">
            <v>רכב קב' 2</v>
          </cell>
          <cell r="H460">
            <v>980</v>
          </cell>
          <cell r="I460">
            <v>0</v>
          </cell>
          <cell r="J460" t="str">
            <v>תפעול</v>
          </cell>
        </row>
        <row r="461">
          <cell r="A461" t="str">
            <v>רד סי אופטיקל נטוורק</v>
          </cell>
          <cell r="B461">
            <v>2004</v>
          </cell>
          <cell r="C461">
            <v>23</v>
          </cell>
          <cell r="D461" t="str">
            <v>הר זיו צבי</v>
          </cell>
          <cell r="E461">
            <v>2</v>
          </cell>
          <cell r="F461">
            <v>47</v>
          </cell>
          <cell r="G461" t="str">
            <v>שווי פלא</v>
          </cell>
          <cell r="H461">
            <v>85</v>
          </cell>
          <cell r="I461">
            <v>0</v>
          </cell>
          <cell r="J461" t="str">
            <v>תפעול</v>
          </cell>
        </row>
        <row r="462">
          <cell r="A462" t="str">
            <v>רד סי אופטיקל נטוורק</v>
          </cell>
          <cell r="B462">
            <v>2004</v>
          </cell>
          <cell r="C462">
            <v>23</v>
          </cell>
          <cell r="D462" t="str">
            <v>הר זיו צבי</v>
          </cell>
          <cell r="E462">
            <v>2</v>
          </cell>
          <cell r="F462">
            <v>91</v>
          </cell>
          <cell r="G462" t="str">
            <v>זק.השתלמות</v>
          </cell>
          <cell r="H462">
            <v>1031.69</v>
          </cell>
          <cell r="I462">
            <v>0</v>
          </cell>
          <cell r="J462" t="str">
            <v>תפעול</v>
          </cell>
        </row>
        <row r="463">
          <cell r="A463" t="str">
            <v>רד סי אופטיקל נטוורק</v>
          </cell>
          <cell r="B463">
            <v>2004</v>
          </cell>
          <cell r="C463">
            <v>23</v>
          </cell>
          <cell r="D463" t="str">
            <v>הר זיו צבי</v>
          </cell>
          <cell r="E463">
            <v>3</v>
          </cell>
          <cell r="F463">
            <v>22</v>
          </cell>
          <cell r="G463" t="str">
            <v>שווי מתנות</v>
          </cell>
          <cell r="H463">
            <v>186.25</v>
          </cell>
          <cell r="I463">
            <v>0</v>
          </cell>
          <cell r="J463" t="str">
            <v>תפעול</v>
          </cell>
        </row>
        <row r="464">
          <cell r="A464" t="str">
            <v>רד סי אופטיקל נטוורק</v>
          </cell>
          <cell r="B464">
            <v>2004</v>
          </cell>
          <cell r="C464">
            <v>23</v>
          </cell>
          <cell r="D464" t="str">
            <v>הר זיו צבי</v>
          </cell>
          <cell r="E464">
            <v>3</v>
          </cell>
          <cell r="F464">
            <v>24</v>
          </cell>
          <cell r="G464" t="str">
            <v>שוויארוחות</v>
          </cell>
          <cell r="H464">
            <v>450</v>
          </cell>
          <cell r="I464">
            <v>0</v>
          </cell>
          <cell r="J464" t="str">
            <v>תפעול</v>
          </cell>
        </row>
        <row r="465">
          <cell r="A465" t="str">
            <v>רד סי אופטיקל נטוורק</v>
          </cell>
          <cell r="B465">
            <v>2004</v>
          </cell>
          <cell r="C465">
            <v>23</v>
          </cell>
          <cell r="D465" t="str">
            <v>הר זיו צבי</v>
          </cell>
          <cell r="E465">
            <v>3</v>
          </cell>
          <cell r="F465">
            <v>40</v>
          </cell>
          <cell r="G465" t="str">
            <v>רכב קב' 2</v>
          </cell>
          <cell r="H465">
            <v>980</v>
          </cell>
          <cell r="I465">
            <v>0</v>
          </cell>
          <cell r="J465" t="str">
            <v>תפעול</v>
          </cell>
        </row>
        <row r="466">
          <cell r="A466" t="str">
            <v>רד סי אופטיקל נטוורק</v>
          </cell>
          <cell r="B466">
            <v>2004</v>
          </cell>
          <cell r="C466">
            <v>23</v>
          </cell>
          <cell r="D466" t="str">
            <v>הר זיו צבי</v>
          </cell>
          <cell r="E466">
            <v>3</v>
          </cell>
          <cell r="F466">
            <v>47</v>
          </cell>
          <cell r="G466" t="str">
            <v>שווי פלא</v>
          </cell>
          <cell r="H466">
            <v>85</v>
          </cell>
          <cell r="I466">
            <v>0</v>
          </cell>
          <cell r="J466" t="str">
            <v>תפעול</v>
          </cell>
        </row>
        <row r="467">
          <cell r="A467" t="str">
            <v>רד סי אופטיקל נטוורק</v>
          </cell>
          <cell r="B467">
            <v>2004</v>
          </cell>
          <cell r="C467">
            <v>23</v>
          </cell>
          <cell r="D467" t="str">
            <v>הר זיו צבי</v>
          </cell>
          <cell r="E467">
            <v>3</v>
          </cell>
          <cell r="F467">
            <v>91</v>
          </cell>
          <cell r="G467" t="str">
            <v>זק.השתלמות</v>
          </cell>
          <cell r="H467">
            <v>1233.29</v>
          </cell>
          <cell r="I467">
            <v>0</v>
          </cell>
          <cell r="J467" t="str">
            <v>תפעול</v>
          </cell>
        </row>
        <row r="468">
          <cell r="A468" t="str">
            <v>רד סי אופטיקל נטוורק</v>
          </cell>
          <cell r="B468">
            <v>2004</v>
          </cell>
          <cell r="C468">
            <v>23</v>
          </cell>
          <cell r="D468" t="str">
            <v>הר זיו צבי</v>
          </cell>
          <cell r="E468">
            <v>4</v>
          </cell>
          <cell r="F468">
            <v>24</v>
          </cell>
          <cell r="G468" t="str">
            <v>שוויארוחות</v>
          </cell>
          <cell r="H468">
            <v>450</v>
          </cell>
          <cell r="I468">
            <v>0</v>
          </cell>
          <cell r="J468" t="str">
            <v>תפעול</v>
          </cell>
        </row>
        <row r="469">
          <cell r="A469" t="str">
            <v>רד סי אופטיקל נטוורק</v>
          </cell>
          <cell r="B469">
            <v>2004</v>
          </cell>
          <cell r="C469">
            <v>23</v>
          </cell>
          <cell r="D469" t="str">
            <v>הר זיו צבי</v>
          </cell>
          <cell r="E469">
            <v>4</v>
          </cell>
          <cell r="F469">
            <v>40</v>
          </cell>
          <cell r="G469" t="str">
            <v>רכב קב' 2</v>
          </cell>
          <cell r="H469">
            <v>980</v>
          </cell>
          <cell r="I469">
            <v>0</v>
          </cell>
          <cell r="J469" t="str">
            <v>תפעול</v>
          </cell>
        </row>
        <row r="470">
          <cell r="A470" t="str">
            <v>רד סי אופטיקל נטוורק</v>
          </cell>
          <cell r="B470">
            <v>2004</v>
          </cell>
          <cell r="C470">
            <v>23</v>
          </cell>
          <cell r="D470" t="str">
            <v>הר זיו צבי</v>
          </cell>
          <cell r="E470">
            <v>4</v>
          </cell>
          <cell r="F470">
            <v>47</v>
          </cell>
          <cell r="G470" t="str">
            <v>שווי פלא</v>
          </cell>
          <cell r="H470">
            <v>85</v>
          </cell>
          <cell r="I470">
            <v>0</v>
          </cell>
          <cell r="J470" t="str">
            <v>תפעול</v>
          </cell>
        </row>
        <row r="471">
          <cell r="A471" t="str">
            <v>רד סי אופטיקל נטוורק</v>
          </cell>
          <cell r="B471">
            <v>2004</v>
          </cell>
          <cell r="C471">
            <v>23</v>
          </cell>
          <cell r="D471" t="str">
            <v>הר זיו צבי</v>
          </cell>
          <cell r="E471">
            <v>4</v>
          </cell>
          <cell r="F471">
            <v>91</v>
          </cell>
          <cell r="G471" t="str">
            <v>זק.השתלמות</v>
          </cell>
          <cell r="H471">
            <v>1233.29</v>
          </cell>
          <cell r="I471">
            <v>0</v>
          </cell>
          <cell r="J471" t="str">
            <v>תפעול</v>
          </cell>
        </row>
        <row r="472">
          <cell r="A472" t="str">
            <v>רד סי אופטיקל נטוורק</v>
          </cell>
          <cell r="B472">
            <v>2004</v>
          </cell>
          <cell r="C472">
            <v>23</v>
          </cell>
          <cell r="D472" t="str">
            <v>הר זיו צבי</v>
          </cell>
          <cell r="E472">
            <v>4</v>
          </cell>
          <cell r="F472">
            <v>93</v>
          </cell>
          <cell r="G472" t="str">
            <v>זק.תגמולים</v>
          </cell>
          <cell r="H472">
            <v>67</v>
          </cell>
          <cell r="I472">
            <v>0</v>
          </cell>
          <cell r="J472" t="str">
            <v>תפעול</v>
          </cell>
        </row>
        <row r="473">
          <cell r="A473" t="str">
            <v>רד סי אופטיקל נטוורק</v>
          </cell>
          <cell r="B473">
            <v>2004</v>
          </cell>
          <cell r="C473">
            <v>23</v>
          </cell>
          <cell r="D473" t="str">
            <v>הר זיו צבי</v>
          </cell>
          <cell r="E473">
            <v>5</v>
          </cell>
          <cell r="F473">
            <v>24</v>
          </cell>
          <cell r="G473" t="str">
            <v>שוויארוחות</v>
          </cell>
          <cell r="H473">
            <v>450</v>
          </cell>
          <cell r="I473">
            <v>0</v>
          </cell>
          <cell r="J473" t="str">
            <v>תפעול</v>
          </cell>
        </row>
        <row r="474">
          <cell r="A474" t="str">
            <v>רד סי אופטיקל נטוורק</v>
          </cell>
          <cell r="B474">
            <v>2004</v>
          </cell>
          <cell r="C474">
            <v>23</v>
          </cell>
          <cell r="D474" t="str">
            <v>הר זיו צבי</v>
          </cell>
          <cell r="E474">
            <v>5</v>
          </cell>
          <cell r="F474">
            <v>40</v>
          </cell>
          <cell r="G474" t="str">
            <v>רכב קב' 2</v>
          </cell>
          <cell r="H474">
            <v>980</v>
          </cell>
          <cell r="I474">
            <v>0</v>
          </cell>
          <cell r="J474" t="str">
            <v>תפעול</v>
          </cell>
        </row>
        <row r="475">
          <cell r="A475" t="str">
            <v>רד סי אופטיקל נטוורק</v>
          </cell>
          <cell r="B475">
            <v>2004</v>
          </cell>
          <cell r="C475">
            <v>23</v>
          </cell>
          <cell r="D475" t="str">
            <v>הר זיו צבי</v>
          </cell>
          <cell r="E475">
            <v>5</v>
          </cell>
          <cell r="F475">
            <v>47</v>
          </cell>
          <cell r="G475" t="str">
            <v>שווי פלא</v>
          </cell>
          <cell r="H475">
            <v>85</v>
          </cell>
          <cell r="I475">
            <v>0</v>
          </cell>
          <cell r="J475" t="str">
            <v>תפעול</v>
          </cell>
        </row>
        <row r="476">
          <cell r="A476" t="str">
            <v>רד סי אופטיקל נטוורק</v>
          </cell>
          <cell r="B476">
            <v>2004</v>
          </cell>
          <cell r="C476">
            <v>23</v>
          </cell>
          <cell r="D476" t="str">
            <v>הר זיו צבי</v>
          </cell>
          <cell r="E476">
            <v>5</v>
          </cell>
          <cell r="F476">
            <v>91</v>
          </cell>
          <cell r="G476" t="str">
            <v>זק.השתלמות</v>
          </cell>
          <cell r="H476">
            <v>1233.29</v>
          </cell>
          <cell r="I476">
            <v>0</v>
          </cell>
          <cell r="J476" t="str">
            <v>תפעול</v>
          </cell>
        </row>
        <row r="477">
          <cell r="A477" t="str">
            <v>רד סי אופטיקל נטוורק</v>
          </cell>
          <cell r="B477">
            <v>2004</v>
          </cell>
          <cell r="C477">
            <v>23</v>
          </cell>
          <cell r="D477" t="str">
            <v>הר זיו צבי</v>
          </cell>
          <cell r="E477">
            <v>5</v>
          </cell>
          <cell r="F477">
            <v>93</v>
          </cell>
          <cell r="G477" t="str">
            <v>זק.תגמולים</v>
          </cell>
          <cell r="H477">
            <v>79.25</v>
          </cell>
          <cell r="I477">
            <v>0</v>
          </cell>
          <cell r="J477" t="str">
            <v>תפעול</v>
          </cell>
        </row>
        <row r="478">
          <cell r="A478" t="str">
            <v>רד סי אופטיקל נטוורק</v>
          </cell>
          <cell r="B478">
            <v>2004</v>
          </cell>
          <cell r="C478">
            <v>23</v>
          </cell>
          <cell r="D478" t="str">
            <v>הר זיו צבי</v>
          </cell>
          <cell r="E478">
            <v>6</v>
          </cell>
          <cell r="F478">
            <v>24</v>
          </cell>
          <cell r="G478" t="str">
            <v>שוויארוחות</v>
          </cell>
          <cell r="H478">
            <v>450</v>
          </cell>
          <cell r="I478">
            <v>0</v>
          </cell>
          <cell r="J478" t="str">
            <v>תפעול</v>
          </cell>
        </row>
        <row r="479">
          <cell r="A479" t="str">
            <v>רד סי אופטיקל נטוורק</v>
          </cell>
          <cell r="B479">
            <v>2004</v>
          </cell>
          <cell r="C479">
            <v>23</v>
          </cell>
          <cell r="D479" t="str">
            <v>הר זיו צבי</v>
          </cell>
          <cell r="E479">
            <v>6</v>
          </cell>
          <cell r="F479">
            <v>40</v>
          </cell>
          <cell r="G479" t="str">
            <v>רכב קב' 2</v>
          </cell>
          <cell r="H479">
            <v>980</v>
          </cell>
          <cell r="I479">
            <v>0</v>
          </cell>
          <cell r="J479" t="str">
            <v>תפעול</v>
          </cell>
        </row>
        <row r="480">
          <cell r="A480" t="str">
            <v>רד סי אופטיקל נטוורק</v>
          </cell>
          <cell r="B480">
            <v>2004</v>
          </cell>
          <cell r="C480">
            <v>23</v>
          </cell>
          <cell r="D480" t="str">
            <v>הר זיו צבי</v>
          </cell>
          <cell r="E480">
            <v>6</v>
          </cell>
          <cell r="F480">
            <v>47</v>
          </cell>
          <cell r="G480" t="str">
            <v>שווי פלא</v>
          </cell>
          <cell r="H480">
            <v>85</v>
          </cell>
          <cell r="I480">
            <v>0</v>
          </cell>
          <cell r="J480" t="str">
            <v>תפעול</v>
          </cell>
        </row>
        <row r="481">
          <cell r="A481" t="str">
            <v>רד סי אופטיקל נטוורק</v>
          </cell>
          <cell r="B481">
            <v>2004</v>
          </cell>
          <cell r="C481">
            <v>23</v>
          </cell>
          <cell r="D481" t="str">
            <v>הר זיו צבי</v>
          </cell>
          <cell r="E481">
            <v>6</v>
          </cell>
          <cell r="F481">
            <v>91</v>
          </cell>
          <cell r="G481" t="str">
            <v>זק.השתלמות</v>
          </cell>
          <cell r="H481">
            <v>1233.29</v>
          </cell>
          <cell r="I481">
            <v>0</v>
          </cell>
          <cell r="J481" t="str">
            <v>תפעול</v>
          </cell>
        </row>
        <row r="482">
          <cell r="A482" t="str">
            <v>רד סי אופטיקל נטוורק</v>
          </cell>
          <cell r="B482">
            <v>2004</v>
          </cell>
          <cell r="C482">
            <v>23</v>
          </cell>
          <cell r="D482" t="str">
            <v>הר זיו צבי</v>
          </cell>
          <cell r="E482">
            <v>6</v>
          </cell>
          <cell r="F482">
            <v>93</v>
          </cell>
          <cell r="G482" t="str">
            <v>זק.תגמולים</v>
          </cell>
          <cell r="H482">
            <v>79.25</v>
          </cell>
          <cell r="I482">
            <v>0</v>
          </cell>
          <cell r="J482" t="str">
            <v>תפעול</v>
          </cell>
        </row>
        <row r="483">
          <cell r="A483" t="str">
            <v>רד סי אופטיקל נטוורק</v>
          </cell>
          <cell r="B483">
            <v>2004</v>
          </cell>
          <cell r="C483">
            <v>23</v>
          </cell>
          <cell r="D483" t="str">
            <v>הר זיו צבי</v>
          </cell>
          <cell r="E483">
            <v>7</v>
          </cell>
          <cell r="F483">
            <v>24</v>
          </cell>
          <cell r="G483" t="str">
            <v>שוויארוחות</v>
          </cell>
          <cell r="H483">
            <v>450</v>
          </cell>
          <cell r="I483">
            <v>0</v>
          </cell>
          <cell r="J483" t="str">
            <v>תפעול</v>
          </cell>
        </row>
        <row r="484">
          <cell r="A484" t="str">
            <v>רד סי אופטיקל נטוורק</v>
          </cell>
          <cell r="B484">
            <v>2004</v>
          </cell>
          <cell r="C484">
            <v>23</v>
          </cell>
          <cell r="D484" t="str">
            <v>הר זיו צבי</v>
          </cell>
          <cell r="E484">
            <v>7</v>
          </cell>
          <cell r="F484">
            <v>40</v>
          </cell>
          <cell r="G484" t="str">
            <v>רכב קב' 2</v>
          </cell>
          <cell r="H484">
            <v>980</v>
          </cell>
          <cell r="I484">
            <v>0</v>
          </cell>
          <cell r="J484" t="str">
            <v>תפעול</v>
          </cell>
        </row>
        <row r="485">
          <cell r="A485" t="str">
            <v>רד סי אופטיקל נטוורק</v>
          </cell>
          <cell r="B485">
            <v>2004</v>
          </cell>
          <cell r="C485">
            <v>23</v>
          </cell>
          <cell r="D485" t="str">
            <v>הר זיו צבי</v>
          </cell>
          <cell r="E485">
            <v>7</v>
          </cell>
          <cell r="F485">
            <v>47</v>
          </cell>
          <cell r="G485" t="str">
            <v>שווי פלא</v>
          </cell>
          <cell r="H485">
            <v>85</v>
          </cell>
          <cell r="I485">
            <v>0</v>
          </cell>
          <cell r="J485" t="str">
            <v>תפעול</v>
          </cell>
        </row>
        <row r="486">
          <cell r="A486" t="str">
            <v>רד סי אופטיקל נטוורק</v>
          </cell>
          <cell r="B486">
            <v>2004</v>
          </cell>
          <cell r="C486">
            <v>23</v>
          </cell>
          <cell r="D486" t="str">
            <v>הר זיו צבי</v>
          </cell>
          <cell r="E486">
            <v>7</v>
          </cell>
          <cell r="F486">
            <v>91</v>
          </cell>
          <cell r="G486" t="str">
            <v>זק.השתלמות</v>
          </cell>
          <cell r="H486">
            <v>1233.29</v>
          </cell>
          <cell r="I486">
            <v>0</v>
          </cell>
          <cell r="J486" t="str">
            <v>תפעול</v>
          </cell>
        </row>
        <row r="487">
          <cell r="A487" t="str">
            <v>רד סי אופטיקל נטוורק</v>
          </cell>
          <cell r="B487">
            <v>2004</v>
          </cell>
          <cell r="C487">
            <v>23</v>
          </cell>
          <cell r="D487" t="str">
            <v>הר זיו צבי</v>
          </cell>
          <cell r="E487">
            <v>7</v>
          </cell>
          <cell r="F487">
            <v>93</v>
          </cell>
          <cell r="G487" t="str">
            <v>זק.תגמולים</v>
          </cell>
          <cell r="H487">
            <v>79.25</v>
          </cell>
          <cell r="I487">
            <v>0</v>
          </cell>
          <cell r="J487" t="str">
            <v>תפעול</v>
          </cell>
        </row>
        <row r="488">
          <cell r="A488" t="str">
            <v>רד סי אופטיקל נטוורק</v>
          </cell>
          <cell r="B488">
            <v>2004</v>
          </cell>
          <cell r="C488">
            <v>23</v>
          </cell>
          <cell r="D488" t="str">
            <v>הר זיו צבי</v>
          </cell>
          <cell r="E488">
            <v>8</v>
          </cell>
          <cell r="F488">
            <v>24</v>
          </cell>
          <cell r="G488" t="str">
            <v>שוויארוחות</v>
          </cell>
          <cell r="H488">
            <v>483</v>
          </cell>
          <cell r="I488">
            <v>23</v>
          </cell>
          <cell r="J488" t="str">
            <v>תפעול</v>
          </cell>
        </row>
        <row r="489">
          <cell r="A489" t="str">
            <v>רד סי אופטיקל נטוורק</v>
          </cell>
          <cell r="B489">
            <v>2004</v>
          </cell>
          <cell r="C489">
            <v>23</v>
          </cell>
          <cell r="D489" t="str">
            <v>הר זיו צבי</v>
          </cell>
          <cell r="E489">
            <v>8</v>
          </cell>
          <cell r="F489">
            <v>40</v>
          </cell>
          <cell r="G489" t="str">
            <v>רכב קב' 2</v>
          </cell>
          <cell r="H489">
            <v>980</v>
          </cell>
          <cell r="I489">
            <v>0</v>
          </cell>
          <cell r="J489" t="str">
            <v>תפעול</v>
          </cell>
        </row>
        <row r="490">
          <cell r="A490" t="str">
            <v>רד סי אופטיקל נטוורק</v>
          </cell>
          <cell r="B490">
            <v>2004</v>
          </cell>
          <cell r="C490">
            <v>23</v>
          </cell>
          <cell r="D490" t="str">
            <v>הר זיו צבי</v>
          </cell>
          <cell r="E490">
            <v>8</v>
          </cell>
          <cell r="F490">
            <v>47</v>
          </cell>
          <cell r="G490" t="str">
            <v>שווי פלא</v>
          </cell>
          <cell r="H490">
            <v>85</v>
          </cell>
          <cell r="I490">
            <v>0</v>
          </cell>
          <cell r="J490" t="str">
            <v>תפעול</v>
          </cell>
        </row>
        <row r="491">
          <cell r="A491" t="str">
            <v>רד סי אופטיקל נטוורק</v>
          </cell>
          <cell r="B491">
            <v>2004</v>
          </cell>
          <cell r="C491">
            <v>23</v>
          </cell>
          <cell r="D491" t="str">
            <v>הר זיו צבי</v>
          </cell>
          <cell r="E491">
            <v>8</v>
          </cell>
          <cell r="F491">
            <v>91</v>
          </cell>
          <cell r="G491" t="str">
            <v>זק.השתלמות</v>
          </cell>
          <cell r="H491">
            <v>1233.29</v>
          </cell>
          <cell r="I491">
            <v>0</v>
          </cell>
          <cell r="J491" t="str">
            <v>תפעול</v>
          </cell>
        </row>
        <row r="492">
          <cell r="A492" t="str">
            <v>רד סי אופטיקל נטוורק</v>
          </cell>
          <cell r="B492">
            <v>2004</v>
          </cell>
          <cell r="C492">
            <v>23</v>
          </cell>
          <cell r="D492" t="str">
            <v>הר זיו צבי</v>
          </cell>
          <cell r="E492">
            <v>8</v>
          </cell>
          <cell r="F492">
            <v>93</v>
          </cell>
          <cell r="G492" t="str">
            <v>זק.תגמולים</v>
          </cell>
          <cell r="H492">
            <v>79.25</v>
          </cell>
          <cell r="I492">
            <v>0</v>
          </cell>
          <cell r="J492" t="str">
            <v>תפעול</v>
          </cell>
        </row>
        <row r="493">
          <cell r="A493" t="str">
            <v>רד סי אופטיקל נטוורק</v>
          </cell>
          <cell r="B493">
            <v>2004</v>
          </cell>
          <cell r="C493">
            <v>23</v>
          </cell>
          <cell r="D493" t="str">
            <v>הר זיו צבי</v>
          </cell>
          <cell r="E493">
            <v>9</v>
          </cell>
          <cell r="F493">
            <v>22</v>
          </cell>
          <cell r="G493" t="str">
            <v>שווי מתנות</v>
          </cell>
          <cell r="H493">
            <v>459.25</v>
          </cell>
          <cell r="I493">
            <v>0</v>
          </cell>
          <cell r="J493" t="str">
            <v>תפעול</v>
          </cell>
        </row>
        <row r="494">
          <cell r="A494" t="str">
            <v>רד סי אופטיקל נטוורק</v>
          </cell>
          <cell r="B494">
            <v>2004</v>
          </cell>
          <cell r="C494">
            <v>23</v>
          </cell>
          <cell r="D494" t="str">
            <v>הר זיו צבי</v>
          </cell>
          <cell r="E494">
            <v>9</v>
          </cell>
          <cell r="F494">
            <v>24</v>
          </cell>
          <cell r="G494" t="str">
            <v>שוויארוחות</v>
          </cell>
          <cell r="H494">
            <v>378</v>
          </cell>
          <cell r="I494">
            <v>18</v>
          </cell>
          <cell r="J494" t="str">
            <v>תפעול</v>
          </cell>
        </row>
        <row r="495">
          <cell r="A495" t="str">
            <v>רד סי אופטיקל נטוורק</v>
          </cell>
          <cell r="B495">
            <v>2004</v>
          </cell>
          <cell r="C495">
            <v>23</v>
          </cell>
          <cell r="D495" t="str">
            <v>הר זיו צבי</v>
          </cell>
          <cell r="E495">
            <v>9</v>
          </cell>
          <cell r="F495">
            <v>40</v>
          </cell>
          <cell r="G495" t="str">
            <v>רכב קב' 2</v>
          </cell>
          <cell r="H495">
            <v>980</v>
          </cell>
          <cell r="I495">
            <v>0</v>
          </cell>
          <cell r="J495" t="str">
            <v>תפעול</v>
          </cell>
        </row>
        <row r="496">
          <cell r="A496" t="str">
            <v>רד סי אופטיקל נטוורק</v>
          </cell>
          <cell r="B496">
            <v>2004</v>
          </cell>
          <cell r="C496">
            <v>23</v>
          </cell>
          <cell r="D496" t="str">
            <v>הר זיו צבי</v>
          </cell>
          <cell r="E496">
            <v>9</v>
          </cell>
          <cell r="F496">
            <v>47</v>
          </cell>
          <cell r="G496" t="str">
            <v>שווי פלא</v>
          </cell>
          <cell r="H496">
            <v>85</v>
          </cell>
          <cell r="I496">
            <v>0</v>
          </cell>
          <cell r="J496" t="str">
            <v>תפעול</v>
          </cell>
        </row>
        <row r="497">
          <cell r="A497" t="str">
            <v>רד סי אופטיקל נטוורק</v>
          </cell>
          <cell r="B497">
            <v>2004</v>
          </cell>
          <cell r="C497">
            <v>23</v>
          </cell>
          <cell r="D497" t="str">
            <v>הר זיו צבי</v>
          </cell>
          <cell r="E497">
            <v>9</v>
          </cell>
          <cell r="F497">
            <v>91</v>
          </cell>
          <cell r="G497" t="str">
            <v>זק.השתלמות</v>
          </cell>
          <cell r="H497">
            <v>1233.29</v>
          </cell>
          <cell r="I497">
            <v>0</v>
          </cell>
          <cell r="J497" t="str">
            <v>תפעול</v>
          </cell>
        </row>
        <row r="498">
          <cell r="A498" t="str">
            <v>רד סי אופטיקל נטוורק</v>
          </cell>
          <cell r="B498">
            <v>2004</v>
          </cell>
          <cell r="C498">
            <v>23</v>
          </cell>
          <cell r="D498" t="str">
            <v>הר זיו צבי</v>
          </cell>
          <cell r="E498">
            <v>9</v>
          </cell>
          <cell r="F498">
            <v>93</v>
          </cell>
          <cell r="G498" t="str">
            <v>זק.תגמולים</v>
          </cell>
          <cell r="H498">
            <v>79.25</v>
          </cell>
          <cell r="I498">
            <v>0</v>
          </cell>
          <cell r="J498" t="str">
            <v>תפעול</v>
          </cell>
        </row>
        <row r="499">
          <cell r="A499" t="str">
            <v>רד סי אופטיקל נטוורק</v>
          </cell>
          <cell r="B499">
            <v>2004</v>
          </cell>
          <cell r="C499">
            <v>23</v>
          </cell>
          <cell r="D499" t="str">
            <v>הר זיו צבי</v>
          </cell>
          <cell r="E499">
            <v>10</v>
          </cell>
          <cell r="F499">
            <v>24</v>
          </cell>
          <cell r="G499" t="str">
            <v>שוויארוחות</v>
          </cell>
          <cell r="H499">
            <v>399</v>
          </cell>
          <cell r="I499">
            <v>19</v>
          </cell>
          <cell r="J499" t="str">
            <v>תפעול</v>
          </cell>
        </row>
        <row r="500">
          <cell r="A500" t="str">
            <v>רד סי אופטיקל נטוורק</v>
          </cell>
          <cell r="B500">
            <v>2004</v>
          </cell>
          <cell r="C500">
            <v>23</v>
          </cell>
          <cell r="D500" t="str">
            <v>הר זיו צבי</v>
          </cell>
          <cell r="E500">
            <v>10</v>
          </cell>
          <cell r="F500">
            <v>40</v>
          </cell>
          <cell r="G500" t="str">
            <v>רכב קב' 2</v>
          </cell>
          <cell r="H500">
            <v>980</v>
          </cell>
          <cell r="I500">
            <v>0</v>
          </cell>
          <cell r="J500" t="str">
            <v>תפעול</v>
          </cell>
        </row>
        <row r="501">
          <cell r="A501" t="str">
            <v>רד סי אופטיקל נטוורק</v>
          </cell>
          <cell r="B501">
            <v>2004</v>
          </cell>
          <cell r="C501">
            <v>23</v>
          </cell>
          <cell r="D501" t="str">
            <v>הר זיו צבי</v>
          </cell>
          <cell r="E501">
            <v>10</v>
          </cell>
          <cell r="F501">
            <v>47</v>
          </cell>
          <cell r="G501" t="str">
            <v>שווי פלא</v>
          </cell>
          <cell r="H501">
            <v>85</v>
          </cell>
          <cell r="I501">
            <v>0</v>
          </cell>
          <cell r="J501" t="str">
            <v>תפעול</v>
          </cell>
        </row>
        <row r="502">
          <cell r="A502" t="str">
            <v>רד סי אופטיקל נטוורק</v>
          </cell>
          <cell r="B502">
            <v>2004</v>
          </cell>
          <cell r="C502">
            <v>23</v>
          </cell>
          <cell r="D502" t="str">
            <v>הר זיו צבי</v>
          </cell>
          <cell r="E502">
            <v>10</v>
          </cell>
          <cell r="F502">
            <v>91</v>
          </cell>
          <cell r="G502" t="str">
            <v>זק.השתלמות</v>
          </cell>
          <cell r="H502">
            <v>1233.29</v>
          </cell>
          <cell r="I502">
            <v>0</v>
          </cell>
          <cell r="J502" t="str">
            <v>תפעול</v>
          </cell>
        </row>
        <row r="503">
          <cell r="A503" t="str">
            <v>רד סי אופטיקל נטוורק</v>
          </cell>
          <cell r="B503">
            <v>2004</v>
          </cell>
          <cell r="C503">
            <v>23</v>
          </cell>
          <cell r="D503" t="str">
            <v>הר זיו צבי</v>
          </cell>
          <cell r="E503">
            <v>10</v>
          </cell>
          <cell r="F503">
            <v>93</v>
          </cell>
          <cell r="G503" t="str">
            <v>זק.תגמולים</v>
          </cell>
          <cell r="H503">
            <v>79.25</v>
          </cell>
          <cell r="I503">
            <v>0</v>
          </cell>
          <cell r="J503" t="str">
            <v>תפעול</v>
          </cell>
        </row>
        <row r="504">
          <cell r="A504" t="str">
            <v>רד סי אופטיקל נטוורק</v>
          </cell>
          <cell r="B504">
            <v>2004</v>
          </cell>
          <cell r="C504">
            <v>23</v>
          </cell>
          <cell r="D504" t="str">
            <v>הר זיו צבי</v>
          </cell>
          <cell r="E504">
            <v>11</v>
          </cell>
          <cell r="F504">
            <v>24</v>
          </cell>
          <cell r="G504" t="str">
            <v>שוויארוחות</v>
          </cell>
          <cell r="H504">
            <v>441</v>
          </cell>
          <cell r="I504">
            <v>21</v>
          </cell>
          <cell r="J504" t="str">
            <v>תפעול</v>
          </cell>
        </row>
        <row r="505">
          <cell r="A505" t="str">
            <v>רד סי אופטיקל נטוורק</v>
          </cell>
          <cell r="B505">
            <v>2004</v>
          </cell>
          <cell r="C505">
            <v>23</v>
          </cell>
          <cell r="D505" t="str">
            <v>הר זיו צבי</v>
          </cell>
          <cell r="E505">
            <v>11</v>
          </cell>
          <cell r="F505">
            <v>40</v>
          </cell>
          <cell r="G505" t="str">
            <v>רכב קב' 2</v>
          </cell>
          <cell r="H505">
            <v>980</v>
          </cell>
          <cell r="I505">
            <v>0</v>
          </cell>
          <cell r="J505" t="str">
            <v>תפעול</v>
          </cell>
        </row>
        <row r="506">
          <cell r="A506" t="str">
            <v>רד סי אופטיקל נטוורק</v>
          </cell>
          <cell r="B506">
            <v>2004</v>
          </cell>
          <cell r="C506">
            <v>23</v>
          </cell>
          <cell r="D506" t="str">
            <v>הר זיו צבי</v>
          </cell>
          <cell r="E506">
            <v>11</v>
          </cell>
          <cell r="F506">
            <v>47</v>
          </cell>
          <cell r="G506" t="str">
            <v>שווי פלא</v>
          </cell>
          <cell r="H506">
            <v>85</v>
          </cell>
          <cell r="I506">
            <v>0</v>
          </cell>
          <cell r="J506" t="str">
            <v>תפעול</v>
          </cell>
        </row>
        <row r="507">
          <cell r="A507" t="str">
            <v>רד סי אופטיקל נטוורק</v>
          </cell>
          <cell r="B507">
            <v>2004</v>
          </cell>
          <cell r="C507">
            <v>23</v>
          </cell>
          <cell r="D507" t="str">
            <v>הר זיו צבי</v>
          </cell>
          <cell r="E507">
            <v>11</v>
          </cell>
          <cell r="F507">
            <v>91</v>
          </cell>
          <cell r="G507" t="str">
            <v>זק.השתלמות</v>
          </cell>
          <cell r="H507">
            <v>1233.29</v>
          </cell>
          <cell r="I507">
            <v>0</v>
          </cell>
          <cell r="J507" t="str">
            <v>תפעול</v>
          </cell>
        </row>
        <row r="508">
          <cell r="A508" t="str">
            <v>רד סי אופטיקל נטוורק</v>
          </cell>
          <cell r="B508">
            <v>2004</v>
          </cell>
          <cell r="C508">
            <v>23</v>
          </cell>
          <cell r="D508" t="str">
            <v>הר זיו צבי</v>
          </cell>
          <cell r="E508">
            <v>11</v>
          </cell>
          <cell r="F508">
            <v>93</v>
          </cell>
          <cell r="G508" t="str">
            <v>זק.תגמולים</v>
          </cell>
          <cell r="H508">
            <v>79.25</v>
          </cell>
          <cell r="I508">
            <v>0</v>
          </cell>
          <cell r="J508" t="str">
            <v>תפעול</v>
          </cell>
        </row>
        <row r="509">
          <cell r="A509" t="str">
            <v>רד סי אופטיקל נטוורק</v>
          </cell>
          <cell r="B509">
            <v>2004</v>
          </cell>
          <cell r="C509">
            <v>23</v>
          </cell>
          <cell r="D509" t="str">
            <v>הר זיו צבי</v>
          </cell>
          <cell r="E509">
            <v>12</v>
          </cell>
          <cell r="F509">
            <v>22</v>
          </cell>
          <cell r="G509" t="str">
            <v>שווי מתנות</v>
          </cell>
          <cell r="H509">
            <v>0</v>
          </cell>
          <cell r="I509">
            <v>0</v>
          </cell>
          <cell r="J509" t="str">
            <v>תפעול</v>
          </cell>
        </row>
        <row r="510">
          <cell r="A510" t="str">
            <v>רד סי אופטיקל נטוורק</v>
          </cell>
          <cell r="B510">
            <v>2004</v>
          </cell>
          <cell r="C510">
            <v>23</v>
          </cell>
          <cell r="D510" t="str">
            <v>הר זיו צבי</v>
          </cell>
          <cell r="E510">
            <v>12</v>
          </cell>
          <cell r="F510">
            <v>24</v>
          </cell>
          <cell r="G510" t="str">
            <v>שוויארוחות</v>
          </cell>
          <cell r="H510">
            <v>462</v>
          </cell>
          <cell r="I510">
            <v>22</v>
          </cell>
          <cell r="J510" t="str">
            <v>תפעול</v>
          </cell>
        </row>
        <row r="511">
          <cell r="A511" t="str">
            <v>רד סי אופטיקל נטוורק</v>
          </cell>
          <cell r="B511">
            <v>2004</v>
          </cell>
          <cell r="C511">
            <v>23</v>
          </cell>
          <cell r="D511" t="str">
            <v>הר זיו צבי</v>
          </cell>
          <cell r="E511">
            <v>12</v>
          </cell>
          <cell r="F511">
            <v>40</v>
          </cell>
          <cell r="G511" t="str">
            <v>רכב קב' 2</v>
          </cell>
          <cell r="H511">
            <v>980</v>
          </cell>
          <cell r="I511">
            <v>0</v>
          </cell>
          <cell r="J511" t="str">
            <v>תפעול</v>
          </cell>
        </row>
        <row r="512">
          <cell r="A512" t="str">
            <v>רד סי אופטיקל נטוורק</v>
          </cell>
          <cell r="B512">
            <v>2004</v>
          </cell>
          <cell r="C512">
            <v>23</v>
          </cell>
          <cell r="D512" t="str">
            <v>הר זיו צבי</v>
          </cell>
          <cell r="E512">
            <v>12</v>
          </cell>
          <cell r="F512">
            <v>47</v>
          </cell>
          <cell r="G512" t="str">
            <v>שווי פלא</v>
          </cell>
          <cell r="H512">
            <v>85</v>
          </cell>
          <cell r="I512">
            <v>0</v>
          </cell>
          <cell r="J512" t="str">
            <v>תפעול</v>
          </cell>
        </row>
        <row r="513">
          <cell r="A513" t="str">
            <v>רד סי אופטיקל נטוורק</v>
          </cell>
          <cell r="B513">
            <v>2004</v>
          </cell>
          <cell r="C513">
            <v>23</v>
          </cell>
          <cell r="D513" t="str">
            <v>הר זיו צבי</v>
          </cell>
          <cell r="E513">
            <v>12</v>
          </cell>
          <cell r="F513">
            <v>91</v>
          </cell>
          <cell r="G513" t="str">
            <v>זק.השתלמות</v>
          </cell>
          <cell r="H513">
            <v>1233.29</v>
          </cell>
          <cell r="I513">
            <v>0</v>
          </cell>
          <cell r="J513" t="str">
            <v>תפעול</v>
          </cell>
        </row>
        <row r="514">
          <cell r="A514" t="str">
            <v>רד סי אופטיקל נטוורק</v>
          </cell>
          <cell r="B514">
            <v>2004</v>
          </cell>
          <cell r="C514">
            <v>23</v>
          </cell>
          <cell r="D514" t="str">
            <v>הר זיו צבי</v>
          </cell>
          <cell r="E514">
            <v>12</v>
          </cell>
          <cell r="F514">
            <v>93</v>
          </cell>
          <cell r="G514" t="str">
            <v>זק.תגמולים</v>
          </cell>
          <cell r="H514">
            <v>79.25</v>
          </cell>
          <cell r="I514">
            <v>0</v>
          </cell>
          <cell r="J514" t="str">
            <v>תפעול</v>
          </cell>
        </row>
        <row r="515">
          <cell r="A515" t="str">
            <v>רד סי אופטיקל נטוורק</v>
          </cell>
          <cell r="B515">
            <v>2004</v>
          </cell>
          <cell r="C515">
            <v>24</v>
          </cell>
          <cell r="D515" t="str">
            <v>בגנו יצחק</v>
          </cell>
          <cell r="E515">
            <v>1</v>
          </cell>
          <cell r="F515">
            <v>24</v>
          </cell>
          <cell r="G515" t="str">
            <v>שוויארוחות</v>
          </cell>
          <cell r="H515">
            <v>450</v>
          </cell>
          <cell r="I515">
            <v>1</v>
          </cell>
          <cell r="J515" t="str">
            <v>מו"פ</v>
          </cell>
        </row>
        <row r="516">
          <cell r="A516" t="str">
            <v>רד סי אופטיקל נטוורק</v>
          </cell>
          <cell r="B516">
            <v>2004</v>
          </cell>
          <cell r="C516">
            <v>24</v>
          </cell>
          <cell r="D516" t="str">
            <v>בגנו יצחק</v>
          </cell>
          <cell r="E516">
            <v>1</v>
          </cell>
          <cell r="F516">
            <v>40</v>
          </cell>
          <cell r="G516" t="str">
            <v>רכב קב' 2</v>
          </cell>
          <cell r="H516">
            <v>980</v>
          </cell>
          <cell r="I516">
            <v>0</v>
          </cell>
          <cell r="J516" t="str">
            <v>מו"פ</v>
          </cell>
        </row>
        <row r="517">
          <cell r="A517" t="str">
            <v>רד סי אופטיקל נטוורק</v>
          </cell>
          <cell r="B517">
            <v>2004</v>
          </cell>
          <cell r="C517">
            <v>24</v>
          </cell>
          <cell r="D517" t="str">
            <v>בגנו יצחק</v>
          </cell>
          <cell r="E517">
            <v>1</v>
          </cell>
          <cell r="F517">
            <v>91</v>
          </cell>
          <cell r="G517" t="str">
            <v>זק.השתלמות</v>
          </cell>
          <cell r="H517">
            <v>656.69</v>
          </cell>
          <cell r="I517">
            <v>0</v>
          </cell>
          <cell r="J517" t="str">
            <v>מו"פ</v>
          </cell>
        </row>
        <row r="518">
          <cell r="A518" t="str">
            <v>רד סי אופטיקל נטוורק</v>
          </cell>
          <cell r="B518">
            <v>2004</v>
          </cell>
          <cell r="C518">
            <v>24</v>
          </cell>
          <cell r="D518" t="str">
            <v>בגנו יצחק</v>
          </cell>
          <cell r="E518">
            <v>2</v>
          </cell>
          <cell r="F518">
            <v>24</v>
          </cell>
          <cell r="G518" t="str">
            <v>שוויארוחות</v>
          </cell>
          <cell r="H518">
            <v>387</v>
          </cell>
          <cell r="I518">
            <v>0.86</v>
          </cell>
          <cell r="J518" t="str">
            <v>מו"פ</v>
          </cell>
        </row>
        <row r="519">
          <cell r="A519" t="str">
            <v>רד סי אופטיקל נטוורק</v>
          </cell>
          <cell r="B519">
            <v>2004</v>
          </cell>
          <cell r="C519">
            <v>24</v>
          </cell>
          <cell r="D519" t="str">
            <v>בגנו יצחק</v>
          </cell>
          <cell r="E519">
            <v>2</v>
          </cell>
          <cell r="F519">
            <v>40</v>
          </cell>
          <cell r="G519" t="str">
            <v>רכב קב' 2</v>
          </cell>
          <cell r="H519">
            <v>980</v>
          </cell>
          <cell r="I519">
            <v>0</v>
          </cell>
          <cell r="J519" t="str">
            <v>מו"פ</v>
          </cell>
        </row>
        <row r="520">
          <cell r="A520" t="str">
            <v>רד סי אופטיקל נטוורק</v>
          </cell>
          <cell r="B520">
            <v>2004</v>
          </cell>
          <cell r="C520">
            <v>24</v>
          </cell>
          <cell r="D520" t="str">
            <v>בגנו יצחק</v>
          </cell>
          <cell r="E520">
            <v>2</v>
          </cell>
          <cell r="F520">
            <v>91</v>
          </cell>
          <cell r="G520" t="str">
            <v>זק.השתלמות</v>
          </cell>
          <cell r="H520">
            <v>656.69</v>
          </cell>
          <cell r="I520">
            <v>0</v>
          </cell>
          <cell r="J520" t="str">
            <v>מו"פ</v>
          </cell>
        </row>
        <row r="521">
          <cell r="A521" t="str">
            <v>רד סי אופטיקל נטוורק</v>
          </cell>
          <cell r="B521">
            <v>2004</v>
          </cell>
          <cell r="C521">
            <v>24</v>
          </cell>
          <cell r="D521" t="str">
            <v>בגנו יצחק</v>
          </cell>
          <cell r="E521">
            <v>3</v>
          </cell>
          <cell r="F521">
            <v>22</v>
          </cell>
          <cell r="G521" t="str">
            <v>שווי מתנות</v>
          </cell>
          <cell r="H521">
            <v>186.25</v>
          </cell>
          <cell r="I521">
            <v>0</v>
          </cell>
          <cell r="J521" t="str">
            <v>מו"פ</v>
          </cell>
        </row>
        <row r="522">
          <cell r="A522" t="str">
            <v>רד סי אופטיקל נטוורק</v>
          </cell>
          <cell r="B522">
            <v>2004</v>
          </cell>
          <cell r="C522">
            <v>24</v>
          </cell>
          <cell r="D522" t="str">
            <v>בגנו יצחק</v>
          </cell>
          <cell r="E522">
            <v>3</v>
          </cell>
          <cell r="F522">
            <v>24</v>
          </cell>
          <cell r="G522" t="str">
            <v>שוויארוחות</v>
          </cell>
          <cell r="H522">
            <v>387</v>
          </cell>
          <cell r="I522">
            <v>0.86</v>
          </cell>
          <cell r="J522" t="str">
            <v>מו"פ</v>
          </cell>
        </row>
        <row r="523">
          <cell r="A523" t="str">
            <v>רד סי אופטיקל נטוורק</v>
          </cell>
          <cell r="B523">
            <v>2004</v>
          </cell>
          <cell r="C523">
            <v>24</v>
          </cell>
          <cell r="D523" t="str">
            <v>בגנו יצחק</v>
          </cell>
          <cell r="E523">
            <v>3</v>
          </cell>
          <cell r="F523">
            <v>40</v>
          </cell>
          <cell r="G523" t="str">
            <v>רכב קב' 2</v>
          </cell>
          <cell r="H523">
            <v>980</v>
          </cell>
          <cell r="I523">
            <v>0</v>
          </cell>
          <cell r="J523" t="str">
            <v>מו"פ</v>
          </cell>
        </row>
        <row r="524">
          <cell r="A524" t="str">
            <v>רד סי אופטיקל נטוורק</v>
          </cell>
          <cell r="B524">
            <v>2004</v>
          </cell>
          <cell r="C524">
            <v>24</v>
          </cell>
          <cell r="D524" t="str">
            <v>בגנו יצחק</v>
          </cell>
          <cell r="E524">
            <v>3</v>
          </cell>
          <cell r="F524">
            <v>91</v>
          </cell>
          <cell r="G524" t="str">
            <v>זק.השתלמות</v>
          </cell>
          <cell r="H524">
            <v>633.29</v>
          </cell>
          <cell r="I524">
            <v>0</v>
          </cell>
          <cell r="J524" t="str">
            <v>מו"פ</v>
          </cell>
        </row>
        <row r="525">
          <cell r="A525" t="str">
            <v>רד סי אופטיקל נטוורק</v>
          </cell>
          <cell r="B525">
            <v>2004</v>
          </cell>
          <cell r="C525">
            <v>24</v>
          </cell>
          <cell r="D525" t="str">
            <v>בגנו יצחק</v>
          </cell>
          <cell r="E525">
            <v>4</v>
          </cell>
          <cell r="F525">
            <v>24</v>
          </cell>
          <cell r="G525" t="str">
            <v>שוויארוחות</v>
          </cell>
          <cell r="H525">
            <v>387</v>
          </cell>
          <cell r="I525">
            <v>0.86</v>
          </cell>
          <cell r="J525" t="str">
            <v>מו"פ</v>
          </cell>
        </row>
        <row r="526">
          <cell r="A526" t="str">
            <v>רד סי אופטיקל נטוורק</v>
          </cell>
          <cell r="B526">
            <v>2004</v>
          </cell>
          <cell r="C526">
            <v>24</v>
          </cell>
          <cell r="D526" t="str">
            <v>בגנו יצחק</v>
          </cell>
          <cell r="E526">
            <v>4</v>
          </cell>
          <cell r="F526">
            <v>40</v>
          </cell>
          <cell r="G526" t="str">
            <v>רכב קב' 2</v>
          </cell>
          <cell r="H526">
            <v>980</v>
          </cell>
          <cell r="I526">
            <v>0</v>
          </cell>
          <cell r="J526" t="str">
            <v>מו"פ</v>
          </cell>
        </row>
        <row r="527">
          <cell r="A527" t="str">
            <v>רד סי אופטיקל נטוורק</v>
          </cell>
          <cell r="B527">
            <v>2004</v>
          </cell>
          <cell r="C527">
            <v>24</v>
          </cell>
          <cell r="D527" t="str">
            <v>בגנו יצחק</v>
          </cell>
          <cell r="E527">
            <v>4</v>
          </cell>
          <cell r="F527">
            <v>91</v>
          </cell>
          <cell r="G527" t="str">
            <v>זק.השתלמות</v>
          </cell>
          <cell r="H527">
            <v>633.29</v>
          </cell>
          <cell r="I527">
            <v>0</v>
          </cell>
          <cell r="J527" t="str">
            <v>מו"פ</v>
          </cell>
        </row>
        <row r="528">
          <cell r="A528" t="str">
            <v>רד סי אופטיקל נטוורק</v>
          </cell>
          <cell r="B528">
            <v>2004</v>
          </cell>
          <cell r="C528">
            <v>24</v>
          </cell>
          <cell r="D528" t="str">
            <v>בגנו יצחק</v>
          </cell>
          <cell r="E528">
            <v>5</v>
          </cell>
          <cell r="F528">
            <v>24</v>
          </cell>
          <cell r="G528" t="str">
            <v>שוויארוחות</v>
          </cell>
          <cell r="H528">
            <v>450</v>
          </cell>
          <cell r="I528">
            <v>1</v>
          </cell>
          <cell r="J528" t="str">
            <v>מו"פ</v>
          </cell>
        </row>
        <row r="529">
          <cell r="A529" t="str">
            <v>רד סי אופטיקל נטוורק</v>
          </cell>
          <cell r="B529">
            <v>2004</v>
          </cell>
          <cell r="C529">
            <v>24</v>
          </cell>
          <cell r="D529" t="str">
            <v>בגנו יצחק</v>
          </cell>
          <cell r="E529">
            <v>5</v>
          </cell>
          <cell r="F529">
            <v>40</v>
          </cell>
          <cell r="G529" t="str">
            <v>רכב קב' 2</v>
          </cell>
          <cell r="H529">
            <v>980</v>
          </cell>
          <cell r="I529">
            <v>0</v>
          </cell>
          <cell r="J529" t="str">
            <v>מו"פ</v>
          </cell>
        </row>
        <row r="530">
          <cell r="A530" t="str">
            <v>רד סי אופטיקל נטוורק</v>
          </cell>
          <cell r="B530">
            <v>2004</v>
          </cell>
          <cell r="C530">
            <v>24</v>
          </cell>
          <cell r="D530" t="str">
            <v>בגנו יצחק</v>
          </cell>
          <cell r="E530">
            <v>5</v>
          </cell>
          <cell r="F530">
            <v>91</v>
          </cell>
          <cell r="G530" t="str">
            <v>זק.השתלמות</v>
          </cell>
          <cell r="H530">
            <v>633.29</v>
          </cell>
          <cell r="I530">
            <v>0</v>
          </cell>
          <cell r="J530" t="str">
            <v>מו"פ</v>
          </cell>
        </row>
        <row r="531">
          <cell r="A531" t="str">
            <v>רד סי אופטיקל נטוורק</v>
          </cell>
          <cell r="B531">
            <v>2004</v>
          </cell>
          <cell r="C531">
            <v>24</v>
          </cell>
          <cell r="D531" t="str">
            <v>בגנו יצחק</v>
          </cell>
          <cell r="E531">
            <v>6</v>
          </cell>
          <cell r="F531">
            <v>24</v>
          </cell>
          <cell r="G531" t="str">
            <v>שוויארוחות</v>
          </cell>
          <cell r="H531">
            <v>450</v>
          </cell>
          <cell r="I531">
            <v>1</v>
          </cell>
          <cell r="J531" t="str">
            <v>מו"פ</v>
          </cell>
        </row>
        <row r="532">
          <cell r="A532" t="str">
            <v>רד סי אופטיקל נטוורק</v>
          </cell>
          <cell r="B532">
            <v>2004</v>
          </cell>
          <cell r="C532">
            <v>24</v>
          </cell>
          <cell r="D532" t="str">
            <v>בגנו יצחק</v>
          </cell>
          <cell r="E532">
            <v>6</v>
          </cell>
          <cell r="F532">
            <v>40</v>
          </cell>
          <cell r="G532" t="str">
            <v>רכב קב' 2</v>
          </cell>
          <cell r="H532">
            <v>980</v>
          </cell>
          <cell r="I532">
            <v>0</v>
          </cell>
          <cell r="J532" t="str">
            <v>מו"פ</v>
          </cell>
        </row>
        <row r="533">
          <cell r="A533" t="str">
            <v>רד סי אופטיקל נטוורק</v>
          </cell>
          <cell r="B533">
            <v>2004</v>
          </cell>
          <cell r="C533">
            <v>24</v>
          </cell>
          <cell r="D533" t="str">
            <v>בגנו יצחק</v>
          </cell>
          <cell r="E533">
            <v>6</v>
          </cell>
          <cell r="F533">
            <v>91</v>
          </cell>
          <cell r="G533" t="str">
            <v>זק.השתלמות</v>
          </cell>
          <cell r="H533">
            <v>633.29</v>
          </cell>
          <cell r="I533">
            <v>0</v>
          </cell>
          <cell r="J533" t="str">
            <v>מו"פ</v>
          </cell>
        </row>
        <row r="534">
          <cell r="A534" t="str">
            <v>רד סי אופטיקל נטוורק</v>
          </cell>
          <cell r="B534">
            <v>2004</v>
          </cell>
          <cell r="C534">
            <v>24</v>
          </cell>
          <cell r="D534" t="str">
            <v>בגנו יצחק</v>
          </cell>
          <cell r="E534">
            <v>7</v>
          </cell>
          <cell r="F534">
            <v>24</v>
          </cell>
          <cell r="G534" t="str">
            <v>שוויארוחות</v>
          </cell>
          <cell r="H534">
            <v>450</v>
          </cell>
          <cell r="I534">
            <v>1</v>
          </cell>
          <cell r="J534" t="str">
            <v>מו"פ</v>
          </cell>
        </row>
        <row r="535">
          <cell r="A535" t="str">
            <v>רד סי אופטיקל נטוורק</v>
          </cell>
          <cell r="B535">
            <v>2004</v>
          </cell>
          <cell r="C535">
            <v>24</v>
          </cell>
          <cell r="D535" t="str">
            <v>בגנו יצחק</v>
          </cell>
          <cell r="E535">
            <v>7</v>
          </cell>
          <cell r="F535">
            <v>40</v>
          </cell>
          <cell r="G535" t="str">
            <v>רכב קב' 2</v>
          </cell>
          <cell r="H535">
            <v>980</v>
          </cell>
          <cell r="I535">
            <v>0</v>
          </cell>
          <cell r="J535" t="str">
            <v>מו"פ</v>
          </cell>
        </row>
        <row r="536">
          <cell r="A536" t="str">
            <v>רד סי אופטיקל נטוורק</v>
          </cell>
          <cell r="B536">
            <v>2004</v>
          </cell>
          <cell r="C536">
            <v>24</v>
          </cell>
          <cell r="D536" t="str">
            <v>בגנו יצחק</v>
          </cell>
          <cell r="E536">
            <v>7</v>
          </cell>
          <cell r="F536">
            <v>91</v>
          </cell>
          <cell r="G536" t="str">
            <v>זק.השתלמות</v>
          </cell>
          <cell r="H536">
            <v>633.29</v>
          </cell>
          <cell r="I536">
            <v>0</v>
          </cell>
          <cell r="J536" t="str">
            <v>מו"פ</v>
          </cell>
        </row>
        <row r="537">
          <cell r="A537" t="str">
            <v>רד סי אופטיקל נטוורק</v>
          </cell>
          <cell r="B537">
            <v>2004</v>
          </cell>
          <cell r="C537">
            <v>24</v>
          </cell>
          <cell r="D537" t="str">
            <v>בגנו יצחק</v>
          </cell>
          <cell r="E537">
            <v>8</v>
          </cell>
          <cell r="F537">
            <v>24</v>
          </cell>
          <cell r="G537" t="str">
            <v>שוויארוחות</v>
          </cell>
          <cell r="H537">
            <v>483</v>
          </cell>
          <cell r="I537">
            <v>23</v>
          </cell>
          <cell r="J537" t="str">
            <v>מו"פ</v>
          </cell>
        </row>
        <row r="538">
          <cell r="A538" t="str">
            <v>רד סי אופטיקל נטוורק</v>
          </cell>
          <cell r="B538">
            <v>2004</v>
          </cell>
          <cell r="C538">
            <v>24</v>
          </cell>
          <cell r="D538" t="str">
            <v>בגנו יצחק</v>
          </cell>
          <cell r="E538">
            <v>8</v>
          </cell>
          <cell r="F538">
            <v>40</v>
          </cell>
          <cell r="G538" t="str">
            <v>רכב קב' 2</v>
          </cell>
          <cell r="H538">
            <v>980</v>
          </cell>
          <cell r="I538">
            <v>0</v>
          </cell>
          <cell r="J538" t="str">
            <v>מו"פ</v>
          </cell>
        </row>
        <row r="539">
          <cell r="A539" t="str">
            <v>רד סי אופטיקל נטוורק</v>
          </cell>
          <cell r="B539">
            <v>2004</v>
          </cell>
          <cell r="C539">
            <v>24</v>
          </cell>
          <cell r="D539" t="str">
            <v>בגנו יצחק</v>
          </cell>
          <cell r="E539">
            <v>8</v>
          </cell>
          <cell r="F539">
            <v>91</v>
          </cell>
          <cell r="G539" t="str">
            <v>זק.השתלמות</v>
          </cell>
          <cell r="H539">
            <v>633.29</v>
          </cell>
          <cell r="I539">
            <v>0</v>
          </cell>
          <cell r="J539" t="str">
            <v>מו"פ</v>
          </cell>
        </row>
        <row r="540">
          <cell r="A540" t="str">
            <v>רד סי אופטיקל נטוורק</v>
          </cell>
          <cell r="B540">
            <v>2004</v>
          </cell>
          <cell r="C540">
            <v>24</v>
          </cell>
          <cell r="D540" t="str">
            <v>בגנו יצחק</v>
          </cell>
          <cell r="E540">
            <v>9</v>
          </cell>
          <cell r="F540">
            <v>22</v>
          </cell>
          <cell r="G540" t="str">
            <v>שווי מתנות</v>
          </cell>
          <cell r="H540">
            <v>459.25</v>
          </cell>
          <cell r="I540">
            <v>0</v>
          </cell>
          <cell r="J540" t="str">
            <v>מו"פ</v>
          </cell>
        </row>
        <row r="541">
          <cell r="A541" t="str">
            <v>רד סי אופטיקל נטוורק</v>
          </cell>
          <cell r="B541">
            <v>2004</v>
          </cell>
          <cell r="C541">
            <v>24</v>
          </cell>
          <cell r="D541" t="str">
            <v>בגנו יצחק</v>
          </cell>
          <cell r="E541">
            <v>9</v>
          </cell>
          <cell r="F541">
            <v>24</v>
          </cell>
          <cell r="G541" t="str">
            <v>שוויארוחות</v>
          </cell>
          <cell r="H541">
            <v>378</v>
          </cell>
          <cell r="I541">
            <v>18</v>
          </cell>
          <cell r="J541" t="str">
            <v>מו"פ</v>
          </cell>
        </row>
        <row r="542">
          <cell r="A542" t="str">
            <v>רד סי אופטיקל נטוורק</v>
          </cell>
          <cell r="B542">
            <v>2004</v>
          </cell>
          <cell r="C542">
            <v>24</v>
          </cell>
          <cell r="D542" t="str">
            <v>בגנו יצחק</v>
          </cell>
          <cell r="E542">
            <v>9</v>
          </cell>
          <cell r="F542">
            <v>40</v>
          </cell>
          <cell r="G542" t="str">
            <v>רכב קב' 2</v>
          </cell>
          <cell r="H542">
            <v>980</v>
          </cell>
          <cell r="I542">
            <v>0</v>
          </cell>
          <cell r="J542" t="str">
            <v>מו"פ</v>
          </cell>
        </row>
        <row r="543">
          <cell r="A543" t="str">
            <v>רד סי אופטיקל נטוורק</v>
          </cell>
          <cell r="B543">
            <v>2004</v>
          </cell>
          <cell r="C543">
            <v>24</v>
          </cell>
          <cell r="D543" t="str">
            <v>בגנו יצחק</v>
          </cell>
          <cell r="E543">
            <v>9</v>
          </cell>
          <cell r="F543">
            <v>91</v>
          </cell>
          <cell r="G543" t="str">
            <v>זק.השתלמות</v>
          </cell>
          <cell r="H543">
            <v>633.29</v>
          </cell>
          <cell r="I543">
            <v>0</v>
          </cell>
          <cell r="J543" t="str">
            <v>מו"פ</v>
          </cell>
        </row>
        <row r="544">
          <cell r="A544" t="str">
            <v>רד סי אופטיקל נטוורק</v>
          </cell>
          <cell r="B544">
            <v>2004</v>
          </cell>
          <cell r="C544">
            <v>24</v>
          </cell>
          <cell r="D544" t="str">
            <v>בגנו יצחק</v>
          </cell>
          <cell r="E544">
            <v>10</v>
          </cell>
          <cell r="F544">
            <v>24</v>
          </cell>
          <cell r="G544" t="str">
            <v>שוויארוחות</v>
          </cell>
          <cell r="H544">
            <v>399</v>
          </cell>
          <cell r="I544">
            <v>19</v>
          </cell>
          <cell r="J544" t="str">
            <v>מו"פ</v>
          </cell>
        </row>
        <row r="545">
          <cell r="A545" t="str">
            <v>רד סי אופטיקל נטוורק</v>
          </cell>
          <cell r="B545">
            <v>2004</v>
          </cell>
          <cell r="C545">
            <v>24</v>
          </cell>
          <cell r="D545" t="str">
            <v>בגנו יצחק</v>
          </cell>
          <cell r="E545">
            <v>10</v>
          </cell>
          <cell r="F545">
            <v>40</v>
          </cell>
          <cell r="G545" t="str">
            <v>רכב קב' 2</v>
          </cell>
          <cell r="H545">
            <v>980</v>
          </cell>
          <cell r="I545">
            <v>0</v>
          </cell>
          <cell r="J545" t="str">
            <v>מו"פ</v>
          </cell>
        </row>
        <row r="546">
          <cell r="A546" t="str">
            <v>רד סי אופטיקל נטוורק</v>
          </cell>
          <cell r="B546">
            <v>2004</v>
          </cell>
          <cell r="C546">
            <v>24</v>
          </cell>
          <cell r="D546" t="str">
            <v>בגנו יצחק</v>
          </cell>
          <cell r="E546">
            <v>10</v>
          </cell>
          <cell r="F546">
            <v>91</v>
          </cell>
          <cell r="G546" t="str">
            <v>זק.השתלמות</v>
          </cell>
          <cell r="H546">
            <v>633.29</v>
          </cell>
          <cell r="I546">
            <v>0</v>
          </cell>
          <cell r="J546" t="str">
            <v>מו"פ</v>
          </cell>
        </row>
        <row r="547">
          <cell r="A547" t="str">
            <v>רד סי אופטיקל נטוורק</v>
          </cell>
          <cell r="B547">
            <v>2004</v>
          </cell>
          <cell r="C547">
            <v>24</v>
          </cell>
          <cell r="D547" t="str">
            <v>בגנו יצחק</v>
          </cell>
          <cell r="E547">
            <v>11</v>
          </cell>
          <cell r="F547">
            <v>24</v>
          </cell>
          <cell r="G547" t="str">
            <v>שוויארוחות</v>
          </cell>
          <cell r="H547">
            <v>441</v>
          </cell>
          <cell r="I547">
            <v>21</v>
          </cell>
          <cell r="J547" t="str">
            <v>מו"פ</v>
          </cell>
        </row>
        <row r="548">
          <cell r="A548" t="str">
            <v>רד סי אופטיקל נטוורק</v>
          </cell>
          <cell r="B548">
            <v>2004</v>
          </cell>
          <cell r="C548">
            <v>24</v>
          </cell>
          <cell r="D548" t="str">
            <v>בגנו יצחק</v>
          </cell>
          <cell r="E548">
            <v>11</v>
          </cell>
          <cell r="F548">
            <v>40</v>
          </cell>
          <cell r="G548" t="str">
            <v>רכב קב' 2</v>
          </cell>
          <cell r="H548">
            <v>980</v>
          </cell>
          <cell r="I548">
            <v>0</v>
          </cell>
          <cell r="J548" t="str">
            <v>מו"פ</v>
          </cell>
        </row>
        <row r="549">
          <cell r="A549" t="str">
            <v>רד סי אופטיקל נטוורק</v>
          </cell>
          <cell r="B549">
            <v>2004</v>
          </cell>
          <cell r="C549">
            <v>24</v>
          </cell>
          <cell r="D549" t="str">
            <v>בגנו יצחק</v>
          </cell>
          <cell r="E549">
            <v>11</v>
          </cell>
          <cell r="F549">
            <v>91</v>
          </cell>
          <cell r="G549" t="str">
            <v>זק.השתלמות</v>
          </cell>
          <cell r="H549">
            <v>633.29</v>
          </cell>
          <cell r="I549">
            <v>0</v>
          </cell>
          <cell r="J549" t="str">
            <v>מו"פ</v>
          </cell>
        </row>
        <row r="550">
          <cell r="A550" t="str">
            <v>רד סי אופטיקל נטוורק</v>
          </cell>
          <cell r="B550">
            <v>2004</v>
          </cell>
          <cell r="C550">
            <v>24</v>
          </cell>
          <cell r="D550" t="str">
            <v>בגנו יצחק</v>
          </cell>
          <cell r="E550">
            <v>12</v>
          </cell>
          <cell r="F550">
            <v>22</v>
          </cell>
          <cell r="G550" t="str">
            <v>שווי מתנות</v>
          </cell>
          <cell r="H550">
            <v>0</v>
          </cell>
          <cell r="I550">
            <v>0</v>
          </cell>
          <cell r="J550" t="str">
            <v>מו"פ</v>
          </cell>
        </row>
        <row r="551">
          <cell r="A551" t="str">
            <v>רד סי אופטיקל נטוורק</v>
          </cell>
          <cell r="B551">
            <v>2004</v>
          </cell>
          <cell r="C551">
            <v>24</v>
          </cell>
          <cell r="D551" t="str">
            <v>בגנו יצחק</v>
          </cell>
          <cell r="E551">
            <v>12</v>
          </cell>
          <cell r="F551">
            <v>24</v>
          </cell>
          <cell r="G551" t="str">
            <v>שוויארוחות</v>
          </cell>
          <cell r="H551">
            <v>462</v>
          </cell>
          <cell r="I551">
            <v>22</v>
          </cell>
          <cell r="J551" t="str">
            <v>מו"פ</v>
          </cell>
        </row>
        <row r="552">
          <cell r="A552" t="str">
            <v>רד סי אופטיקל נטוורק</v>
          </cell>
          <cell r="B552">
            <v>2004</v>
          </cell>
          <cell r="C552">
            <v>24</v>
          </cell>
          <cell r="D552" t="str">
            <v>בגנו יצחק</v>
          </cell>
          <cell r="E552">
            <v>12</v>
          </cell>
          <cell r="F552">
            <v>40</v>
          </cell>
          <cell r="G552" t="str">
            <v>רכב קב' 2</v>
          </cell>
          <cell r="H552">
            <v>980</v>
          </cell>
          <cell r="I552">
            <v>0</v>
          </cell>
          <cell r="J552" t="str">
            <v>מו"פ</v>
          </cell>
        </row>
        <row r="553">
          <cell r="A553" t="str">
            <v>רד סי אופטיקל נטוורק</v>
          </cell>
          <cell r="B553">
            <v>2004</v>
          </cell>
          <cell r="C553">
            <v>24</v>
          </cell>
          <cell r="D553" t="str">
            <v>בגנו יצחק</v>
          </cell>
          <cell r="E553">
            <v>12</v>
          </cell>
          <cell r="F553">
            <v>91</v>
          </cell>
          <cell r="G553" t="str">
            <v>זק.השתלמות</v>
          </cell>
          <cell r="H553">
            <v>633.29</v>
          </cell>
          <cell r="I553">
            <v>0</v>
          </cell>
          <cell r="J553" t="str">
            <v>מו"פ</v>
          </cell>
        </row>
        <row r="554">
          <cell r="A554" t="str">
            <v>רד סי אופטיקל נטוורק</v>
          </cell>
          <cell r="B554">
            <v>2004</v>
          </cell>
          <cell r="C554">
            <v>25</v>
          </cell>
          <cell r="D554" t="str">
            <v>גלוקמן עמיר</v>
          </cell>
          <cell r="E554">
            <v>1</v>
          </cell>
          <cell r="F554">
            <v>24</v>
          </cell>
          <cell r="G554" t="str">
            <v>שוויארוחות</v>
          </cell>
          <cell r="H554">
            <v>450</v>
          </cell>
          <cell r="I554">
            <v>0</v>
          </cell>
          <cell r="J554" t="str">
            <v>תפעול</v>
          </cell>
        </row>
        <row r="555">
          <cell r="A555" t="str">
            <v>רד סי אופטיקל נטוורק</v>
          </cell>
          <cell r="B555">
            <v>2004</v>
          </cell>
          <cell r="C555">
            <v>25</v>
          </cell>
          <cell r="D555" t="str">
            <v>גלוקמן עמיר</v>
          </cell>
          <cell r="E555">
            <v>1</v>
          </cell>
          <cell r="F555">
            <v>40</v>
          </cell>
          <cell r="G555" t="str">
            <v>רכב קב' 2</v>
          </cell>
          <cell r="H555">
            <v>980</v>
          </cell>
          <cell r="I555">
            <v>0</v>
          </cell>
          <cell r="J555" t="str">
            <v>תפעול</v>
          </cell>
        </row>
        <row r="556">
          <cell r="A556" t="str">
            <v>רד סי אופטיקל נטוורק</v>
          </cell>
          <cell r="B556">
            <v>2004</v>
          </cell>
          <cell r="C556">
            <v>25</v>
          </cell>
          <cell r="D556" t="str">
            <v>גלוקמן עמיר</v>
          </cell>
          <cell r="E556">
            <v>2</v>
          </cell>
          <cell r="F556">
            <v>24</v>
          </cell>
          <cell r="G556" t="str">
            <v>שוויארוחות</v>
          </cell>
          <cell r="H556">
            <v>342</v>
          </cell>
          <cell r="I556">
            <v>0.76</v>
          </cell>
          <cell r="J556" t="str">
            <v>תפעול</v>
          </cell>
        </row>
        <row r="557">
          <cell r="A557" t="str">
            <v>רד סי אופטיקל נטוורק</v>
          </cell>
          <cell r="B557">
            <v>2004</v>
          </cell>
          <cell r="C557">
            <v>25</v>
          </cell>
          <cell r="D557" t="str">
            <v>גלוקמן עמיר</v>
          </cell>
          <cell r="E557">
            <v>2</v>
          </cell>
          <cell r="F557">
            <v>40</v>
          </cell>
          <cell r="G557" t="str">
            <v>רכב קב' 2</v>
          </cell>
          <cell r="H557">
            <v>980</v>
          </cell>
          <cell r="I557">
            <v>0</v>
          </cell>
          <cell r="J557" t="str">
            <v>תפעול</v>
          </cell>
        </row>
        <row r="558">
          <cell r="A558" t="str">
            <v>רד סי אופטיקל נטוורק</v>
          </cell>
          <cell r="B558">
            <v>2004</v>
          </cell>
          <cell r="C558">
            <v>25</v>
          </cell>
          <cell r="D558" t="str">
            <v>גלוקמן עמיר</v>
          </cell>
          <cell r="E558">
            <v>3</v>
          </cell>
          <cell r="F558">
            <v>22</v>
          </cell>
          <cell r="G558" t="str">
            <v>שווי מתנות</v>
          </cell>
          <cell r="H558">
            <v>186.25</v>
          </cell>
          <cell r="I558">
            <v>0</v>
          </cell>
          <cell r="J558" t="str">
            <v>תפעול</v>
          </cell>
        </row>
        <row r="559">
          <cell r="A559" t="str">
            <v>רד סי אופטיקל נטוורק</v>
          </cell>
          <cell r="B559">
            <v>2004</v>
          </cell>
          <cell r="C559">
            <v>25</v>
          </cell>
          <cell r="D559" t="str">
            <v>גלוקמן עמיר</v>
          </cell>
          <cell r="E559">
            <v>3</v>
          </cell>
          <cell r="F559">
            <v>24</v>
          </cell>
          <cell r="G559" t="str">
            <v>שוויארוחות</v>
          </cell>
          <cell r="H559">
            <v>450</v>
          </cell>
          <cell r="I559">
            <v>1</v>
          </cell>
          <cell r="J559" t="str">
            <v>תפעול</v>
          </cell>
        </row>
        <row r="560">
          <cell r="A560" t="str">
            <v>רד סי אופטיקל נטוורק</v>
          </cell>
          <cell r="B560">
            <v>2004</v>
          </cell>
          <cell r="C560">
            <v>25</v>
          </cell>
          <cell r="D560" t="str">
            <v>גלוקמן עמיר</v>
          </cell>
          <cell r="E560">
            <v>3</v>
          </cell>
          <cell r="F560">
            <v>40</v>
          </cell>
          <cell r="G560" t="str">
            <v>רכב קב' 2</v>
          </cell>
          <cell r="H560">
            <v>980</v>
          </cell>
          <cell r="I560">
            <v>0</v>
          </cell>
          <cell r="J560" t="str">
            <v>תפעול</v>
          </cell>
        </row>
        <row r="561">
          <cell r="A561" t="str">
            <v>רד סי אופטיקל נטוורק</v>
          </cell>
          <cell r="B561">
            <v>2004</v>
          </cell>
          <cell r="C561">
            <v>25</v>
          </cell>
          <cell r="D561" t="str">
            <v>גלוקמן עמיר</v>
          </cell>
          <cell r="E561">
            <v>4</v>
          </cell>
          <cell r="F561">
            <v>24</v>
          </cell>
          <cell r="G561" t="str">
            <v>שוויארוחות</v>
          </cell>
          <cell r="H561">
            <v>450</v>
          </cell>
          <cell r="I561">
            <v>1</v>
          </cell>
          <cell r="J561" t="str">
            <v>תפעול</v>
          </cell>
        </row>
        <row r="562">
          <cell r="A562" t="str">
            <v>רד סי אופטיקל נטוורק</v>
          </cell>
          <cell r="B562">
            <v>2004</v>
          </cell>
          <cell r="C562">
            <v>25</v>
          </cell>
          <cell r="D562" t="str">
            <v>גלוקמן עמיר</v>
          </cell>
          <cell r="E562">
            <v>4</v>
          </cell>
          <cell r="F562">
            <v>40</v>
          </cell>
          <cell r="G562" t="str">
            <v>רכב קב' 2</v>
          </cell>
          <cell r="H562">
            <v>980</v>
          </cell>
          <cell r="I562">
            <v>0</v>
          </cell>
          <cell r="J562" t="str">
            <v>תפעול</v>
          </cell>
        </row>
        <row r="563">
          <cell r="A563" t="str">
            <v>רד סי אופטיקל נטוורק</v>
          </cell>
          <cell r="B563">
            <v>2004</v>
          </cell>
          <cell r="C563">
            <v>25</v>
          </cell>
          <cell r="D563" t="str">
            <v>גלוקמן עמיר</v>
          </cell>
          <cell r="E563">
            <v>5</v>
          </cell>
          <cell r="F563">
            <v>24</v>
          </cell>
          <cell r="G563" t="str">
            <v>שוויארוחות</v>
          </cell>
          <cell r="H563">
            <v>450</v>
          </cell>
          <cell r="I563">
            <v>1</v>
          </cell>
          <cell r="J563" t="str">
            <v>תפעול</v>
          </cell>
        </row>
        <row r="564">
          <cell r="A564" t="str">
            <v>רד סי אופטיקל נטוורק</v>
          </cell>
          <cell r="B564">
            <v>2004</v>
          </cell>
          <cell r="C564">
            <v>25</v>
          </cell>
          <cell r="D564" t="str">
            <v>גלוקמן עמיר</v>
          </cell>
          <cell r="E564">
            <v>5</v>
          </cell>
          <cell r="F564">
            <v>40</v>
          </cell>
          <cell r="G564" t="str">
            <v>רכב קב' 2</v>
          </cell>
          <cell r="H564">
            <v>980</v>
          </cell>
          <cell r="I564">
            <v>0</v>
          </cell>
          <cell r="J564" t="str">
            <v>תפעול</v>
          </cell>
        </row>
        <row r="565">
          <cell r="A565" t="str">
            <v>רד סי אופטיקל נטוורק</v>
          </cell>
          <cell r="B565">
            <v>2004</v>
          </cell>
          <cell r="C565">
            <v>25</v>
          </cell>
          <cell r="D565" t="str">
            <v>גלוקמן עמיר</v>
          </cell>
          <cell r="E565">
            <v>6</v>
          </cell>
          <cell r="F565">
            <v>24</v>
          </cell>
          <cell r="G565" t="str">
            <v>שוויארוחות</v>
          </cell>
          <cell r="H565">
            <v>450</v>
          </cell>
          <cell r="I565">
            <v>1</v>
          </cell>
          <cell r="J565" t="str">
            <v>תפעול</v>
          </cell>
        </row>
        <row r="566">
          <cell r="A566" t="str">
            <v>רד סי אופטיקל נטוורק</v>
          </cell>
          <cell r="B566">
            <v>2004</v>
          </cell>
          <cell r="C566">
            <v>25</v>
          </cell>
          <cell r="D566" t="str">
            <v>גלוקמן עמיר</v>
          </cell>
          <cell r="E566">
            <v>6</v>
          </cell>
          <cell r="F566">
            <v>40</v>
          </cell>
          <cell r="G566" t="str">
            <v>רכב קב' 2</v>
          </cell>
          <cell r="H566">
            <v>980</v>
          </cell>
          <cell r="I566">
            <v>0</v>
          </cell>
          <cell r="J566" t="str">
            <v>תפעול</v>
          </cell>
        </row>
        <row r="567">
          <cell r="A567" t="str">
            <v>רד סי אופטיקל נטוורק</v>
          </cell>
          <cell r="B567">
            <v>2004</v>
          </cell>
          <cell r="C567">
            <v>25</v>
          </cell>
          <cell r="D567" t="str">
            <v>גלוקמן עמיר</v>
          </cell>
          <cell r="E567">
            <v>7</v>
          </cell>
          <cell r="F567">
            <v>24</v>
          </cell>
          <cell r="G567" t="str">
            <v>שוויארוחות</v>
          </cell>
          <cell r="H567">
            <v>450</v>
          </cell>
          <cell r="I567">
            <v>1</v>
          </cell>
          <cell r="J567" t="str">
            <v>תפעול</v>
          </cell>
        </row>
        <row r="568">
          <cell r="A568" t="str">
            <v>רד סי אופטיקל נטוורק</v>
          </cell>
          <cell r="B568">
            <v>2004</v>
          </cell>
          <cell r="C568">
            <v>25</v>
          </cell>
          <cell r="D568" t="str">
            <v>גלוקמן עמיר</v>
          </cell>
          <cell r="E568">
            <v>7</v>
          </cell>
          <cell r="F568">
            <v>40</v>
          </cell>
          <cell r="G568" t="str">
            <v>רכב קב' 2</v>
          </cell>
          <cell r="H568">
            <v>980</v>
          </cell>
          <cell r="I568">
            <v>0</v>
          </cell>
          <cell r="J568" t="str">
            <v>תפעול</v>
          </cell>
        </row>
        <row r="569">
          <cell r="A569" t="str">
            <v>רד סי אופטיקל נטוורק</v>
          </cell>
          <cell r="B569">
            <v>2004</v>
          </cell>
          <cell r="C569">
            <v>25</v>
          </cell>
          <cell r="D569" t="str">
            <v>גלוקמן עמיר</v>
          </cell>
          <cell r="E569">
            <v>7</v>
          </cell>
          <cell r="F569">
            <v>47</v>
          </cell>
          <cell r="G569" t="str">
            <v>שווי פלא</v>
          </cell>
          <cell r="H569">
            <v>595</v>
          </cell>
          <cell r="I569">
            <v>7</v>
          </cell>
          <cell r="J569" t="str">
            <v>תפעול</v>
          </cell>
        </row>
        <row r="570">
          <cell r="A570" t="str">
            <v>רד סי אופטיקל נטוורק</v>
          </cell>
          <cell r="B570">
            <v>2004</v>
          </cell>
          <cell r="C570">
            <v>25</v>
          </cell>
          <cell r="D570" t="str">
            <v>גלוקמן עמיר</v>
          </cell>
          <cell r="E570">
            <v>8</v>
          </cell>
          <cell r="F570">
            <v>24</v>
          </cell>
          <cell r="G570" t="str">
            <v>שוויארוחות</v>
          </cell>
          <cell r="H570">
            <v>483</v>
          </cell>
          <cell r="I570">
            <v>23</v>
          </cell>
          <cell r="J570" t="str">
            <v>תפעול</v>
          </cell>
        </row>
        <row r="571">
          <cell r="A571" t="str">
            <v>רד סי אופטיקל נטוורק</v>
          </cell>
          <cell r="B571">
            <v>2004</v>
          </cell>
          <cell r="C571">
            <v>25</v>
          </cell>
          <cell r="D571" t="str">
            <v>גלוקמן עמיר</v>
          </cell>
          <cell r="E571">
            <v>8</v>
          </cell>
          <cell r="F571">
            <v>40</v>
          </cell>
          <cell r="G571" t="str">
            <v>רכב קב' 2</v>
          </cell>
          <cell r="H571">
            <v>980</v>
          </cell>
          <cell r="I571">
            <v>0</v>
          </cell>
          <cell r="J571" t="str">
            <v>תפעול</v>
          </cell>
        </row>
        <row r="572">
          <cell r="A572" t="str">
            <v>רד סי אופטיקל נטוורק</v>
          </cell>
          <cell r="B572">
            <v>2004</v>
          </cell>
          <cell r="C572">
            <v>25</v>
          </cell>
          <cell r="D572" t="str">
            <v>גלוקמן עמיר</v>
          </cell>
          <cell r="E572">
            <v>8</v>
          </cell>
          <cell r="F572">
            <v>47</v>
          </cell>
          <cell r="G572" t="str">
            <v>שווי פלא</v>
          </cell>
          <cell r="H572">
            <v>85</v>
          </cell>
          <cell r="I572">
            <v>1</v>
          </cell>
          <cell r="J572" t="str">
            <v>תפעול</v>
          </cell>
        </row>
        <row r="573">
          <cell r="A573" t="str">
            <v>רד סי אופטיקל נטוורק</v>
          </cell>
          <cell r="B573">
            <v>2004</v>
          </cell>
          <cell r="C573">
            <v>25</v>
          </cell>
          <cell r="D573" t="str">
            <v>גלוקמן עמיר</v>
          </cell>
          <cell r="E573">
            <v>9</v>
          </cell>
          <cell r="F573">
            <v>22</v>
          </cell>
          <cell r="G573" t="str">
            <v>שווי מתנות</v>
          </cell>
          <cell r="H573">
            <v>459.25</v>
          </cell>
          <cell r="I573">
            <v>0</v>
          </cell>
          <cell r="J573" t="str">
            <v>תפעול</v>
          </cell>
        </row>
        <row r="574">
          <cell r="A574" t="str">
            <v>רד סי אופטיקל נטוורק</v>
          </cell>
          <cell r="B574">
            <v>2004</v>
          </cell>
          <cell r="C574">
            <v>25</v>
          </cell>
          <cell r="D574" t="str">
            <v>גלוקמן עמיר</v>
          </cell>
          <cell r="E574">
            <v>9</v>
          </cell>
          <cell r="F574">
            <v>24</v>
          </cell>
          <cell r="G574" t="str">
            <v>שוויארוחות</v>
          </cell>
          <cell r="H574">
            <v>378</v>
          </cell>
          <cell r="I574">
            <v>18</v>
          </cell>
          <cell r="J574" t="str">
            <v>תפעול</v>
          </cell>
        </row>
        <row r="575">
          <cell r="A575" t="str">
            <v>רד סי אופטיקל נטוורק</v>
          </cell>
          <cell r="B575">
            <v>2004</v>
          </cell>
          <cell r="C575">
            <v>25</v>
          </cell>
          <cell r="D575" t="str">
            <v>גלוקמן עמיר</v>
          </cell>
          <cell r="E575">
            <v>9</v>
          </cell>
          <cell r="F575">
            <v>40</v>
          </cell>
          <cell r="G575" t="str">
            <v>רכב קב' 2</v>
          </cell>
          <cell r="H575">
            <v>980</v>
          </cell>
          <cell r="I575">
            <v>0</v>
          </cell>
          <cell r="J575" t="str">
            <v>תפעול</v>
          </cell>
        </row>
        <row r="576">
          <cell r="A576" t="str">
            <v>רד סי אופטיקל נטוורק</v>
          </cell>
          <cell r="B576">
            <v>2004</v>
          </cell>
          <cell r="C576">
            <v>25</v>
          </cell>
          <cell r="D576" t="str">
            <v>גלוקמן עמיר</v>
          </cell>
          <cell r="E576">
            <v>9</v>
          </cell>
          <cell r="F576">
            <v>47</v>
          </cell>
          <cell r="G576" t="str">
            <v>שווי פלא</v>
          </cell>
          <cell r="H576">
            <v>85</v>
          </cell>
          <cell r="I576">
            <v>0</v>
          </cell>
          <cell r="J576" t="str">
            <v>תפעול</v>
          </cell>
        </row>
        <row r="577">
          <cell r="A577" t="str">
            <v>רד סי אופטיקל נטוורק</v>
          </cell>
          <cell r="B577">
            <v>2004</v>
          </cell>
          <cell r="C577">
            <v>25</v>
          </cell>
          <cell r="D577" t="str">
            <v>גלוקמן עמיר</v>
          </cell>
          <cell r="E577">
            <v>10</v>
          </cell>
          <cell r="F577">
            <v>24</v>
          </cell>
          <cell r="G577" t="str">
            <v>שוויארוחות</v>
          </cell>
          <cell r="H577">
            <v>399</v>
          </cell>
          <cell r="I577">
            <v>19</v>
          </cell>
          <cell r="J577" t="str">
            <v>תפעול</v>
          </cell>
        </row>
        <row r="578">
          <cell r="A578" t="str">
            <v>רד סי אופטיקל נטוורק</v>
          </cell>
          <cell r="B578">
            <v>2004</v>
          </cell>
          <cell r="C578">
            <v>25</v>
          </cell>
          <cell r="D578" t="str">
            <v>גלוקמן עמיר</v>
          </cell>
          <cell r="E578">
            <v>10</v>
          </cell>
          <cell r="F578">
            <v>40</v>
          </cell>
          <cell r="G578" t="str">
            <v>רכב קב' 2</v>
          </cell>
          <cell r="H578">
            <v>980</v>
          </cell>
          <cell r="I578">
            <v>0</v>
          </cell>
          <cell r="J578" t="str">
            <v>תפעול</v>
          </cell>
        </row>
        <row r="579">
          <cell r="A579" t="str">
            <v>רד סי אופטיקל נטוורק</v>
          </cell>
          <cell r="B579">
            <v>2004</v>
          </cell>
          <cell r="C579">
            <v>25</v>
          </cell>
          <cell r="D579" t="str">
            <v>גלוקמן עמיר</v>
          </cell>
          <cell r="E579">
            <v>10</v>
          </cell>
          <cell r="F579">
            <v>47</v>
          </cell>
          <cell r="G579" t="str">
            <v>שווי פלא</v>
          </cell>
          <cell r="H579">
            <v>85</v>
          </cell>
          <cell r="I579">
            <v>0</v>
          </cell>
          <cell r="J579" t="str">
            <v>תפעול</v>
          </cell>
        </row>
        <row r="580">
          <cell r="A580" t="str">
            <v>רד סי אופטיקל נטוורק</v>
          </cell>
          <cell r="B580">
            <v>2004</v>
          </cell>
          <cell r="C580">
            <v>27</v>
          </cell>
          <cell r="D580" t="str">
            <v>פיליבה יצחק</v>
          </cell>
          <cell r="E580">
            <v>1</v>
          </cell>
          <cell r="F580">
            <v>24</v>
          </cell>
          <cell r="G580" t="str">
            <v>שוויארוחות</v>
          </cell>
          <cell r="H580">
            <v>450</v>
          </cell>
          <cell r="I580">
            <v>0</v>
          </cell>
          <cell r="J580" t="str">
            <v>מו"פ</v>
          </cell>
        </row>
        <row r="581">
          <cell r="A581" t="str">
            <v>רד סי אופטיקל נטוורק</v>
          </cell>
          <cell r="B581">
            <v>2004</v>
          </cell>
          <cell r="C581">
            <v>27</v>
          </cell>
          <cell r="D581" t="str">
            <v>פיליבה יצחק</v>
          </cell>
          <cell r="E581">
            <v>1</v>
          </cell>
          <cell r="F581">
            <v>40</v>
          </cell>
          <cell r="G581" t="str">
            <v>רכב קב' 2</v>
          </cell>
          <cell r="H581">
            <v>980</v>
          </cell>
          <cell r="I581">
            <v>0</v>
          </cell>
          <cell r="J581" t="str">
            <v>מו"פ</v>
          </cell>
        </row>
        <row r="582">
          <cell r="A582" t="str">
            <v>רד סי אופטיקל נטוורק</v>
          </cell>
          <cell r="B582">
            <v>2004</v>
          </cell>
          <cell r="C582">
            <v>27</v>
          </cell>
          <cell r="D582" t="str">
            <v>פיליבה יצחק</v>
          </cell>
          <cell r="E582">
            <v>1</v>
          </cell>
          <cell r="F582">
            <v>91</v>
          </cell>
          <cell r="G582" t="str">
            <v>זק.השתלמות</v>
          </cell>
          <cell r="H582">
            <v>206.69</v>
          </cell>
          <cell r="I582">
            <v>0</v>
          </cell>
          <cell r="J582" t="str">
            <v>מו"פ</v>
          </cell>
        </row>
        <row r="583">
          <cell r="A583" t="str">
            <v>רד סי אופטיקל נטוורק</v>
          </cell>
          <cell r="B583">
            <v>2004</v>
          </cell>
          <cell r="C583">
            <v>27</v>
          </cell>
          <cell r="D583" t="str">
            <v>פיליבה יצחק</v>
          </cell>
          <cell r="E583">
            <v>2</v>
          </cell>
          <cell r="F583">
            <v>24</v>
          </cell>
          <cell r="G583" t="str">
            <v>שוויארוחות</v>
          </cell>
          <cell r="H583">
            <v>450</v>
          </cell>
          <cell r="I583">
            <v>0</v>
          </cell>
          <cell r="J583" t="str">
            <v>מו"פ</v>
          </cell>
        </row>
        <row r="584">
          <cell r="A584" t="str">
            <v>רד סי אופטיקל נטוורק</v>
          </cell>
          <cell r="B584">
            <v>2004</v>
          </cell>
          <cell r="C584">
            <v>27</v>
          </cell>
          <cell r="D584" t="str">
            <v>פיליבה יצחק</v>
          </cell>
          <cell r="E584">
            <v>2</v>
          </cell>
          <cell r="F584">
            <v>40</v>
          </cell>
          <cell r="G584" t="str">
            <v>רכב קב' 2</v>
          </cell>
          <cell r="H584">
            <v>980</v>
          </cell>
          <cell r="I584">
            <v>0</v>
          </cell>
          <cell r="J584" t="str">
            <v>מו"פ</v>
          </cell>
        </row>
        <row r="585">
          <cell r="A585" t="str">
            <v>רד סי אופטיקל נטוורק</v>
          </cell>
          <cell r="B585">
            <v>2004</v>
          </cell>
          <cell r="C585">
            <v>27</v>
          </cell>
          <cell r="D585" t="str">
            <v>פיליבה יצחק</v>
          </cell>
          <cell r="E585">
            <v>2</v>
          </cell>
          <cell r="F585">
            <v>91</v>
          </cell>
          <cell r="G585" t="str">
            <v>זק.השתלמות</v>
          </cell>
          <cell r="H585">
            <v>206.69</v>
          </cell>
          <cell r="I585">
            <v>0</v>
          </cell>
          <cell r="J585" t="str">
            <v>מו"פ</v>
          </cell>
        </row>
        <row r="586">
          <cell r="A586" t="str">
            <v>רד סי אופטיקל נטוורק</v>
          </cell>
          <cell r="B586">
            <v>2004</v>
          </cell>
          <cell r="C586">
            <v>27</v>
          </cell>
          <cell r="D586" t="str">
            <v>פיליבה יצחק</v>
          </cell>
          <cell r="E586">
            <v>3</v>
          </cell>
          <cell r="F586">
            <v>22</v>
          </cell>
          <cell r="G586" t="str">
            <v>שווי מתנות</v>
          </cell>
          <cell r="H586">
            <v>186.25</v>
          </cell>
          <cell r="I586">
            <v>0</v>
          </cell>
          <cell r="J586" t="str">
            <v>מו"פ</v>
          </cell>
        </row>
        <row r="587">
          <cell r="A587" t="str">
            <v>רד סי אופטיקל נטוורק</v>
          </cell>
          <cell r="B587">
            <v>2004</v>
          </cell>
          <cell r="C587">
            <v>27</v>
          </cell>
          <cell r="D587" t="str">
            <v>פיליבה יצחק</v>
          </cell>
          <cell r="E587">
            <v>3</v>
          </cell>
          <cell r="F587">
            <v>24</v>
          </cell>
          <cell r="G587" t="str">
            <v>שוויארוחות</v>
          </cell>
          <cell r="H587">
            <v>450</v>
          </cell>
          <cell r="I587">
            <v>0</v>
          </cell>
          <cell r="J587" t="str">
            <v>מו"פ</v>
          </cell>
        </row>
        <row r="588">
          <cell r="A588" t="str">
            <v>רד סי אופטיקל נטוורק</v>
          </cell>
          <cell r="B588">
            <v>2004</v>
          </cell>
          <cell r="C588">
            <v>27</v>
          </cell>
          <cell r="D588" t="str">
            <v>פיליבה יצחק</v>
          </cell>
          <cell r="E588">
            <v>3</v>
          </cell>
          <cell r="F588">
            <v>40</v>
          </cell>
          <cell r="G588" t="str">
            <v>רכב קב' 2</v>
          </cell>
          <cell r="H588">
            <v>980</v>
          </cell>
          <cell r="I588">
            <v>0</v>
          </cell>
          <cell r="J588" t="str">
            <v>מו"פ</v>
          </cell>
        </row>
        <row r="589">
          <cell r="A589" t="str">
            <v>רד סי אופטיקל נטוורק</v>
          </cell>
          <cell r="B589">
            <v>2004</v>
          </cell>
          <cell r="C589">
            <v>27</v>
          </cell>
          <cell r="D589" t="str">
            <v>פיליבה יצחק</v>
          </cell>
          <cell r="E589">
            <v>3</v>
          </cell>
          <cell r="F589">
            <v>91</v>
          </cell>
          <cell r="G589" t="str">
            <v>זק.השתלמות</v>
          </cell>
          <cell r="H589">
            <v>183.29</v>
          </cell>
          <cell r="I589">
            <v>0</v>
          </cell>
          <cell r="J589" t="str">
            <v>מו"פ</v>
          </cell>
        </row>
        <row r="590">
          <cell r="A590" t="str">
            <v>רד סי אופטיקל נטוורק</v>
          </cell>
          <cell r="B590">
            <v>2004</v>
          </cell>
          <cell r="C590">
            <v>27</v>
          </cell>
          <cell r="D590" t="str">
            <v>פיליבה יצחק</v>
          </cell>
          <cell r="E590">
            <v>4</v>
          </cell>
          <cell r="F590">
            <v>24</v>
          </cell>
          <cell r="G590" t="str">
            <v>שוויארוחות</v>
          </cell>
          <cell r="H590">
            <v>450</v>
          </cell>
          <cell r="I590">
            <v>0</v>
          </cell>
          <cell r="J590" t="str">
            <v>מו"פ</v>
          </cell>
        </row>
        <row r="591">
          <cell r="A591" t="str">
            <v>רד סי אופטיקל נטוורק</v>
          </cell>
          <cell r="B591">
            <v>2004</v>
          </cell>
          <cell r="C591">
            <v>27</v>
          </cell>
          <cell r="D591" t="str">
            <v>פיליבה יצחק</v>
          </cell>
          <cell r="E591">
            <v>4</v>
          </cell>
          <cell r="F591">
            <v>40</v>
          </cell>
          <cell r="G591" t="str">
            <v>רכב קב' 2</v>
          </cell>
          <cell r="H591">
            <v>980</v>
          </cell>
          <cell r="I591">
            <v>0</v>
          </cell>
          <cell r="J591" t="str">
            <v>מו"פ</v>
          </cell>
        </row>
        <row r="592">
          <cell r="A592" t="str">
            <v>רד סי אופטיקל נטוורק</v>
          </cell>
          <cell r="B592">
            <v>2004</v>
          </cell>
          <cell r="C592">
            <v>27</v>
          </cell>
          <cell r="D592" t="str">
            <v>פיליבה יצחק</v>
          </cell>
          <cell r="E592">
            <v>4</v>
          </cell>
          <cell r="F592">
            <v>91</v>
          </cell>
          <cell r="G592" t="str">
            <v>זק.השתלמות</v>
          </cell>
          <cell r="H592">
            <v>183.29</v>
          </cell>
          <cell r="I592">
            <v>0</v>
          </cell>
          <cell r="J592" t="str">
            <v>מו"פ</v>
          </cell>
        </row>
        <row r="593">
          <cell r="A593" t="str">
            <v>רד סי אופטיקל נטוורק</v>
          </cell>
          <cell r="B593">
            <v>2004</v>
          </cell>
          <cell r="C593">
            <v>27</v>
          </cell>
          <cell r="D593" t="str">
            <v>פיליבה יצחק</v>
          </cell>
          <cell r="E593">
            <v>5</v>
          </cell>
          <cell r="F593">
            <v>24</v>
          </cell>
          <cell r="G593" t="str">
            <v>שוויארוחות</v>
          </cell>
          <cell r="H593">
            <v>450</v>
          </cell>
          <cell r="I593">
            <v>0</v>
          </cell>
          <cell r="J593" t="str">
            <v>מו"פ</v>
          </cell>
        </row>
        <row r="594">
          <cell r="A594" t="str">
            <v>רד סי אופטיקל נטוורק</v>
          </cell>
          <cell r="B594">
            <v>2004</v>
          </cell>
          <cell r="C594">
            <v>27</v>
          </cell>
          <cell r="D594" t="str">
            <v>פיליבה יצחק</v>
          </cell>
          <cell r="E594">
            <v>5</v>
          </cell>
          <cell r="F594">
            <v>40</v>
          </cell>
          <cell r="G594" t="str">
            <v>רכב קב' 2</v>
          </cell>
          <cell r="H594">
            <v>980</v>
          </cell>
          <cell r="I594">
            <v>0</v>
          </cell>
          <cell r="J594" t="str">
            <v>מו"פ</v>
          </cell>
        </row>
        <row r="595">
          <cell r="A595" t="str">
            <v>רד סי אופטיקל נטוורק</v>
          </cell>
          <cell r="B595">
            <v>2004</v>
          </cell>
          <cell r="C595">
            <v>27</v>
          </cell>
          <cell r="D595" t="str">
            <v>פיליבה יצחק</v>
          </cell>
          <cell r="E595">
            <v>5</v>
          </cell>
          <cell r="F595">
            <v>91</v>
          </cell>
          <cell r="G595" t="str">
            <v>זק.השתלמות</v>
          </cell>
          <cell r="H595">
            <v>183.29</v>
          </cell>
          <cell r="I595">
            <v>0</v>
          </cell>
          <cell r="J595" t="str">
            <v>מו"פ</v>
          </cell>
        </row>
        <row r="596">
          <cell r="A596" t="str">
            <v>רד סי אופטיקל נטוורק</v>
          </cell>
          <cell r="B596">
            <v>2004</v>
          </cell>
          <cell r="C596">
            <v>27</v>
          </cell>
          <cell r="D596" t="str">
            <v>פיליבה יצחק</v>
          </cell>
          <cell r="E596">
            <v>6</v>
          </cell>
          <cell r="F596">
            <v>24</v>
          </cell>
          <cell r="G596" t="str">
            <v>שוויארוחות</v>
          </cell>
          <cell r="H596">
            <v>450</v>
          </cell>
          <cell r="I596">
            <v>0</v>
          </cell>
          <cell r="J596" t="str">
            <v>מו"פ</v>
          </cell>
        </row>
        <row r="597">
          <cell r="A597" t="str">
            <v>רד סי אופטיקל נטוורק</v>
          </cell>
          <cell r="B597">
            <v>2004</v>
          </cell>
          <cell r="C597">
            <v>27</v>
          </cell>
          <cell r="D597" t="str">
            <v>פיליבה יצחק</v>
          </cell>
          <cell r="E597">
            <v>6</v>
          </cell>
          <cell r="F597">
            <v>40</v>
          </cell>
          <cell r="G597" t="str">
            <v>רכב קב' 2</v>
          </cell>
          <cell r="H597">
            <v>980</v>
          </cell>
          <cell r="I597">
            <v>0</v>
          </cell>
          <cell r="J597" t="str">
            <v>מו"פ</v>
          </cell>
        </row>
        <row r="598">
          <cell r="A598" t="str">
            <v>רד סי אופטיקל נטוורק</v>
          </cell>
          <cell r="B598">
            <v>2004</v>
          </cell>
          <cell r="C598">
            <v>27</v>
          </cell>
          <cell r="D598" t="str">
            <v>פיליבה יצחק</v>
          </cell>
          <cell r="E598">
            <v>6</v>
          </cell>
          <cell r="F598">
            <v>91</v>
          </cell>
          <cell r="G598" t="str">
            <v>זק.השתלמות</v>
          </cell>
          <cell r="H598">
            <v>183.29</v>
          </cell>
          <cell r="I598">
            <v>0</v>
          </cell>
          <cell r="J598" t="str">
            <v>מו"פ</v>
          </cell>
        </row>
        <row r="599">
          <cell r="A599" t="str">
            <v>רד סי אופטיקל נטוורק</v>
          </cell>
          <cell r="B599">
            <v>2004</v>
          </cell>
          <cell r="C599">
            <v>27</v>
          </cell>
          <cell r="D599" t="str">
            <v>פיליבה יצחק</v>
          </cell>
          <cell r="E599">
            <v>7</v>
          </cell>
          <cell r="F599">
            <v>24</v>
          </cell>
          <cell r="G599" t="str">
            <v>שוויארוחות</v>
          </cell>
          <cell r="H599">
            <v>450</v>
          </cell>
          <cell r="I599">
            <v>0</v>
          </cell>
          <cell r="J599" t="str">
            <v>מו"פ</v>
          </cell>
        </row>
        <row r="600">
          <cell r="A600" t="str">
            <v>רד סי אופטיקל נטוורק</v>
          </cell>
          <cell r="B600">
            <v>2004</v>
          </cell>
          <cell r="C600">
            <v>27</v>
          </cell>
          <cell r="D600" t="str">
            <v>פיליבה יצחק</v>
          </cell>
          <cell r="E600">
            <v>7</v>
          </cell>
          <cell r="F600">
            <v>40</v>
          </cell>
          <cell r="G600" t="str">
            <v>רכב קב' 2</v>
          </cell>
          <cell r="H600">
            <v>980</v>
          </cell>
          <cell r="I600">
            <v>0</v>
          </cell>
          <cell r="J600" t="str">
            <v>מו"פ</v>
          </cell>
        </row>
        <row r="601">
          <cell r="A601" t="str">
            <v>רד סי אופטיקל נטוורק</v>
          </cell>
          <cell r="B601">
            <v>2004</v>
          </cell>
          <cell r="C601">
            <v>27</v>
          </cell>
          <cell r="D601" t="str">
            <v>פיליבה יצחק</v>
          </cell>
          <cell r="E601">
            <v>7</v>
          </cell>
          <cell r="F601">
            <v>91</v>
          </cell>
          <cell r="G601" t="str">
            <v>זק.השתלמות</v>
          </cell>
          <cell r="H601">
            <v>183.29</v>
          </cell>
          <cell r="I601">
            <v>0</v>
          </cell>
          <cell r="J601" t="str">
            <v>מו"פ</v>
          </cell>
        </row>
        <row r="602">
          <cell r="A602" t="str">
            <v>רד סי אופטיקל נטוורק</v>
          </cell>
          <cell r="B602">
            <v>2004</v>
          </cell>
          <cell r="C602">
            <v>27</v>
          </cell>
          <cell r="D602" t="str">
            <v>פיליבה יצחק</v>
          </cell>
          <cell r="E602">
            <v>8</v>
          </cell>
          <cell r="F602">
            <v>24</v>
          </cell>
          <cell r="G602" t="str">
            <v>שוויארוחות</v>
          </cell>
          <cell r="H602">
            <v>483</v>
          </cell>
          <cell r="I602">
            <v>23</v>
          </cell>
          <cell r="J602" t="str">
            <v>מו"פ</v>
          </cell>
        </row>
        <row r="603">
          <cell r="A603" t="str">
            <v>רד סי אופטיקל נטוורק</v>
          </cell>
          <cell r="B603">
            <v>2004</v>
          </cell>
          <cell r="C603">
            <v>27</v>
          </cell>
          <cell r="D603" t="str">
            <v>פיליבה יצחק</v>
          </cell>
          <cell r="E603">
            <v>8</v>
          </cell>
          <cell r="F603">
            <v>40</v>
          </cell>
          <cell r="G603" t="str">
            <v>רכב קב' 2</v>
          </cell>
          <cell r="H603">
            <v>980</v>
          </cell>
          <cell r="I603">
            <v>0</v>
          </cell>
          <cell r="J603" t="str">
            <v>מו"פ</v>
          </cell>
        </row>
        <row r="604">
          <cell r="A604" t="str">
            <v>רד סי אופטיקל נטוורק</v>
          </cell>
          <cell r="B604">
            <v>2004</v>
          </cell>
          <cell r="C604">
            <v>27</v>
          </cell>
          <cell r="D604" t="str">
            <v>פיליבה יצחק</v>
          </cell>
          <cell r="E604">
            <v>8</v>
          </cell>
          <cell r="F604">
            <v>91</v>
          </cell>
          <cell r="G604" t="str">
            <v>זק.השתלמות</v>
          </cell>
          <cell r="H604">
            <v>183.29</v>
          </cell>
          <cell r="I604">
            <v>0</v>
          </cell>
          <cell r="J604" t="str">
            <v>מו"פ</v>
          </cell>
        </row>
        <row r="605">
          <cell r="A605" t="str">
            <v>רד סי אופטיקל נטוורק</v>
          </cell>
          <cell r="B605">
            <v>2004</v>
          </cell>
          <cell r="C605">
            <v>27</v>
          </cell>
          <cell r="D605" t="str">
            <v>פיליבה יצחק</v>
          </cell>
          <cell r="E605">
            <v>9</v>
          </cell>
          <cell r="F605">
            <v>22</v>
          </cell>
          <cell r="G605" t="str">
            <v>שווי מתנות</v>
          </cell>
          <cell r="H605">
            <v>459.25</v>
          </cell>
          <cell r="I605">
            <v>0</v>
          </cell>
          <cell r="J605" t="str">
            <v>מו"פ</v>
          </cell>
        </row>
        <row r="606">
          <cell r="A606" t="str">
            <v>רד סי אופטיקל נטוורק</v>
          </cell>
          <cell r="B606">
            <v>2004</v>
          </cell>
          <cell r="C606">
            <v>27</v>
          </cell>
          <cell r="D606" t="str">
            <v>פיליבה יצחק</v>
          </cell>
          <cell r="E606">
            <v>9</v>
          </cell>
          <cell r="F606">
            <v>24</v>
          </cell>
          <cell r="G606" t="str">
            <v>שוויארוחות</v>
          </cell>
          <cell r="H606">
            <v>378</v>
          </cell>
          <cell r="I606">
            <v>18</v>
          </cell>
          <cell r="J606" t="str">
            <v>מו"פ</v>
          </cell>
        </row>
        <row r="607">
          <cell r="A607" t="str">
            <v>רד סי אופטיקל נטוורק</v>
          </cell>
          <cell r="B607">
            <v>2004</v>
          </cell>
          <cell r="C607">
            <v>27</v>
          </cell>
          <cell r="D607" t="str">
            <v>פיליבה יצחק</v>
          </cell>
          <cell r="E607">
            <v>9</v>
          </cell>
          <cell r="F607">
            <v>40</v>
          </cell>
          <cell r="G607" t="str">
            <v>רכב קב' 2</v>
          </cell>
          <cell r="H607">
            <v>980</v>
          </cell>
          <cell r="I607">
            <v>0</v>
          </cell>
          <cell r="J607" t="str">
            <v>מו"פ</v>
          </cell>
        </row>
        <row r="608">
          <cell r="A608" t="str">
            <v>רד סי אופטיקל נטוורק</v>
          </cell>
          <cell r="B608">
            <v>2004</v>
          </cell>
          <cell r="C608">
            <v>27</v>
          </cell>
          <cell r="D608" t="str">
            <v>פיליבה יצחק</v>
          </cell>
          <cell r="E608">
            <v>9</v>
          </cell>
          <cell r="F608">
            <v>91</v>
          </cell>
          <cell r="G608" t="str">
            <v>זק.השתלמות</v>
          </cell>
          <cell r="H608">
            <v>183.29</v>
          </cell>
          <cell r="I608">
            <v>0</v>
          </cell>
          <cell r="J608" t="str">
            <v>מו"פ</v>
          </cell>
        </row>
        <row r="609">
          <cell r="A609" t="str">
            <v>רד סי אופטיקל נטוורק</v>
          </cell>
          <cell r="B609">
            <v>2004</v>
          </cell>
          <cell r="C609">
            <v>27</v>
          </cell>
          <cell r="D609" t="str">
            <v>פיליבה יצחק</v>
          </cell>
          <cell r="E609">
            <v>10</v>
          </cell>
          <cell r="F609">
            <v>24</v>
          </cell>
          <cell r="G609" t="str">
            <v>שוויארוחות</v>
          </cell>
          <cell r="H609">
            <v>399</v>
          </cell>
          <cell r="I609">
            <v>19</v>
          </cell>
          <cell r="J609" t="str">
            <v>מו"פ</v>
          </cell>
        </row>
        <row r="610">
          <cell r="A610" t="str">
            <v>רד סי אופטיקל נטוורק</v>
          </cell>
          <cell r="B610">
            <v>2004</v>
          </cell>
          <cell r="C610">
            <v>27</v>
          </cell>
          <cell r="D610" t="str">
            <v>פיליבה יצחק</v>
          </cell>
          <cell r="E610">
            <v>10</v>
          </cell>
          <cell r="F610">
            <v>40</v>
          </cell>
          <cell r="G610" t="str">
            <v>רכב קב' 2</v>
          </cell>
          <cell r="H610">
            <v>980</v>
          </cell>
          <cell r="I610">
            <v>0</v>
          </cell>
          <cell r="J610" t="str">
            <v>מו"פ</v>
          </cell>
        </row>
        <row r="611">
          <cell r="A611" t="str">
            <v>רד סי אופטיקל נטוורק</v>
          </cell>
          <cell r="B611">
            <v>2004</v>
          </cell>
          <cell r="C611">
            <v>27</v>
          </cell>
          <cell r="D611" t="str">
            <v>פיליבה יצחק</v>
          </cell>
          <cell r="E611">
            <v>10</v>
          </cell>
          <cell r="F611">
            <v>91</v>
          </cell>
          <cell r="G611" t="str">
            <v>זק.השתלמות</v>
          </cell>
          <cell r="H611">
            <v>183.29</v>
          </cell>
          <cell r="I611">
            <v>0</v>
          </cell>
          <cell r="J611" t="str">
            <v>מו"פ</v>
          </cell>
        </row>
        <row r="612">
          <cell r="A612" t="str">
            <v>רד סי אופטיקל נטוורק</v>
          </cell>
          <cell r="B612">
            <v>2004</v>
          </cell>
          <cell r="C612">
            <v>27</v>
          </cell>
          <cell r="D612" t="str">
            <v>פיליבה יצחק</v>
          </cell>
          <cell r="E612">
            <v>11</v>
          </cell>
          <cell r="F612">
            <v>24</v>
          </cell>
          <cell r="G612" t="str">
            <v>שוויארוחות</v>
          </cell>
          <cell r="H612">
            <v>399</v>
          </cell>
          <cell r="I612">
            <v>19</v>
          </cell>
          <cell r="J612" t="str">
            <v>מו"פ</v>
          </cell>
        </row>
        <row r="613">
          <cell r="A613" t="str">
            <v>רד סי אופטיקל נטוורק</v>
          </cell>
          <cell r="B613">
            <v>2004</v>
          </cell>
          <cell r="C613">
            <v>27</v>
          </cell>
          <cell r="D613" t="str">
            <v>פיליבה יצחק</v>
          </cell>
          <cell r="E613">
            <v>11</v>
          </cell>
          <cell r="F613">
            <v>40</v>
          </cell>
          <cell r="G613" t="str">
            <v>רכב קב' 2</v>
          </cell>
          <cell r="H613">
            <v>980</v>
          </cell>
          <cell r="I613">
            <v>0</v>
          </cell>
          <cell r="J613" t="str">
            <v>מו"פ</v>
          </cell>
        </row>
        <row r="614">
          <cell r="A614" t="str">
            <v>רד סי אופטיקל נטוורק</v>
          </cell>
          <cell r="B614">
            <v>2004</v>
          </cell>
          <cell r="C614">
            <v>27</v>
          </cell>
          <cell r="D614" t="str">
            <v>פיליבה יצחק</v>
          </cell>
          <cell r="E614">
            <v>11</v>
          </cell>
          <cell r="F614">
            <v>91</v>
          </cell>
          <cell r="G614" t="str">
            <v>זק.השתלמות</v>
          </cell>
          <cell r="H614">
            <v>183.29</v>
          </cell>
          <cell r="I614">
            <v>0</v>
          </cell>
          <cell r="J614" t="str">
            <v>מו"פ</v>
          </cell>
        </row>
        <row r="615">
          <cell r="A615" t="str">
            <v>רד סי אופטיקל נטוורק</v>
          </cell>
          <cell r="B615">
            <v>2004</v>
          </cell>
          <cell r="C615">
            <v>27</v>
          </cell>
          <cell r="D615" t="str">
            <v>פיליבה יצחק</v>
          </cell>
          <cell r="E615">
            <v>12</v>
          </cell>
          <cell r="F615">
            <v>22</v>
          </cell>
          <cell r="G615" t="str">
            <v>שווי מתנות</v>
          </cell>
          <cell r="H615">
            <v>0</v>
          </cell>
          <cell r="I615">
            <v>0</v>
          </cell>
          <cell r="J615" t="str">
            <v>מו"פ</v>
          </cell>
        </row>
        <row r="616">
          <cell r="A616" t="str">
            <v>רד סי אופטיקל נטוורק</v>
          </cell>
          <cell r="B616">
            <v>2004</v>
          </cell>
          <cell r="C616">
            <v>27</v>
          </cell>
          <cell r="D616" t="str">
            <v>פיליבה יצחק</v>
          </cell>
          <cell r="E616">
            <v>12</v>
          </cell>
          <cell r="F616">
            <v>24</v>
          </cell>
          <cell r="G616" t="str">
            <v>שוויארוחות</v>
          </cell>
          <cell r="H616">
            <v>462</v>
          </cell>
          <cell r="I616">
            <v>22</v>
          </cell>
          <cell r="J616" t="str">
            <v>מו"פ</v>
          </cell>
        </row>
        <row r="617">
          <cell r="A617" t="str">
            <v>רד סי אופטיקל נטוורק</v>
          </cell>
          <cell r="B617">
            <v>2004</v>
          </cell>
          <cell r="C617">
            <v>27</v>
          </cell>
          <cell r="D617" t="str">
            <v>פיליבה יצחק</v>
          </cell>
          <cell r="E617">
            <v>12</v>
          </cell>
          <cell r="F617">
            <v>40</v>
          </cell>
          <cell r="G617" t="str">
            <v>רכב קב' 2</v>
          </cell>
          <cell r="H617">
            <v>980</v>
          </cell>
          <cell r="I617">
            <v>0</v>
          </cell>
          <cell r="J617" t="str">
            <v>מו"פ</v>
          </cell>
        </row>
        <row r="618">
          <cell r="A618" t="str">
            <v>רד סי אופטיקל נטוורק</v>
          </cell>
          <cell r="B618">
            <v>2004</v>
          </cell>
          <cell r="C618">
            <v>27</v>
          </cell>
          <cell r="D618" t="str">
            <v>פיליבה יצחק</v>
          </cell>
          <cell r="E618">
            <v>12</v>
          </cell>
          <cell r="F618">
            <v>91</v>
          </cell>
          <cell r="G618" t="str">
            <v>זק.השתלמות</v>
          </cell>
          <cell r="H618">
            <v>183.29</v>
          </cell>
          <cell r="I618">
            <v>0</v>
          </cell>
          <cell r="J618" t="str">
            <v>מו"פ</v>
          </cell>
        </row>
        <row r="619">
          <cell r="A619" t="str">
            <v>רד סי אופטיקל נטוורק</v>
          </cell>
          <cell r="B619">
            <v>2004</v>
          </cell>
          <cell r="C619">
            <v>28</v>
          </cell>
          <cell r="D619" t="str">
            <v>ברכה חיים</v>
          </cell>
          <cell r="E619">
            <v>1</v>
          </cell>
          <cell r="F619">
            <v>24</v>
          </cell>
          <cell r="G619" t="str">
            <v>שוויארוחות</v>
          </cell>
          <cell r="H619">
            <v>450</v>
          </cell>
          <cell r="I619">
            <v>0</v>
          </cell>
          <cell r="J619" t="str">
            <v>מו"פ</v>
          </cell>
        </row>
        <row r="620">
          <cell r="A620" t="str">
            <v>רד סי אופטיקל נטוורק</v>
          </cell>
          <cell r="B620">
            <v>2004</v>
          </cell>
          <cell r="C620">
            <v>28</v>
          </cell>
          <cell r="D620" t="str">
            <v>ברכה חיים</v>
          </cell>
          <cell r="E620">
            <v>1</v>
          </cell>
          <cell r="F620">
            <v>40</v>
          </cell>
          <cell r="G620" t="str">
            <v>רכב קב' 2</v>
          </cell>
          <cell r="H620">
            <v>980</v>
          </cell>
          <cell r="I620">
            <v>0</v>
          </cell>
          <cell r="J620" t="str">
            <v>מו"פ</v>
          </cell>
        </row>
        <row r="621">
          <cell r="A621" t="str">
            <v>רד סי אופטיקל נטוורק</v>
          </cell>
          <cell r="B621">
            <v>2004</v>
          </cell>
          <cell r="C621">
            <v>28</v>
          </cell>
          <cell r="D621" t="str">
            <v>ברכה חיים</v>
          </cell>
          <cell r="E621">
            <v>1</v>
          </cell>
          <cell r="F621">
            <v>91</v>
          </cell>
          <cell r="G621" t="str">
            <v>זק.השתלמות</v>
          </cell>
          <cell r="H621">
            <v>94.19</v>
          </cell>
          <cell r="I621">
            <v>0</v>
          </cell>
          <cell r="J621" t="str">
            <v>מו"פ</v>
          </cell>
        </row>
        <row r="622">
          <cell r="A622" t="str">
            <v>רד סי אופטיקל נטוורק</v>
          </cell>
          <cell r="B622">
            <v>2004</v>
          </cell>
          <cell r="C622">
            <v>28</v>
          </cell>
          <cell r="D622" t="str">
            <v>ברכה חיים</v>
          </cell>
          <cell r="E622">
            <v>2</v>
          </cell>
          <cell r="F622">
            <v>24</v>
          </cell>
          <cell r="G622" t="str">
            <v>שוויארוחות</v>
          </cell>
          <cell r="H622">
            <v>450</v>
          </cell>
          <cell r="I622">
            <v>0</v>
          </cell>
          <cell r="J622" t="str">
            <v>מו"פ</v>
          </cell>
        </row>
        <row r="623">
          <cell r="A623" t="str">
            <v>רד סי אופטיקל נטוורק</v>
          </cell>
          <cell r="B623">
            <v>2004</v>
          </cell>
          <cell r="C623">
            <v>28</v>
          </cell>
          <cell r="D623" t="str">
            <v>ברכה חיים</v>
          </cell>
          <cell r="E623">
            <v>2</v>
          </cell>
          <cell r="F623">
            <v>40</v>
          </cell>
          <cell r="G623" t="str">
            <v>רכב קב' 2</v>
          </cell>
          <cell r="H623">
            <v>980</v>
          </cell>
          <cell r="I623">
            <v>0</v>
          </cell>
          <cell r="J623" t="str">
            <v>מו"פ</v>
          </cell>
        </row>
        <row r="624">
          <cell r="A624" t="str">
            <v>רד סי אופטיקל נטוורק</v>
          </cell>
          <cell r="B624">
            <v>2004</v>
          </cell>
          <cell r="C624">
            <v>28</v>
          </cell>
          <cell r="D624" t="str">
            <v>ברכה חיים</v>
          </cell>
          <cell r="E624">
            <v>2</v>
          </cell>
          <cell r="F624">
            <v>91</v>
          </cell>
          <cell r="G624" t="str">
            <v>זק.השתלמות</v>
          </cell>
          <cell r="H624">
            <v>94.19</v>
          </cell>
          <cell r="I624">
            <v>0</v>
          </cell>
          <cell r="J624" t="str">
            <v>מו"פ</v>
          </cell>
        </row>
        <row r="625">
          <cell r="A625" t="str">
            <v>רד סי אופטיקל נטוורק</v>
          </cell>
          <cell r="B625">
            <v>2004</v>
          </cell>
          <cell r="C625">
            <v>28</v>
          </cell>
          <cell r="D625" t="str">
            <v>ברכה חיים</v>
          </cell>
          <cell r="E625">
            <v>3</v>
          </cell>
          <cell r="F625">
            <v>22</v>
          </cell>
          <cell r="G625" t="str">
            <v>שווי מתנות</v>
          </cell>
          <cell r="H625">
            <v>186.25</v>
          </cell>
          <cell r="I625">
            <v>0</v>
          </cell>
          <cell r="J625" t="str">
            <v>מו"פ</v>
          </cell>
        </row>
        <row r="626">
          <cell r="A626" t="str">
            <v>רד סי אופטיקל נטוורק</v>
          </cell>
          <cell r="B626">
            <v>2004</v>
          </cell>
          <cell r="C626">
            <v>28</v>
          </cell>
          <cell r="D626" t="str">
            <v>ברכה חיים</v>
          </cell>
          <cell r="E626">
            <v>3</v>
          </cell>
          <cell r="F626">
            <v>24</v>
          </cell>
          <cell r="G626" t="str">
            <v>שוויארוחות</v>
          </cell>
          <cell r="H626">
            <v>450</v>
          </cell>
          <cell r="I626">
            <v>0</v>
          </cell>
          <cell r="J626" t="str">
            <v>מו"פ</v>
          </cell>
        </row>
        <row r="627">
          <cell r="A627" t="str">
            <v>רד סי אופטיקל נטוורק</v>
          </cell>
          <cell r="B627">
            <v>2004</v>
          </cell>
          <cell r="C627">
            <v>28</v>
          </cell>
          <cell r="D627" t="str">
            <v>ברכה חיים</v>
          </cell>
          <cell r="E627">
            <v>3</v>
          </cell>
          <cell r="F627">
            <v>40</v>
          </cell>
          <cell r="G627" t="str">
            <v>רכב קב' 2</v>
          </cell>
          <cell r="H627">
            <v>980</v>
          </cell>
          <cell r="I627">
            <v>0</v>
          </cell>
          <cell r="J627" t="str">
            <v>מו"פ</v>
          </cell>
        </row>
        <row r="628">
          <cell r="A628" t="str">
            <v>רד סי אופטיקל נטוורק</v>
          </cell>
          <cell r="B628">
            <v>2004</v>
          </cell>
          <cell r="C628">
            <v>28</v>
          </cell>
          <cell r="D628" t="str">
            <v>ברכה חיים</v>
          </cell>
          <cell r="E628">
            <v>3</v>
          </cell>
          <cell r="F628">
            <v>91</v>
          </cell>
          <cell r="G628" t="str">
            <v>זק.השתלמות</v>
          </cell>
          <cell r="H628">
            <v>70.790000000000006</v>
          </cell>
          <cell r="I628">
            <v>0</v>
          </cell>
          <cell r="J628" t="str">
            <v>מו"פ</v>
          </cell>
        </row>
        <row r="629">
          <cell r="A629" t="str">
            <v>רד סי אופטיקל נטוורק</v>
          </cell>
          <cell r="B629">
            <v>2004</v>
          </cell>
          <cell r="C629">
            <v>28</v>
          </cell>
          <cell r="D629" t="str">
            <v>ברכה חיים</v>
          </cell>
          <cell r="E629">
            <v>4</v>
          </cell>
          <cell r="F629">
            <v>24</v>
          </cell>
          <cell r="G629" t="str">
            <v>שוויארוחות</v>
          </cell>
          <cell r="H629">
            <v>450</v>
          </cell>
          <cell r="I629">
            <v>0</v>
          </cell>
          <cell r="J629" t="str">
            <v>מו"פ</v>
          </cell>
        </row>
        <row r="630">
          <cell r="A630" t="str">
            <v>רד סי אופטיקל נטוורק</v>
          </cell>
          <cell r="B630">
            <v>2004</v>
          </cell>
          <cell r="C630">
            <v>28</v>
          </cell>
          <cell r="D630" t="str">
            <v>ברכה חיים</v>
          </cell>
          <cell r="E630">
            <v>4</v>
          </cell>
          <cell r="F630">
            <v>40</v>
          </cell>
          <cell r="G630" t="str">
            <v>רכב קב' 2</v>
          </cell>
          <cell r="H630">
            <v>980</v>
          </cell>
          <cell r="I630">
            <v>0</v>
          </cell>
          <cell r="J630" t="str">
            <v>מו"פ</v>
          </cell>
        </row>
        <row r="631">
          <cell r="A631" t="str">
            <v>רד סי אופטיקל נטוורק</v>
          </cell>
          <cell r="B631">
            <v>2004</v>
          </cell>
          <cell r="C631">
            <v>28</v>
          </cell>
          <cell r="D631" t="str">
            <v>ברכה חיים</v>
          </cell>
          <cell r="E631">
            <v>4</v>
          </cell>
          <cell r="F631">
            <v>91</v>
          </cell>
          <cell r="G631" t="str">
            <v>זק.השתלמות</v>
          </cell>
          <cell r="H631">
            <v>70.790000000000006</v>
          </cell>
          <cell r="I631">
            <v>0</v>
          </cell>
          <cell r="J631" t="str">
            <v>מו"פ</v>
          </cell>
        </row>
        <row r="632">
          <cell r="A632" t="str">
            <v>רד סי אופטיקל נטוורק</v>
          </cell>
          <cell r="B632">
            <v>2004</v>
          </cell>
          <cell r="C632">
            <v>28</v>
          </cell>
          <cell r="D632" t="str">
            <v>ברכה חיים</v>
          </cell>
          <cell r="E632">
            <v>5</v>
          </cell>
          <cell r="F632">
            <v>24</v>
          </cell>
          <cell r="G632" t="str">
            <v>שוויארוחות</v>
          </cell>
          <cell r="H632">
            <v>450</v>
          </cell>
          <cell r="I632">
            <v>0</v>
          </cell>
          <cell r="J632" t="str">
            <v>מו"פ</v>
          </cell>
        </row>
        <row r="633">
          <cell r="A633" t="str">
            <v>רד סי אופטיקל נטוורק</v>
          </cell>
          <cell r="B633">
            <v>2004</v>
          </cell>
          <cell r="C633">
            <v>28</v>
          </cell>
          <cell r="D633" t="str">
            <v>ברכה חיים</v>
          </cell>
          <cell r="E633">
            <v>5</v>
          </cell>
          <cell r="F633">
            <v>40</v>
          </cell>
          <cell r="G633" t="str">
            <v>רכב קב' 2</v>
          </cell>
          <cell r="H633">
            <v>980</v>
          </cell>
          <cell r="I633">
            <v>0</v>
          </cell>
          <cell r="J633" t="str">
            <v>מו"פ</v>
          </cell>
        </row>
        <row r="634">
          <cell r="A634" t="str">
            <v>רד סי אופטיקל נטוורק</v>
          </cell>
          <cell r="B634">
            <v>2004</v>
          </cell>
          <cell r="C634">
            <v>28</v>
          </cell>
          <cell r="D634" t="str">
            <v>ברכה חיים</v>
          </cell>
          <cell r="E634">
            <v>5</v>
          </cell>
          <cell r="F634">
            <v>91</v>
          </cell>
          <cell r="G634" t="str">
            <v>זק.השתלמות</v>
          </cell>
          <cell r="H634">
            <v>70.790000000000006</v>
          </cell>
          <cell r="I634">
            <v>0</v>
          </cell>
          <cell r="J634" t="str">
            <v>מו"פ</v>
          </cell>
        </row>
        <row r="635">
          <cell r="A635" t="str">
            <v>רד סי אופטיקל נטוורק</v>
          </cell>
          <cell r="B635">
            <v>2004</v>
          </cell>
          <cell r="C635">
            <v>28</v>
          </cell>
          <cell r="D635" t="str">
            <v>ברכה חיים</v>
          </cell>
          <cell r="E635">
            <v>6</v>
          </cell>
          <cell r="F635">
            <v>24</v>
          </cell>
          <cell r="G635" t="str">
            <v>שוויארוחות</v>
          </cell>
          <cell r="H635">
            <v>450</v>
          </cell>
          <cell r="I635">
            <v>0</v>
          </cell>
          <cell r="J635" t="str">
            <v>מו"פ</v>
          </cell>
        </row>
        <row r="636">
          <cell r="A636" t="str">
            <v>רד סי אופטיקל נטוורק</v>
          </cell>
          <cell r="B636">
            <v>2004</v>
          </cell>
          <cell r="C636">
            <v>28</v>
          </cell>
          <cell r="D636" t="str">
            <v>ברכה חיים</v>
          </cell>
          <cell r="E636">
            <v>6</v>
          </cell>
          <cell r="F636">
            <v>40</v>
          </cell>
          <cell r="G636" t="str">
            <v>רכב קב' 2</v>
          </cell>
          <cell r="H636">
            <v>980</v>
          </cell>
          <cell r="I636">
            <v>0</v>
          </cell>
          <cell r="J636" t="str">
            <v>מו"פ</v>
          </cell>
        </row>
        <row r="637">
          <cell r="A637" t="str">
            <v>רד סי אופטיקל נטוורק</v>
          </cell>
          <cell r="B637">
            <v>2004</v>
          </cell>
          <cell r="C637">
            <v>28</v>
          </cell>
          <cell r="D637" t="str">
            <v>ברכה חיים</v>
          </cell>
          <cell r="E637">
            <v>6</v>
          </cell>
          <cell r="F637">
            <v>91</v>
          </cell>
          <cell r="G637" t="str">
            <v>זק.השתלמות</v>
          </cell>
          <cell r="H637">
            <v>70.790000000000006</v>
          </cell>
          <cell r="I637">
            <v>0</v>
          </cell>
          <cell r="J637" t="str">
            <v>מו"פ</v>
          </cell>
        </row>
        <row r="638">
          <cell r="A638" t="str">
            <v>רד סי אופטיקל נטוורק</v>
          </cell>
          <cell r="B638">
            <v>2004</v>
          </cell>
          <cell r="C638">
            <v>28</v>
          </cell>
          <cell r="D638" t="str">
            <v>ברכה חיים</v>
          </cell>
          <cell r="E638">
            <v>7</v>
          </cell>
          <cell r="F638">
            <v>24</v>
          </cell>
          <cell r="G638" t="str">
            <v>שוויארוחות</v>
          </cell>
          <cell r="H638">
            <v>450</v>
          </cell>
          <cell r="I638">
            <v>0</v>
          </cell>
          <cell r="J638" t="str">
            <v>מו"פ</v>
          </cell>
        </row>
        <row r="639">
          <cell r="A639" t="str">
            <v>רד סי אופטיקל נטוורק</v>
          </cell>
          <cell r="B639">
            <v>2004</v>
          </cell>
          <cell r="C639">
            <v>28</v>
          </cell>
          <cell r="D639" t="str">
            <v>ברכה חיים</v>
          </cell>
          <cell r="E639">
            <v>7</v>
          </cell>
          <cell r="F639">
            <v>40</v>
          </cell>
          <cell r="G639" t="str">
            <v>רכב קב' 2</v>
          </cell>
          <cell r="H639">
            <v>980</v>
          </cell>
          <cell r="I639">
            <v>0</v>
          </cell>
          <cell r="J639" t="str">
            <v>מו"פ</v>
          </cell>
        </row>
        <row r="640">
          <cell r="A640" t="str">
            <v>רד סי אופטיקל נטוורק</v>
          </cell>
          <cell r="B640">
            <v>2004</v>
          </cell>
          <cell r="C640">
            <v>28</v>
          </cell>
          <cell r="D640" t="str">
            <v>ברכה חיים</v>
          </cell>
          <cell r="E640">
            <v>7</v>
          </cell>
          <cell r="F640">
            <v>91</v>
          </cell>
          <cell r="G640" t="str">
            <v>זק.השתלמות</v>
          </cell>
          <cell r="H640">
            <v>70.790000000000006</v>
          </cell>
          <cell r="I640">
            <v>0</v>
          </cell>
          <cell r="J640" t="str">
            <v>מו"פ</v>
          </cell>
        </row>
        <row r="641">
          <cell r="A641" t="str">
            <v>רד סי אופטיקל נטוורק</v>
          </cell>
          <cell r="B641">
            <v>2004</v>
          </cell>
          <cell r="C641">
            <v>28</v>
          </cell>
          <cell r="D641" t="str">
            <v>ברכה חיים</v>
          </cell>
          <cell r="E641">
            <v>8</v>
          </cell>
          <cell r="F641">
            <v>24</v>
          </cell>
          <cell r="G641" t="str">
            <v>שוויארוחות</v>
          </cell>
          <cell r="H641">
            <v>483</v>
          </cell>
          <cell r="I641">
            <v>23</v>
          </cell>
          <cell r="J641" t="str">
            <v>מו"פ</v>
          </cell>
        </row>
        <row r="642">
          <cell r="A642" t="str">
            <v>רד סי אופטיקל נטוורק</v>
          </cell>
          <cell r="B642">
            <v>2004</v>
          </cell>
          <cell r="C642">
            <v>28</v>
          </cell>
          <cell r="D642" t="str">
            <v>ברכה חיים</v>
          </cell>
          <cell r="E642">
            <v>8</v>
          </cell>
          <cell r="F642">
            <v>40</v>
          </cell>
          <cell r="G642" t="str">
            <v>רכב קב' 2</v>
          </cell>
          <cell r="H642">
            <v>980</v>
          </cell>
          <cell r="I642">
            <v>0</v>
          </cell>
          <cell r="J642" t="str">
            <v>מו"פ</v>
          </cell>
        </row>
        <row r="643">
          <cell r="A643" t="str">
            <v>רד סי אופטיקל נטוורק</v>
          </cell>
          <cell r="B643">
            <v>2004</v>
          </cell>
          <cell r="C643">
            <v>28</v>
          </cell>
          <cell r="D643" t="str">
            <v>ברכה חיים</v>
          </cell>
          <cell r="E643">
            <v>8</v>
          </cell>
          <cell r="F643">
            <v>91</v>
          </cell>
          <cell r="G643" t="str">
            <v>זק.השתלמות</v>
          </cell>
          <cell r="H643">
            <v>70.790000000000006</v>
          </cell>
          <cell r="I643">
            <v>0</v>
          </cell>
          <cell r="J643" t="str">
            <v>מו"פ</v>
          </cell>
        </row>
        <row r="644">
          <cell r="A644" t="str">
            <v>רד סי אופטיקל נטוורק</v>
          </cell>
          <cell r="B644">
            <v>2004</v>
          </cell>
          <cell r="C644">
            <v>28</v>
          </cell>
          <cell r="D644" t="str">
            <v>ברכה חיים</v>
          </cell>
          <cell r="E644">
            <v>9</v>
          </cell>
          <cell r="F644">
            <v>22</v>
          </cell>
          <cell r="G644" t="str">
            <v>שווי מתנות</v>
          </cell>
          <cell r="H644">
            <v>459.25</v>
          </cell>
          <cell r="I644">
            <v>0</v>
          </cell>
          <cell r="J644" t="str">
            <v>מו"פ</v>
          </cell>
        </row>
        <row r="645">
          <cell r="A645" t="str">
            <v>רד סי אופטיקל נטוורק</v>
          </cell>
          <cell r="B645">
            <v>2004</v>
          </cell>
          <cell r="C645">
            <v>28</v>
          </cell>
          <cell r="D645" t="str">
            <v>ברכה חיים</v>
          </cell>
          <cell r="E645">
            <v>9</v>
          </cell>
          <cell r="F645">
            <v>24</v>
          </cell>
          <cell r="G645" t="str">
            <v>שוויארוחות</v>
          </cell>
          <cell r="H645">
            <v>378</v>
          </cell>
          <cell r="I645">
            <v>18</v>
          </cell>
          <cell r="J645" t="str">
            <v>מו"פ</v>
          </cell>
        </row>
        <row r="646">
          <cell r="A646" t="str">
            <v>רד סי אופטיקל נטוורק</v>
          </cell>
          <cell r="B646">
            <v>2004</v>
          </cell>
          <cell r="C646">
            <v>28</v>
          </cell>
          <cell r="D646" t="str">
            <v>ברכה חיים</v>
          </cell>
          <cell r="E646">
            <v>9</v>
          </cell>
          <cell r="F646">
            <v>40</v>
          </cell>
          <cell r="G646" t="str">
            <v>רכב קב' 2</v>
          </cell>
          <cell r="H646">
            <v>980</v>
          </cell>
          <cell r="I646">
            <v>0</v>
          </cell>
          <cell r="J646" t="str">
            <v>מו"פ</v>
          </cell>
        </row>
        <row r="647">
          <cell r="A647" t="str">
            <v>רד סי אופטיקל נטוורק</v>
          </cell>
          <cell r="B647">
            <v>2004</v>
          </cell>
          <cell r="C647">
            <v>28</v>
          </cell>
          <cell r="D647" t="str">
            <v>ברכה חיים</v>
          </cell>
          <cell r="E647">
            <v>9</v>
          </cell>
          <cell r="F647">
            <v>91</v>
          </cell>
          <cell r="G647" t="str">
            <v>זק.השתלמות</v>
          </cell>
          <cell r="H647">
            <v>70.790000000000006</v>
          </cell>
          <cell r="I647">
            <v>0</v>
          </cell>
          <cell r="J647" t="str">
            <v>מו"פ</v>
          </cell>
        </row>
        <row r="648">
          <cell r="A648" t="str">
            <v>רד סי אופטיקל נטוורק</v>
          </cell>
          <cell r="B648">
            <v>2004</v>
          </cell>
          <cell r="C648">
            <v>28</v>
          </cell>
          <cell r="D648" t="str">
            <v>ברכה חיים</v>
          </cell>
          <cell r="E648">
            <v>10</v>
          </cell>
          <cell r="F648">
            <v>24</v>
          </cell>
          <cell r="G648" t="str">
            <v>שוויארוחות</v>
          </cell>
          <cell r="H648">
            <v>399</v>
          </cell>
          <cell r="I648">
            <v>19</v>
          </cell>
          <cell r="J648" t="str">
            <v>מו"פ</v>
          </cell>
        </row>
        <row r="649">
          <cell r="A649" t="str">
            <v>רד סי אופטיקל נטוורק</v>
          </cell>
          <cell r="B649">
            <v>2004</v>
          </cell>
          <cell r="C649">
            <v>28</v>
          </cell>
          <cell r="D649" t="str">
            <v>ברכה חיים</v>
          </cell>
          <cell r="E649">
            <v>10</v>
          </cell>
          <cell r="F649">
            <v>40</v>
          </cell>
          <cell r="G649" t="str">
            <v>רכב קב' 2</v>
          </cell>
          <cell r="H649">
            <v>980</v>
          </cell>
          <cell r="I649">
            <v>0</v>
          </cell>
          <cell r="J649" t="str">
            <v>מו"פ</v>
          </cell>
        </row>
        <row r="650">
          <cell r="A650" t="str">
            <v>רד סי אופטיקל נטוורק</v>
          </cell>
          <cell r="B650">
            <v>2004</v>
          </cell>
          <cell r="C650">
            <v>28</v>
          </cell>
          <cell r="D650" t="str">
            <v>ברכה חיים</v>
          </cell>
          <cell r="E650">
            <v>10</v>
          </cell>
          <cell r="F650">
            <v>91</v>
          </cell>
          <cell r="G650" t="str">
            <v>זק.השתלמות</v>
          </cell>
          <cell r="H650">
            <v>70.790000000000006</v>
          </cell>
          <cell r="I650">
            <v>0</v>
          </cell>
          <cell r="J650" t="str">
            <v>מו"פ</v>
          </cell>
        </row>
        <row r="651">
          <cell r="A651" t="str">
            <v>רד סי אופטיקל נטוורק</v>
          </cell>
          <cell r="B651">
            <v>2004</v>
          </cell>
          <cell r="C651">
            <v>28</v>
          </cell>
          <cell r="D651" t="str">
            <v>ברכה חיים</v>
          </cell>
          <cell r="E651">
            <v>11</v>
          </cell>
          <cell r="F651">
            <v>24</v>
          </cell>
          <cell r="G651" t="str">
            <v>שוויארוחות</v>
          </cell>
          <cell r="H651">
            <v>441</v>
          </cell>
          <cell r="I651">
            <v>21</v>
          </cell>
          <cell r="J651" t="str">
            <v>מו"פ</v>
          </cell>
        </row>
        <row r="652">
          <cell r="A652" t="str">
            <v>רד סי אופטיקל נטוורק</v>
          </cell>
          <cell r="B652">
            <v>2004</v>
          </cell>
          <cell r="C652">
            <v>28</v>
          </cell>
          <cell r="D652" t="str">
            <v>ברכה חיים</v>
          </cell>
          <cell r="E652">
            <v>11</v>
          </cell>
          <cell r="F652">
            <v>40</v>
          </cell>
          <cell r="G652" t="str">
            <v>רכב קב' 2</v>
          </cell>
          <cell r="H652">
            <v>980</v>
          </cell>
          <cell r="I652">
            <v>0</v>
          </cell>
          <cell r="J652" t="str">
            <v>מו"פ</v>
          </cell>
        </row>
        <row r="653">
          <cell r="A653" t="str">
            <v>רד סי אופטיקל נטוורק</v>
          </cell>
          <cell r="B653">
            <v>2004</v>
          </cell>
          <cell r="C653">
            <v>28</v>
          </cell>
          <cell r="D653" t="str">
            <v>ברכה חיים</v>
          </cell>
          <cell r="E653">
            <v>11</v>
          </cell>
          <cell r="F653">
            <v>91</v>
          </cell>
          <cell r="G653" t="str">
            <v>זק.השתלמות</v>
          </cell>
          <cell r="H653">
            <v>70.790000000000006</v>
          </cell>
          <cell r="I653">
            <v>0</v>
          </cell>
          <cell r="J653" t="str">
            <v>מו"פ</v>
          </cell>
        </row>
        <row r="654">
          <cell r="A654" t="str">
            <v>רד סי אופטיקל נטוורק</v>
          </cell>
          <cell r="B654">
            <v>2004</v>
          </cell>
          <cell r="C654">
            <v>28</v>
          </cell>
          <cell r="D654" t="str">
            <v>ברכה חיים</v>
          </cell>
          <cell r="E654">
            <v>12</v>
          </cell>
          <cell r="F654">
            <v>22</v>
          </cell>
          <cell r="G654" t="str">
            <v>שווי מתנות</v>
          </cell>
          <cell r="H654">
            <v>0</v>
          </cell>
          <cell r="I654">
            <v>0</v>
          </cell>
          <cell r="J654" t="str">
            <v>מו"פ</v>
          </cell>
        </row>
        <row r="655">
          <cell r="A655" t="str">
            <v>רד סי אופטיקל נטוורק</v>
          </cell>
          <cell r="B655">
            <v>2004</v>
          </cell>
          <cell r="C655">
            <v>28</v>
          </cell>
          <cell r="D655" t="str">
            <v>ברכה חיים</v>
          </cell>
          <cell r="E655">
            <v>12</v>
          </cell>
          <cell r="F655">
            <v>24</v>
          </cell>
          <cell r="G655" t="str">
            <v>שוויארוחות</v>
          </cell>
          <cell r="H655">
            <v>462</v>
          </cell>
          <cell r="I655">
            <v>22</v>
          </cell>
          <cell r="J655" t="str">
            <v>מו"פ</v>
          </cell>
        </row>
        <row r="656">
          <cell r="A656" t="str">
            <v>רד סי אופטיקל נטוורק</v>
          </cell>
          <cell r="B656">
            <v>2004</v>
          </cell>
          <cell r="C656">
            <v>28</v>
          </cell>
          <cell r="D656" t="str">
            <v>ברכה חיים</v>
          </cell>
          <cell r="E656">
            <v>12</v>
          </cell>
          <cell r="F656">
            <v>40</v>
          </cell>
          <cell r="G656" t="str">
            <v>רכב קב' 2</v>
          </cell>
          <cell r="H656">
            <v>980</v>
          </cell>
          <cell r="I656">
            <v>0</v>
          </cell>
          <cell r="J656" t="str">
            <v>מו"פ</v>
          </cell>
        </row>
        <row r="657">
          <cell r="A657" t="str">
            <v>רד סי אופטיקל נטוורק</v>
          </cell>
          <cell r="B657">
            <v>2004</v>
          </cell>
          <cell r="C657">
            <v>28</v>
          </cell>
          <cell r="D657" t="str">
            <v>ברכה חיים</v>
          </cell>
          <cell r="E657">
            <v>12</v>
          </cell>
          <cell r="F657">
            <v>91</v>
          </cell>
          <cell r="G657" t="str">
            <v>זק.השתלמות</v>
          </cell>
          <cell r="H657">
            <v>70.790000000000006</v>
          </cell>
          <cell r="I657">
            <v>0</v>
          </cell>
          <cell r="J657" t="str">
            <v>מו"פ</v>
          </cell>
        </row>
        <row r="658">
          <cell r="A658" t="str">
            <v>רד סי אופטיקל נטוורק</v>
          </cell>
          <cell r="B658">
            <v>2004</v>
          </cell>
          <cell r="C658">
            <v>29</v>
          </cell>
          <cell r="D658" t="str">
            <v>בן גיגי יניב</v>
          </cell>
          <cell r="E658">
            <v>1</v>
          </cell>
          <cell r="F658">
            <v>24</v>
          </cell>
          <cell r="G658" t="str">
            <v>שוויארוחות</v>
          </cell>
          <cell r="H658">
            <v>270</v>
          </cell>
          <cell r="I658">
            <v>0.6</v>
          </cell>
          <cell r="J658" t="str">
            <v>מו"פ</v>
          </cell>
        </row>
        <row r="659">
          <cell r="A659" t="str">
            <v>רד סי אופטיקל נטוורק</v>
          </cell>
          <cell r="B659">
            <v>2004</v>
          </cell>
          <cell r="C659">
            <v>29</v>
          </cell>
          <cell r="D659" t="str">
            <v>בן גיגי יניב</v>
          </cell>
          <cell r="E659">
            <v>1</v>
          </cell>
          <cell r="F659">
            <v>40</v>
          </cell>
          <cell r="G659" t="str">
            <v>רכב קב' 2</v>
          </cell>
          <cell r="H659">
            <v>980</v>
          </cell>
          <cell r="I659">
            <v>0</v>
          </cell>
          <cell r="J659" t="str">
            <v>מו"פ</v>
          </cell>
        </row>
        <row r="660">
          <cell r="A660" t="str">
            <v>רד סי אופטיקל נטוורק</v>
          </cell>
          <cell r="B660">
            <v>2004</v>
          </cell>
          <cell r="C660">
            <v>30</v>
          </cell>
          <cell r="D660" t="str">
            <v>כהן אהוד דוד</v>
          </cell>
          <cell r="E660">
            <v>1</v>
          </cell>
          <cell r="F660">
            <v>24</v>
          </cell>
          <cell r="G660" t="str">
            <v>שוויארוחות</v>
          </cell>
          <cell r="H660">
            <v>450</v>
          </cell>
          <cell r="I660">
            <v>1</v>
          </cell>
          <cell r="J660" t="str">
            <v>תפעול</v>
          </cell>
        </row>
        <row r="661">
          <cell r="A661" t="str">
            <v>רד סי אופטיקל נטוורק</v>
          </cell>
          <cell r="B661">
            <v>2004</v>
          </cell>
          <cell r="C661">
            <v>30</v>
          </cell>
          <cell r="D661" t="str">
            <v>כהן אהוד דוד</v>
          </cell>
          <cell r="E661">
            <v>1</v>
          </cell>
          <cell r="F661">
            <v>40</v>
          </cell>
          <cell r="G661" t="str">
            <v>רכב קב' 2</v>
          </cell>
          <cell r="H661">
            <v>980</v>
          </cell>
          <cell r="I661">
            <v>0</v>
          </cell>
          <cell r="J661" t="str">
            <v>תפעול</v>
          </cell>
        </row>
        <row r="662">
          <cell r="A662" t="str">
            <v>רד סי אופטיקל נטוורק</v>
          </cell>
          <cell r="B662">
            <v>2004</v>
          </cell>
          <cell r="C662">
            <v>30</v>
          </cell>
          <cell r="D662" t="str">
            <v>כהן אהוד דוד</v>
          </cell>
          <cell r="E662">
            <v>1</v>
          </cell>
          <cell r="F662">
            <v>91</v>
          </cell>
          <cell r="G662" t="str">
            <v>זק.השתלמות</v>
          </cell>
          <cell r="H662">
            <v>56.69</v>
          </cell>
          <cell r="I662">
            <v>0</v>
          </cell>
          <cell r="J662" t="str">
            <v>תפעול</v>
          </cell>
        </row>
        <row r="663">
          <cell r="A663" t="str">
            <v>רד סי אופטיקל נטוורק</v>
          </cell>
          <cell r="B663">
            <v>2004</v>
          </cell>
          <cell r="C663">
            <v>30</v>
          </cell>
          <cell r="D663" t="str">
            <v>כהן אהוד דוד</v>
          </cell>
          <cell r="E663">
            <v>2</v>
          </cell>
          <cell r="F663">
            <v>24</v>
          </cell>
          <cell r="G663" t="str">
            <v>שוויארוחות</v>
          </cell>
          <cell r="H663">
            <v>450</v>
          </cell>
          <cell r="I663">
            <v>1</v>
          </cell>
          <cell r="J663" t="str">
            <v>תפעול</v>
          </cell>
        </row>
        <row r="664">
          <cell r="A664" t="str">
            <v>רד סי אופטיקל נטוורק</v>
          </cell>
          <cell r="B664">
            <v>2004</v>
          </cell>
          <cell r="C664">
            <v>30</v>
          </cell>
          <cell r="D664" t="str">
            <v>כהן אהוד דוד</v>
          </cell>
          <cell r="E664">
            <v>2</v>
          </cell>
          <cell r="F664">
            <v>40</v>
          </cell>
          <cell r="G664" t="str">
            <v>רכב קב' 2</v>
          </cell>
          <cell r="H664">
            <v>980</v>
          </cell>
          <cell r="I664">
            <v>0</v>
          </cell>
          <cell r="J664" t="str">
            <v>תפעול</v>
          </cell>
        </row>
        <row r="665">
          <cell r="A665" t="str">
            <v>רד סי אופטיקל נטוורק</v>
          </cell>
          <cell r="B665">
            <v>2004</v>
          </cell>
          <cell r="C665">
            <v>30</v>
          </cell>
          <cell r="D665" t="str">
            <v>כהן אהוד דוד</v>
          </cell>
          <cell r="E665">
            <v>2</v>
          </cell>
          <cell r="F665">
            <v>91</v>
          </cell>
          <cell r="G665" t="str">
            <v>זק.השתלמות</v>
          </cell>
          <cell r="H665">
            <v>56.69</v>
          </cell>
          <cell r="I665">
            <v>0</v>
          </cell>
          <cell r="J665" t="str">
            <v>תפעול</v>
          </cell>
        </row>
        <row r="666">
          <cell r="A666" t="str">
            <v>רד סי אופטיקל נטוורק</v>
          </cell>
          <cell r="B666">
            <v>2004</v>
          </cell>
          <cell r="C666">
            <v>30</v>
          </cell>
          <cell r="D666" t="str">
            <v>כהן אהוד דוד</v>
          </cell>
          <cell r="E666">
            <v>3</v>
          </cell>
          <cell r="F666">
            <v>22</v>
          </cell>
          <cell r="G666" t="str">
            <v>שווי מתנות</v>
          </cell>
          <cell r="H666">
            <v>186.25</v>
          </cell>
          <cell r="I666">
            <v>0</v>
          </cell>
          <cell r="J666" t="str">
            <v>תפעול</v>
          </cell>
        </row>
        <row r="667">
          <cell r="A667" t="str">
            <v>רד סי אופטיקל נטוורק</v>
          </cell>
          <cell r="B667">
            <v>2004</v>
          </cell>
          <cell r="C667">
            <v>30</v>
          </cell>
          <cell r="D667" t="str">
            <v>כהן אהוד דוד</v>
          </cell>
          <cell r="E667">
            <v>3</v>
          </cell>
          <cell r="F667">
            <v>24</v>
          </cell>
          <cell r="G667" t="str">
            <v>שוויארוחות</v>
          </cell>
          <cell r="H667">
            <v>450</v>
          </cell>
          <cell r="I667">
            <v>1</v>
          </cell>
          <cell r="J667" t="str">
            <v>תפעול</v>
          </cell>
        </row>
        <row r="668">
          <cell r="A668" t="str">
            <v>רד סי אופטיקל נטוורק</v>
          </cell>
          <cell r="B668">
            <v>2004</v>
          </cell>
          <cell r="C668">
            <v>30</v>
          </cell>
          <cell r="D668" t="str">
            <v>כהן אהוד דוד</v>
          </cell>
          <cell r="E668">
            <v>3</v>
          </cell>
          <cell r="F668">
            <v>40</v>
          </cell>
          <cell r="G668" t="str">
            <v>רכב קב' 2</v>
          </cell>
          <cell r="H668">
            <v>980</v>
          </cell>
          <cell r="I668">
            <v>0</v>
          </cell>
          <cell r="J668" t="str">
            <v>תפעול</v>
          </cell>
        </row>
        <row r="669">
          <cell r="A669" t="str">
            <v>רד סי אופטיקל נטוורק</v>
          </cell>
          <cell r="B669">
            <v>2004</v>
          </cell>
          <cell r="C669">
            <v>30</v>
          </cell>
          <cell r="D669" t="str">
            <v>כהן אהוד דוד</v>
          </cell>
          <cell r="E669">
            <v>3</v>
          </cell>
          <cell r="F669">
            <v>91</v>
          </cell>
          <cell r="G669" t="str">
            <v>זק.השתלמות</v>
          </cell>
          <cell r="H669">
            <v>33.29</v>
          </cell>
          <cell r="I669">
            <v>0</v>
          </cell>
          <cell r="J669" t="str">
            <v>תפעול</v>
          </cell>
        </row>
        <row r="670">
          <cell r="A670" t="str">
            <v>רד סי אופטיקל נטוורק</v>
          </cell>
          <cell r="B670">
            <v>2004</v>
          </cell>
          <cell r="C670">
            <v>30</v>
          </cell>
          <cell r="D670" t="str">
            <v>כהן אהוד דוד</v>
          </cell>
          <cell r="E670">
            <v>4</v>
          </cell>
          <cell r="F670">
            <v>24</v>
          </cell>
          <cell r="G670" t="str">
            <v>שוויארוחות</v>
          </cell>
          <cell r="H670">
            <v>450</v>
          </cell>
          <cell r="I670">
            <v>1</v>
          </cell>
          <cell r="J670" t="str">
            <v>תפעול</v>
          </cell>
        </row>
        <row r="671">
          <cell r="A671" t="str">
            <v>רד סי אופטיקל נטוורק</v>
          </cell>
          <cell r="B671">
            <v>2004</v>
          </cell>
          <cell r="C671">
            <v>30</v>
          </cell>
          <cell r="D671" t="str">
            <v>כהן אהוד דוד</v>
          </cell>
          <cell r="E671">
            <v>4</v>
          </cell>
          <cell r="F671">
            <v>40</v>
          </cell>
          <cell r="G671" t="str">
            <v>רכב קב' 2</v>
          </cell>
          <cell r="H671">
            <v>980</v>
          </cell>
          <cell r="I671">
            <v>0</v>
          </cell>
          <cell r="J671" t="str">
            <v>תפעול</v>
          </cell>
        </row>
        <row r="672">
          <cell r="A672" t="str">
            <v>רד סי אופטיקל נטוורק</v>
          </cell>
          <cell r="B672">
            <v>2004</v>
          </cell>
          <cell r="C672">
            <v>30</v>
          </cell>
          <cell r="D672" t="str">
            <v>כהן אהוד דוד</v>
          </cell>
          <cell r="E672">
            <v>4</v>
          </cell>
          <cell r="F672">
            <v>91</v>
          </cell>
          <cell r="G672" t="str">
            <v>זק.השתלמות</v>
          </cell>
          <cell r="H672">
            <v>33.29</v>
          </cell>
          <cell r="I672">
            <v>0</v>
          </cell>
          <cell r="J672" t="str">
            <v>תפעול</v>
          </cell>
        </row>
        <row r="673">
          <cell r="A673" t="str">
            <v>רד סי אופטיקל נטוורק</v>
          </cell>
          <cell r="B673">
            <v>2004</v>
          </cell>
          <cell r="C673">
            <v>30</v>
          </cell>
          <cell r="D673" t="str">
            <v>כהן אהוד דוד</v>
          </cell>
          <cell r="E673">
            <v>5</v>
          </cell>
          <cell r="F673">
            <v>24</v>
          </cell>
          <cell r="G673" t="str">
            <v>שוויארוחות</v>
          </cell>
          <cell r="H673">
            <v>450</v>
          </cell>
          <cell r="I673">
            <v>1</v>
          </cell>
          <cell r="J673" t="str">
            <v>תפעול</v>
          </cell>
        </row>
        <row r="674">
          <cell r="A674" t="str">
            <v>רד סי אופטיקל נטוורק</v>
          </cell>
          <cell r="B674">
            <v>2004</v>
          </cell>
          <cell r="C674">
            <v>30</v>
          </cell>
          <cell r="D674" t="str">
            <v>כהן אהוד דוד</v>
          </cell>
          <cell r="E674">
            <v>5</v>
          </cell>
          <cell r="F674">
            <v>40</v>
          </cell>
          <cell r="G674" t="str">
            <v>רכב קב' 2</v>
          </cell>
          <cell r="H674">
            <v>980</v>
          </cell>
          <cell r="I674">
            <v>0</v>
          </cell>
          <cell r="J674" t="str">
            <v>תפעול</v>
          </cell>
        </row>
        <row r="675">
          <cell r="A675" t="str">
            <v>רד סי אופטיקל נטוורק</v>
          </cell>
          <cell r="B675">
            <v>2004</v>
          </cell>
          <cell r="C675">
            <v>30</v>
          </cell>
          <cell r="D675" t="str">
            <v>כהן אהוד דוד</v>
          </cell>
          <cell r="E675">
            <v>5</v>
          </cell>
          <cell r="F675">
            <v>91</v>
          </cell>
          <cell r="G675" t="str">
            <v>זק.השתלמות</v>
          </cell>
          <cell r="H675">
            <v>33.29</v>
          </cell>
          <cell r="I675">
            <v>0</v>
          </cell>
          <cell r="J675" t="str">
            <v>תפעול</v>
          </cell>
        </row>
        <row r="676">
          <cell r="A676" t="str">
            <v>רד סי אופטיקל נטוורק</v>
          </cell>
          <cell r="B676">
            <v>2004</v>
          </cell>
          <cell r="C676">
            <v>30</v>
          </cell>
          <cell r="D676" t="str">
            <v>כהן אהוד דוד</v>
          </cell>
          <cell r="E676">
            <v>6</v>
          </cell>
          <cell r="F676">
            <v>24</v>
          </cell>
          <cell r="G676" t="str">
            <v>שוויארוחות</v>
          </cell>
          <cell r="H676">
            <v>450</v>
          </cell>
          <cell r="I676">
            <v>1</v>
          </cell>
          <cell r="J676" t="str">
            <v>תפעול</v>
          </cell>
        </row>
        <row r="677">
          <cell r="A677" t="str">
            <v>רד סי אופטיקל נטוורק</v>
          </cell>
          <cell r="B677">
            <v>2004</v>
          </cell>
          <cell r="C677">
            <v>30</v>
          </cell>
          <cell r="D677" t="str">
            <v>כהן אהוד דוד</v>
          </cell>
          <cell r="E677">
            <v>6</v>
          </cell>
          <cell r="F677">
            <v>40</v>
          </cell>
          <cell r="G677" t="str">
            <v>רכב קב' 2</v>
          </cell>
          <cell r="H677">
            <v>980</v>
          </cell>
          <cell r="I677">
            <v>0</v>
          </cell>
          <cell r="J677" t="str">
            <v>תפעול</v>
          </cell>
        </row>
        <row r="678">
          <cell r="A678" t="str">
            <v>רד סי אופטיקל נטוורק</v>
          </cell>
          <cell r="B678">
            <v>2004</v>
          </cell>
          <cell r="C678">
            <v>30</v>
          </cell>
          <cell r="D678" t="str">
            <v>כהן אהוד דוד</v>
          </cell>
          <cell r="E678">
            <v>6</v>
          </cell>
          <cell r="F678">
            <v>91</v>
          </cell>
          <cell r="G678" t="str">
            <v>זק.השתלמות</v>
          </cell>
          <cell r="H678">
            <v>33.29</v>
          </cell>
          <cell r="I678">
            <v>0</v>
          </cell>
          <cell r="J678" t="str">
            <v>תפעול</v>
          </cell>
        </row>
        <row r="679">
          <cell r="A679" t="str">
            <v>רד סי אופטיקל נטוורק</v>
          </cell>
          <cell r="B679">
            <v>2004</v>
          </cell>
          <cell r="C679">
            <v>30</v>
          </cell>
          <cell r="D679" t="str">
            <v>כהן אהוד דוד</v>
          </cell>
          <cell r="E679">
            <v>7</v>
          </cell>
          <cell r="F679">
            <v>24</v>
          </cell>
          <cell r="G679" t="str">
            <v>שוויארוחות</v>
          </cell>
          <cell r="H679">
            <v>450</v>
          </cell>
          <cell r="I679">
            <v>1</v>
          </cell>
          <cell r="J679" t="str">
            <v>תפעול</v>
          </cell>
        </row>
        <row r="680">
          <cell r="A680" t="str">
            <v>רד סי אופטיקל נטוורק</v>
          </cell>
          <cell r="B680">
            <v>2004</v>
          </cell>
          <cell r="C680">
            <v>30</v>
          </cell>
          <cell r="D680" t="str">
            <v>כהן אהוד דוד</v>
          </cell>
          <cell r="E680">
            <v>7</v>
          </cell>
          <cell r="F680">
            <v>40</v>
          </cell>
          <cell r="G680" t="str">
            <v>רכב קב' 2</v>
          </cell>
          <cell r="H680">
            <v>980</v>
          </cell>
          <cell r="I680">
            <v>0</v>
          </cell>
          <cell r="J680" t="str">
            <v>תפעול</v>
          </cell>
        </row>
        <row r="681">
          <cell r="A681" t="str">
            <v>רד סי אופטיקל נטוורק</v>
          </cell>
          <cell r="B681">
            <v>2004</v>
          </cell>
          <cell r="C681">
            <v>30</v>
          </cell>
          <cell r="D681" t="str">
            <v>כהן אהוד דוד</v>
          </cell>
          <cell r="E681">
            <v>7</v>
          </cell>
          <cell r="F681">
            <v>91</v>
          </cell>
          <cell r="G681" t="str">
            <v>זק.השתלמות</v>
          </cell>
          <cell r="H681">
            <v>33.29</v>
          </cell>
          <cell r="I681">
            <v>0</v>
          </cell>
          <cell r="J681" t="str">
            <v>תפעול</v>
          </cell>
        </row>
        <row r="682">
          <cell r="A682" t="str">
            <v>רד סי אופטיקל נטוורק</v>
          </cell>
          <cell r="B682">
            <v>2004</v>
          </cell>
          <cell r="C682">
            <v>30</v>
          </cell>
          <cell r="D682" t="str">
            <v>כהן אהוד דוד</v>
          </cell>
          <cell r="E682">
            <v>8</v>
          </cell>
          <cell r="F682">
            <v>24</v>
          </cell>
          <cell r="G682" t="str">
            <v>שוויארוחות</v>
          </cell>
          <cell r="H682">
            <v>483</v>
          </cell>
          <cell r="I682">
            <v>23</v>
          </cell>
          <cell r="J682" t="str">
            <v>תפעול</v>
          </cell>
        </row>
        <row r="683">
          <cell r="A683" t="str">
            <v>רד סי אופטיקל נטוורק</v>
          </cell>
          <cell r="B683">
            <v>2004</v>
          </cell>
          <cell r="C683">
            <v>30</v>
          </cell>
          <cell r="D683" t="str">
            <v>כהן אהוד דוד</v>
          </cell>
          <cell r="E683">
            <v>8</v>
          </cell>
          <cell r="F683">
            <v>40</v>
          </cell>
          <cell r="G683" t="str">
            <v>רכב קב' 2</v>
          </cell>
          <cell r="H683">
            <v>980</v>
          </cell>
          <cell r="I683">
            <v>0</v>
          </cell>
          <cell r="J683" t="str">
            <v>תפעול</v>
          </cell>
        </row>
        <row r="684">
          <cell r="A684" t="str">
            <v>רד סי אופטיקל נטוורק</v>
          </cell>
          <cell r="B684">
            <v>2004</v>
          </cell>
          <cell r="C684">
            <v>30</v>
          </cell>
          <cell r="D684" t="str">
            <v>כהן אהוד דוד</v>
          </cell>
          <cell r="E684">
            <v>8</v>
          </cell>
          <cell r="F684">
            <v>91</v>
          </cell>
          <cell r="G684" t="str">
            <v>זק.השתלמות</v>
          </cell>
          <cell r="H684">
            <v>33.29</v>
          </cell>
          <cell r="I684">
            <v>0</v>
          </cell>
          <cell r="J684" t="str">
            <v>תפעול</v>
          </cell>
        </row>
        <row r="685">
          <cell r="A685" t="str">
            <v>רד סי אופטיקל נטוורק</v>
          </cell>
          <cell r="B685">
            <v>2004</v>
          </cell>
          <cell r="C685">
            <v>30</v>
          </cell>
          <cell r="D685" t="str">
            <v>כהן אהוד דוד</v>
          </cell>
          <cell r="E685">
            <v>9</v>
          </cell>
          <cell r="F685">
            <v>22</v>
          </cell>
          <cell r="G685" t="str">
            <v>שווי מתנות</v>
          </cell>
          <cell r="H685">
            <v>459.25</v>
          </cell>
          <cell r="I685">
            <v>0</v>
          </cell>
          <cell r="J685" t="str">
            <v>תפעול</v>
          </cell>
        </row>
        <row r="686">
          <cell r="A686" t="str">
            <v>רד סי אופטיקל נטוורק</v>
          </cell>
          <cell r="B686">
            <v>2004</v>
          </cell>
          <cell r="C686">
            <v>30</v>
          </cell>
          <cell r="D686" t="str">
            <v>כהן אהוד דוד</v>
          </cell>
          <cell r="E686">
            <v>9</v>
          </cell>
          <cell r="F686">
            <v>24</v>
          </cell>
          <cell r="G686" t="str">
            <v>שוויארוחות</v>
          </cell>
          <cell r="H686">
            <v>378</v>
          </cell>
          <cell r="I686">
            <v>18</v>
          </cell>
          <cell r="J686" t="str">
            <v>תפעול</v>
          </cell>
        </row>
        <row r="687">
          <cell r="A687" t="str">
            <v>רד סי אופטיקל נטוורק</v>
          </cell>
          <cell r="B687">
            <v>2004</v>
          </cell>
          <cell r="C687">
            <v>30</v>
          </cell>
          <cell r="D687" t="str">
            <v>כהן אהוד דוד</v>
          </cell>
          <cell r="E687">
            <v>9</v>
          </cell>
          <cell r="F687">
            <v>40</v>
          </cell>
          <cell r="G687" t="str">
            <v>רכב קב' 2</v>
          </cell>
          <cell r="H687">
            <v>980</v>
          </cell>
          <cell r="I687">
            <v>0</v>
          </cell>
          <cell r="J687" t="str">
            <v>תפעול</v>
          </cell>
        </row>
        <row r="688">
          <cell r="A688" t="str">
            <v>רד סי אופטיקל נטוורק</v>
          </cell>
          <cell r="B688">
            <v>2004</v>
          </cell>
          <cell r="C688">
            <v>30</v>
          </cell>
          <cell r="D688" t="str">
            <v>כהן אהוד דוד</v>
          </cell>
          <cell r="E688">
            <v>9</v>
          </cell>
          <cell r="F688">
            <v>91</v>
          </cell>
          <cell r="G688" t="str">
            <v>זק.השתלמות</v>
          </cell>
          <cell r="H688">
            <v>33.29</v>
          </cell>
          <cell r="I688">
            <v>0</v>
          </cell>
          <cell r="J688" t="str">
            <v>תפעול</v>
          </cell>
        </row>
        <row r="689">
          <cell r="A689" t="str">
            <v>רד סי אופטיקל נטוורק</v>
          </cell>
          <cell r="B689">
            <v>2004</v>
          </cell>
          <cell r="C689">
            <v>30</v>
          </cell>
          <cell r="D689" t="str">
            <v>כהן אהוד דוד</v>
          </cell>
          <cell r="E689">
            <v>10</v>
          </cell>
          <cell r="F689">
            <v>24</v>
          </cell>
          <cell r="G689" t="str">
            <v>שוויארוחות</v>
          </cell>
          <cell r="H689">
            <v>399</v>
          </cell>
          <cell r="I689">
            <v>19</v>
          </cell>
          <cell r="J689" t="str">
            <v>תפעול</v>
          </cell>
        </row>
        <row r="690">
          <cell r="A690" t="str">
            <v>רד סי אופטיקל נטוורק</v>
          </cell>
          <cell r="B690">
            <v>2004</v>
          </cell>
          <cell r="C690">
            <v>30</v>
          </cell>
          <cell r="D690" t="str">
            <v>כהן אהוד דוד</v>
          </cell>
          <cell r="E690">
            <v>10</v>
          </cell>
          <cell r="F690">
            <v>40</v>
          </cell>
          <cell r="G690" t="str">
            <v>רכב קב' 2</v>
          </cell>
          <cell r="H690">
            <v>980</v>
          </cell>
          <cell r="I690">
            <v>0</v>
          </cell>
          <cell r="J690" t="str">
            <v>תפעול</v>
          </cell>
        </row>
        <row r="691">
          <cell r="A691" t="str">
            <v>רד סי אופטיקל נטוורק</v>
          </cell>
          <cell r="B691">
            <v>2004</v>
          </cell>
          <cell r="C691">
            <v>30</v>
          </cell>
          <cell r="D691" t="str">
            <v>כהן אהוד דוד</v>
          </cell>
          <cell r="E691">
            <v>10</v>
          </cell>
          <cell r="F691">
            <v>91</v>
          </cell>
          <cell r="G691" t="str">
            <v>זק.השתלמות</v>
          </cell>
          <cell r="H691">
            <v>1041.73</v>
          </cell>
          <cell r="I691">
            <v>0</v>
          </cell>
          <cell r="J691" t="str">
            <v>תפעול</v>
          </cell>
        </row>
        <row r="692">
          <cell r="A692" t="str">
            <v>רד סי אופטיקל נטוורק</v>
          </cell>
          <cell r="B692">
            <v>2004</v>
          </cell>
          <cell r="C692">
            <v>30</v>
          </cell>
          <cell r="D692" t="str">
            <v>כהן אהוד דוד</v>
          </cell>
          <cell r="E692">
            <v>11</v>
          </cell>
          <cell r="F692">
            <v>24</v>
          </cell>
          <cell r="G692" t="str">
            <v>שוויארוחות</v>
          </cell>
          <cell r="H692">
            <v>441</v>
          </cell>
          <cell r="I692">
            <v>21</v>
          </cell>
          <cell r="J692" t="str">
            <v>תפעול</v>
          </cell>
        </row>
        <row r="693">
          <cell r="A693" t="str">
            <v>רד סי אופטיקל נטוורק</v>
          </cell>
          <cell r="B693">
            <v>2004</v>
          </cell>
          <cell r="C693">
            <v>30</v>
          </cell>
          <cell r="D693" t="str">
            <v>כהן אהוד דוד</v>
          </cell>
          <cell r="E693">
            <v>11</v>
          </cell>
          <cell r="F693">
            <v>40</v>
          </cell>
          <cell r="G693" t="str">
            <v>רכב קב' 2</v>
          </cell>
          <cell r="H693">
            <v>980</v>
          </cell>
          <cell r="I693">
            <v>0</v>
          </cell>
          <cell r="J693" t="str">
            <v>תפעול</v>
          </cell>
        </row>
        <row r="694">
          <cell r="A694" t="str">
            <v>רד סי אופטיקל נטוורק</v>
          </cell>
          <cell r="B694">
            <v>2004</v>
          </cell>
          <cell r="C694">
            <v>30</v>
          </cell>
          <cell r="D694" t="str">
            <v>כהן אהוד דוד</v>
          </cell>
          <cell r="E694">
            <v>11</v>
          </cell>
          <cell r="F694">
            <v>91</v>
          </cell>
          <cell r="G694" t="str">
            <v>זק.השתלמות</v>
          </cell>
          <cell r="H694">
            <v>33.29</v>
          </cell>
          <cell r="I694">
            <v>0</v>
          </cell>
          <cell r="J694" t="str">
            <v>תפעול</v>
          </cell>
        </row>
        <row r="695">
          <cell r="A695" t="str">
            <v>רד סי אופטיקל נטוורק</v>
          </cell>
          <cell r="B695">
            <v>2004</v>
          </cell>
          <cell r="C695">
            <v>30</v>
          </cell>
          <cell r="D695" t="str">
            <v>כהן אהוד דוד</v>
          </cell>
          <cell r="E695">
            <v>12</v>
          </cell>
          <cell r="F695">
            <v>22</v>
          </cell>
          <cell r="G695" t="str">
            <v>שווי מתנות</v>
          </cell>
          <cell r="H695">
            <v>0</v>
          </cell>
          <cell r="I695">
            <v>0</v>
          </cell>
          <cell r="J695" t="str">
            <v>תפעול</v>
          </cell>
        </row>
        <row r="696">
          <cell r="A696" t="str">
            <v>רד סי אופטיקל נטוורק</v>
          </cell>
          <cell r="B696">
            <v>2004</v>
          </cell>
          <cell r="C696">
            <v>30</v>
          </cell>
          <cell r="D696" t="str">
            <v>כהן אהוד דוד</v>
          </cell>
          <cell r="E696">
            <v>12</v>
          </cell>
          <cell r="F696">
            <v>24</v>
          </cell>
          <cell r="G696" t="str">
            <v>שוויארוחות</v>
          </cell>
          <cell r="H696">
            <v>462</v>
          </cell>
          <cell r="I696">
            <v>22</v>
          </cell>
          <cell r="J696" t="str">
            <v>תפעול</v>
          </cell>
        </row>
        <row r="697">
          <cell r="A697" t="str">
            <v>רד סי אופטיקל נטוורק</v>
          </cell>
          <cell r="B697">
            <v>2004</v>
          </cell>
          <cell r="C697">
            <v>30</v>
          </cell>
          <cell r="D697" t="str">
            <v>כהן אהוד דוד</v>
          </cell>
          <cell r="E697">
            <v>12</v>
          </cell>
          <cell r="F697">
            <v>40</v>
          </cell>
          <cell r="G697" t="str">
            <v>רכב קב' 2</v>
          </cell>
          <cell r="H697">
            <v>980</v>
          </cell>
          <cell r="I697">
            <v>0</v>
          </cell>
          <cell r="J697" t="str">
            <v>תפעול</v>
          </cell>
        </row>
        <row r="698">
          <cell r="A698" t="str">
            <v>רד סי אופטיקל נטוורק</v>
          </cell>
          <cell r="B698">
            <v>2004</v>
          </cell>
          <cell r="C698">
            <v>30</v>
          </cell>
          <cell r="D698" t="str">
            <v>כהן אהוד דוד</v>
          </cell>
          <cell r="E698">
            <v>12</v>
          </cell>
          <cell r="F698">
            <v>91</v>
          </cell>
          <cell r="G698" t="str">
            <v>זק.השתלמות</v>
          </cell>
          <cell r="H698">
            <v>33.29</v>
          </cell>
          <cell r="I698">
            <v>0</v>
          </cell>
          <cell r="J698" t="str">
            <v>תפעול</v>
          </cell>
        </row>
        <row r="699">
          <cell r="A699" t="str">
            <v>רד סי אופטיקל נטוורק</v>
          </cell>
          <cell r="B699">
            <v>2004</v>
          </cell>
          <cell r="C699">
            <v>32</v>
          </cell>
          <cell r="D699" t="str">
            <v>לב אייל</v>
          </cell>
          <cell r="E699">
            <v>1</v>
          </cell>
          <cell r="F699">
            <v>24</v>
          </cell>
          <cell r="G699" t="str">
            <v>שוויארוחות</v>
          </cell>
          <cell r="H699">
            <v>450</v>
          </cell>
          <cell r="I699">
            <v>1</v>
          </cell>
          <cell r="J699" t="str">
            <v>תפעול</v>
          </cell>
        </row>
        <row r="700">
          <cell r="A700" t="str">
            <v>רד סי אופטיקל נטוורק</v>
          </cell>
          <cell r="B700">
            <v>2004</v>
          </cell>
          <cell r="C700">
            <v>32</v>
          </cell>
          <cell r="D700" t="str">
            <v>לב אייל</v>
          </cell>
          <cell r="E700">
            <v>2</v>
          </cell>
          <cell r="F700">
            <v>24</v>
          </cell>
          <cell r="G700" t="str">
            <v>שוויארוחות</v>
          </cell>
          <cell r="H700">
            <v>387</v>
          </cell>
          <cell r="I700">
            <v>0.86</v>
          </cell>
          <cell r="J700" t="str">
            <v>תפעול</v>
          </cell>
        </row>
        <row r="701">
          <cell r="A701" t="str">
            <v>רד סי אופטיקל נטוורק</v>
          </cell>
          <cell r="B701">
            <v>2004</v>
          </cell>
          <cell r="C701">
            <v>32</v>
          </cell>
          <cell r="D701" t="str">
            <v>לב אייל</v>
          </cell>
          <cell r="E701">
            <v>3</v>
          </cell>
          <cell r="F701">
            <v>22</v>
          </cell>
          <cell r="G701" t="str">
            <v>שווי מתנות</v>
          </cell>
          <cell r="H701">
            <v>186.25</v>
          </cell>
          <cell r="I701">
            <v>0</v>
          </cell>
          <cell r="J701" t="str">
            <v>תפעול</v>
          </cell>
        </row>
        <row r="702">
          <cell r="A702" t="str">
            <v>רד סי אופטיקל נטוורק</v>
          </cell>
          <cell r="B702">
            <v>2004</v>
          </cell>
          <cell r="C702">
            <v>32</v>
          </cell>
          <cell r="D702" t="str">
            <v>לב אייל</v>
          </cell>
          <cell r="E702">
            <v>3</v>
          </cell>
          <cell r="F702">
            <v>24</v>
          </cell>
          <cell r="G702" t="str">
            <v>שוויארוחות</v>
          </cell>
          <cell r="H702">
            <v>450</v>
          </cell>
          <cell r="I702">
            <v>1</v>
          </cell>
          <cell r="J702" t="str">
            <v>תפעול</v>
          </cell>
        </row>
        <row r="703">
          <cell r="A703" t="str">
            <v>רד סי אופטיקל נטוורק</v>
          </cell>
          <cell r="B703">
            <v>2004</v>
          </cell>
          <cell r="C703">
            <v>32</v>
          </cell>
          <cell r="D703" t="str">
            <v>לב אייל</v>
          </cell>
          <cell r="E703">
            <v>4</v>
          </cell>
          <cell r="F703">
            <v>24</v>
          </cell>
          <cell r="G703" t="str">
            <v>שוויארוחות</v>
          </cell>
          <cell r="H703">
            <v>450</v>
          </cell>
          <cell r="I703">
            <v>1</v>
          </cell>
          <cell r="J703" t="str">
            <v>תפעול</v>
          </cell>
        </row>
        <row r="704">
          <cell r="A704" t="str">
            <v>רד סי אופטיקל נטוורק</v>
          </cell>
          <cell r="B704">
            <v>2004</v>
          </cell>
          <cell r="C704">
            <v>32</v>
          </cell>
          <cell r="D704" t="str">
            <v>לב אייל</v>
          </cell>
          <cell r="E704">
            <v>5</v>
          </cell>
          <cell r="F704">
            <v>24</v>
          </cell>
          <cell r="G704" t="str">
            <v>שוויארוחות</v>
          </cell>
          <cell r="H704">
            <v>261</v>
          </cell>
          <cell r="I704">
            <v>0.57999999999999996</v>
          </cell>
          <cell r="J704" t="str">
            <v>תפעול</v>
          </cell>
        </row>
        <row r="705">
          <cell r="A705" t="str">
            <v>רד סי אופטיקל נטוורק</v>
          </cell>
          <cell r="B705">
            <v>2004</v>
          </cell>
          <cell r="C705">
            <v>32</v>
          </cell>
          <cell r="D705" t="str">
            <v>לב אייל</v>
          </cell>
          <cell r="E705">
            <v>6</v>
          </cell>
          <cell r="F705">
            <v>24</v>
          </cell>
          <cell r="G705" t="str">
            <v>שוויארוחות</v>
          </cell>
          <cell r="H705">
            <v>450</v>
          </cell>
          <cell r="I705">
            <v>1</v>
          </cell>
          <cell r="J705" t="str">
            <v>תפעול</v>
          </cell>
        </row>
        <row r="706">
          <cell r="A706" t="str">
            <v>רד סי אופטיקל נטוורק</v>
          </cell>
          <cell r="B706">
            <v>2004</v>
          </cell>
          <cell r="C706">
            <v>32</v>
          </cell>
          <cell r="D706" t="str">
            <v>לב אייל</v>
          </cell>
          <cell r="E706">
            <v>7</v>
          </cell>
          <cell r="F706">
            <v>24</v>
          </cell>
          <cell r="G706" t="str">
            <v>שוויארוחות</v>
          </cell>
          <cell r="H706">
            <v>450</v>
          </cell>
          <cell r="I706">
            <v>1</v>
          </cell>
          <cell r="J706" t="str">
            <v>תפעול</v>
          </cell>
        </row>
        <row r="707">
          <cell r="A707" t="str">
            <v>רד סי אופטיקל נטוורק</v>
          </cell>
          <cell r="B707">
            <v>2004</v>
          </cell>
          <cell r="C707">
            <v>32</v>
          </cell>
          <cell r="D707" t="str">
            <v>לב אייל</v>
          </cell>
          <cell r="E707">
            <v>8</v>
          </cell>
          <cell r="F707">
            <v>24</v>
          </cell>
          <cell r="G707" t="str">
            <v>שוויארוחות</v>
          </cell>
          <cell r="H707">
            <v>483</v>
          </cell>
          <cell r="I707">
            <v>23</v>
          </cell>
          <cell r="J707" t="str">
            <v>תפעול</v>
          </cell>
        </row>
        <row r="708">
          <cell r="A708" t="str">
            <v>רד סי אופטיקל נטוורק</v>
          </cell>
          <cell r="B708">
            <v>2004</v>
          </cell>
          <cell r="C708">
            <v>32</v>
          </cell>
          <cell r="D708" t="str">
            <v>לב אייל</v>
          </cell>
          <cell r="E708">
            <v>9</v>
          </cell>
          <cell r="F708">
            <v>22</v>
          </cell>
          <cell r="G708" t="str">
            <v>שווי מתנות</v>
          </cell>
          <cell r="H708">
            <v>459.25</v>
          </cell>
          <cell r="I708">
            <v>0</v>
          </cell>
          <cell r="J708" t="str">
            <v>תפעול</v>
          </cell>
        </row>
        <row r="709">
          <cell r="A709" t="str">
            <v>רד סי אופטיקל נטוורק</v>
          </cell>
          <cell r="B709">
            <v>2004</v>
          </cell>
          <cell r="C709">
            <v>32</v>
          </cell>
          <cell r="D709" t="str">
            <v>לב אייל</v>
          </cell>
          <cell r="E709">
            <v>9</v>
          </cell>
          <cell r="F709">
            <v>24</v>
          </cell>
          <cell r="G709" t="str">
            <v>שוויארוחות</v>
          </cell>
          <cell r="H709">
            <v>378</v>
          </cell>
          <cell r="I709">
            <v>18</v>
          </cell>
          <cell r="J709" t="str">
            <v>תפעול</v>
          </cell>
        </row>
        <row r="710">
          <cell r="A710" t="str">
            <v>רד סי אופטיקל נטוורק</v>
          </cell>
          <cell r="B710">
            <v>2004</v>
          </cell>
          <cell r="C710">
            <v>32</v>
          </cell>
          <cell r="D710" t="str">
            <v>לב אייל</v>
          </cell>
          <cell r="E710">
            <v>10</v>
          </cell>
          <cell r="F710">
            <v>24</v>
          </cell>
          <cell r="G710" t="str">
            <v>שוויארוחות</v>
          </cell>
          <cell r="H710">
            <v>399</v>
          </cell>
          <cell r="I710">
            <v>19</v>
          </cell>
          <cell r="J710" t="str">
            <v>תפעול</v>
          </cell>
        </row>
        <row r="711">
          <cell r="A711" t="str">
            <v>רד סי אופטיקל נטוורק</v>
          </cell>
          <cell r="B711">
            <v>2004</v>
          </cell>
          <cell r="C711">
            <v>32</v>
          </cell>
          <cell r="D711" t="str">
            <v>לב אייל</v>
          </cell>
          <cell r="E711">
            <v>11</v>
          </cell>
          <cell r="F711">
            <v>24</v>
          </cell>
          <cell r="G711" t="str">
            <v>שוויארוחות</v>
          </cell>
          <cell r="H711">
            <v>441</v>
          </cell>
          <cell r="I711">
            <v>21</v>
          </cell>
          <cell r="J711" t="str">
            <v>תפעול</v>
          </cell>
        </row>
        <row r="712">
          <cell r="A712" t="str">
            <v>רד סי אופטיקל נטוורק</v>
          </cell>
          <cell r="B712">
            <v>2004</v>
          </cell>
          <cell r="C712">
            <v>32</v>
          </cell>
          <cell r="D712" t="str">
            <v>לב אייל</v>
          </cell>
          <cell r="E712">
            <v>12</v>
          </cell>
          <cell r="F712">
            <v>22</v>
          </cell>
          <cell r="G712" t="str">
            <v>שווי מתנות</v>
          </cell>
          <cell r="H712">
            <v>0</v>
          </cell>
          <cell r="I712">
            <v>0</v>
          </cell>
          <cell r="J712" t="str">
            <v>תפעול</v>
          </cell>
        </row>
        <row r="713">
          <cell r="A713" t="str">
            <v>רד סי אופטיקל נטוורק</v>
          </cell>
          <cell r="B713">
            <v>2004</v>
          </cell>
          <cell r="C713">
            <v>32</v>
          </cell>
          <cell r="D713" t="str">
            <v>לב אייל</v>
          </cell>
          <cell r="E713">
            <v>12</v>
          </cell>
          <cell r="F713">
            <v>24</v>
          </cell>
          <cell r="G713" t="str">
            <v>שוויארוחות</v>
          </cell>
          <cell r="H713">
            <v>462</v>
          </cell>
          <cell r="I713">
            <v>22</v>
          </cell>
          <cell r="J713" t="str">
            <v>תפעול</v>
          </cell>
        </row>
        <row r="714">
          <cell r="A714" t="str">
            <v>רד סי אופטיקל נטוורק</v>
          </cell>
          <cell r="B714">
            <v>2004</v>
          </cell>
          <cell r="C714">
            <v>33</v>
          </cell>
          <cell r="D714" t="str">
            <v>תור מירי</v>
          </cell>
          <cell r="E714">
            <v>1</v>
          </cell>
          <cell r="F714">
            <v>24</v>
          </cell>
          <cell r="G714" t="str">
            <v>שוויארוחות</v>
          </cell>
          <cell r="H714">
            <v>450</v>
          </cell>
          <cell r="I714">
            <v>1</v>
          </cell>
          <cell r="J714" t="str">
            <v>ייצור</v>
          </cell>
        </row>
        <row r="715">
          <cell r="A715" t="str">
            <v>רד סי אופטיקל נטוורק</v>
          </cell>
          <cell r="B715">
            <v>2004</v>
          </cell>
          <cell r="C715">
            <v>33</v>
          </cell>
          <cell r="D715" t="str">
            <v>תור מירי</v>
          </cell>
          <cell r="E715">
            <v>2</v>
          </cell>
          <cell r="F715">
            <v>24</v>
          </cell>
          <cell r="G715" t="str">
            <v>שוויארוחות</v>
          </cell>
          <cell r="H715">
            <v>405</v>
          </cell>
          <cell r="I715">
            <v>0.9</v>
          </cell>
          <cell r="J715" t="str">
            <v>ייצור</v>
          </cell>
        </row>
        <row r="716">
          <cell r="A716" t="str">
            <v>רד סי אופטיקל נטוורק</v>
          </cell>
          <cell r="B716">
            <v>2004</v>
          </cell>
          <cell r="C716">
            <v>33</v>
          </cell>
          <cell r="D716" t="str">
            <v>תור מירי</v>
          </cell>
          <cell r="E716">
            <v>3</v>
          </cell>
          <cell r="F716">
            <v>22</v>
          </cell>
          <cell r="G716" t="str">
            <v>שווי מתנות</v>
          </cell>
          <cell r="H716">
            <v>186.25</v>
          </cell>
          <cell r="I716">
            <v>0</v>
          </cell>
          <cell r="J716" t="str">
            <v>ייצור</v>
          </cell>
        </row>
        <row r="717">
          <cell r="A717" t="str">
            <v>רד סי אופטיקל נטוורק</v>
          </cell>
          <cell r="B717">
            <v>2004</v>
          </cell>
          <cell r="C717">
            <v>33</v>
          </cell>
          <cell r="D717" t="str">
            <v>תור מירי</v>
          </cell>
          <cell r="E717">
            <v>3</v>
          </cell>
          <cell r="F717">
            <v>24</v>
          </cell>
          <cell r="G717" t="str">
            <v>שוויארוחות</v>
          </cell>
          <cell r="H717">
            <v>450</v>
          </cell>
          <cell r="I717">
            <v>1</v>
          </cell>
          <cell r="J717" t="str">
            <v>ייצור</v>
          </cell>
        </row>
        <row r="718">
          <cell r="A718" t="str">
            <v>רד סי אופטיקל נטוורק</v>
          </cell>
          <cell r="B718">
            <v>2004</v>
          </cell>
          <cell r="C718">
            <v>33</v>
          </cell>
          <cell r="D718" t="str">
            <v>תור מירי</v>
          </cell>
          <cell r="E718">
            <v>4</v>
          </cell>
          <cell r="F718">
            <v>24</v>
          </cell>
          <cell r="G718" t="str">
            <v>שוויארוחות</v>
          </cell>
          <cell r="H718">
            <v>450</v>
          </cell>
          <cell r="I718">
            <v>1</v>
          </cell>
          <cell r="J718" t="str">
            <v>ייצור</v>
          </cell>
        </row>
        <row r="719">
          <cell r="A719" t="str">
            <v>רד סי אופטיקל נטוורק</v>
          </cell>
          <cell r="B719">
            <v>2004</v>
          </cell>
          <cell r="C719">
            <v>33</v>
          </cell>
          <cell r="D719" t="str">
            <v>תור מירי</v>
          </cell>
          <cell r="E719">
            <v>5</v>
          </cell>
          <cell r="F719">
            <v>24</v>
          </cell>
          <cell r="G719" t="str">
            <v>שוויארוחות</v>
          </cell>
          <cell r="H719">
            <v>450</v>
          </cell>
          <cell r="I719">
            <v>1</v>
          </cell>
          <cell r="J719" t="str">
            <v>ייצור</v>
          </cell>
        </row>
        <row r="720">
          <cell r="A720" t="str">
            <v>רד סי אופטיקל נטוורק</v>
          </cell>
          <cell r="B720">
            <v>2004</v>
          </cell>
          <cell r="C720">
            <v>33</v>
          </cell>
          <cell r="D720" t="str">
            <v>תור מירי</v>
          </cell>
          <cell r="E720">
            <v>6</v>
          </cell>
          <cell r="F720">
            <v>24</v>
          </cell>
          <cell r="G720" t="str">
            <v>שוויארוחות</v>
          </cell>
          <cell r="H720">
            <v>450</v>
          </cell>
          <cell r="I720">
            <v>1</v>
          </cell>
          <cell r="J720" t="str">
            <v>ייצור</v>
          </cell>
        </row>
        <row r="721">
          <cell r="A721" t="str">
            <v>רד סי אופטיקל נטוורק</v>
          </cell>
          <cell r="B721">
            <v>2004</v>
          </cell>
          <cell r="C721">
            <v>33</v>
          </cell>
          <cell r="D721" t="str">
            <v>תור מירי</v>
          </cell>
          <cell r="E721">
            <v>7</v>
          </cell>
          <cell r="F721">
            <v>24</v>
          </cell>
          <cell r="G721" t="str">
            <v>שוויארוחות</v>
          </cell>
          <cell r="H721">
            <v>450</v>
          </cell>
          <cell r="I721">
            <v>1</v>
          </cell>
          <cell r="J721" t="str">
            <v>ייצור</v>
          </cell>
        </row>
        <row r="722">
          <cell r="A722" t="str">
            <v>רד סי אופטיקל נטוורק</v>
          </cell>
          <cell r="B722">
            <v>2004</v>
          </cell>
          <cell r="C722">
            <v>33</v>
          </cell>
          <cell r="D722" t="str">
            <v>תור מירי</v>
          </cell>
          <cell r="E722">
            <v>8</v>
          </cell>
          <cell r="F722">
            <v>24</v>
          </cell>
          <cell r="G722" t="str">
            <v>שוויארוחות</v>
          </cell>
          <cell r="H722">
            <v>483</v>
          </cell>
          <cell r="I722">
            <v>23</v>
          </cell>
          <cell r="J722" t="str">
            <v>ייצור</v>
          </cell>
        </row>
        <row r="723">
          <cell r="A723" t="str">
            <v>רד סי אופטיקל נטוורק</v>
          </cell>
          <cell r="B723">
            <v>2004</v>
          </cell>
          <cell r="C723">
            <v>33</v>
          </cell>
          <cell r="D723" t="str">
            <v>תור מירי</v>
          </cell>
          <cell r="E723">
            <v>9</v>
          </cell>
          <cell r="F723">
            <v>22</v>
          </cell>
          <cell r="G723" t="str">
            <v>שווי מתנות</v>
          </cell>
          <cell r="H723">
            <v>459.25</v>
          </cell>
          <cell r="I723">
            <v>0</v>
          </cell>
          <cell r="J723" t="str">
            <v>ייצור</v>
          </cell>
        </row>
        <row r="724">
          <cell r="A724" t="str">
            <v>רד סי אופטיקל נטוורק</v>
          </cell>
          <cell r="B724">
            <v>2004</v>
          </cell>
          <cell r="C724">
            <v>33</v>
          </cell>
          <cell r="D724" t="str">
            <v>תור מירי</v>
          </cell>
          <cell r="E724">
            <v>9</v>
          </cell>
          <cell r="F724">
            <v>24</v>
          </cell>
          <cell r="G724" t="str">
            <v>שוויארוחות</v>
          </cell>
          <cell r="H724">
            <v>378</v>
          </cell>
          <cell r="I724">
            <v>18</v>
          </cell>
          <cell r="J724" t="str">
            <v>ייצור</v>
          </cell>
        </row>
        <row r="725">
          <cell r="A725" t="str">
            <v>רד סי אופטיקל נטוורק</v>
          </cell>
          <cell r="B725">
            <v>2004</v>
          </cell>
          <cell r="C725">
            <v>33</v>
          </cell>
          <cell r="D725" t="str">
            <v>תור מירי</v>
          </cell>
          <cell r="E725">
            <v>10</v>
          </cell>
          <cell r="F725">
            <v>24</v>
          </cell>
          <cell r="G725" t="str">
            <v>שוויארוחות</v>
          </cell>
          <cell r="H725">
            <v>399</v>
          </cell>
          <cell r="I725">
            <v>19</v>
          </cell>
          <cell r="J725" t="str">
            <v>ייצור</v>
          </cell>
        </row>
        <row r="726">
          <cell r="A726" t="str">
            <v>רד סי אופטיקל נטוורק</v>
          </cell>
          <cell r="B726">
            <v>2004</v>
          </cell>
          <cell r="C726">
            <v>33</v>
          </cell>
          <cell r="D726" t="str">
            <v>תור מירי</v>
          </cell>
          <cell r="E726">
            <v>11</v>
          </cell>
          <cell r="F726">
            <v>24</v>
          </cell>
          <cell r="G726" t="str">
            <v>שוויארוחות</v>
          </cell>
          <cell r="H726">
            <v>441</v>
          </cell>
          <cell r="I726">
            <v>21</v>
          </cell>
          <cell r="J726" t="str">
            <v>ייצור</v>
          </cell>
        </row>
        <row r="727">
          <cell r="A727" t="str">
            <v>רד סי אופטיקל נטוורק</v>
          </cell>
          <cell r="B727">
            <v>2004</v>
          </cell>
          <cell r="C727">
            <v>33</v>
          </cell>
          <cell r="D727" t="str">
            <v>תור מירי</v>
          </cell>
          <cell r="E727">
            <v>12</v>
          </cell>
          <cell r="F727">
            <v>22</v>
          </cell>
          <cell r="G727" t="str">
            <v>שווי מתנות</v>
          </cell>
          <cell r="H727">
            <v>0</v>
          </cell>
          <cell r="I727">
            <v>0</v>
          </cell>
          <cell r="J727" t="str">
            <v>ייצור</v>
          </cell>
        </row>
        <row r="728">
          <cell r="A728" t="str">
            <v>רד סי אופטיקל נטוורק</v>
          </cell>
          <cell r="B728">
            <v>2004</v>
          </cell>
          <cell r="C728">
            <v>33</v>
          </cell>
          <cell r="D728" t="str">
            <v>תור מירי</v>
          </cell>
          <cell r="E728">
            <v>12</v>
          </cell>
          <cell r="F728">
            <v>24</v>
          </cell>
          <cell r="G728" t="str">
            <v>שוויארוחות</v>
          </cell>
          <cell r="H728">
            <v>462</v>
          </cell>
          <cell r="I728">
            <v>22</v>
          </cell>
          <cell r="J728" t="str">
            <v>ייצור</v>
          </cell>
        </row>
        <row r="729">
          <cell r="A729" t="str">
            <v>רד סי אופטיקל נטוורק</v>
          </cell>
          <cell r="B729">
            <v>2004</v>
          </cell>
          <cell r="C729">
            <v>34</v>
          </cell>
          <cell r="D729" t="str">
            <v>בורטין זינאידה</v>
          </cell>
          <cell r="E729">
            <v>1</v>
          </cell>
          <cell r="F729">
            <v>24</v>
          </cell>
          <cell r="G729" t="str">
            <v>שוויארוחות</v>
          </cell>
          <cell r="H729">
            <v>450</v>
          </cell>
          <cell r="I729">
            <v>0</v>
          </cell>
          <cell r="J729" t="str">
            <v>ייצור</v>
          </cell>
        </row>
        <row r="730">
          <cell r="A730" t="str">
            <v>רד סי אופטיקל נטוורק</v>
          </cell>
          <cell r="B730">
            <v>2004</v>
          </cell>
          <cell r="C730">
            <v>34</v>
          </cell>
          <cell r="D730" t="str">
            <v>בורטין זינאידה</v>
          </cell>
          <cell r="E730">
            <v>2</v>
          </cell>
          <cell r="F730">
            <v>24</v>
          </cell>
          <cell r="G730" t="str">
            <v>שוויארוחות</v>
          </cell>
          <cell r="H730">
            <v>387</v>
          </cell>
          <cell r="I730">
            <v>0.86</v>
          </cell>
          <cell r="J730" t="str">
            <v>ייצור</v>
          </cell>
        </row>
        <row r="731">
          <cell r="A731" t="str">
            <v>רד סי אופטיקל נטוורק</v>
          </cell>
          <cell r="B731">
            <v>2004</v>
          </cell>
          <cell r="C731">
            <v>34</v>
          </cell>
          <cell r="D731" t="str">
            <v>בורטין זינאידה</v>
          </cell>
          <cell r="E731">
            <v>3</v>
          </cell>
          <cell r="F731">
            <v>22</v>
          </cell>
          <cell r="G731" t="str">
            <v>שווי מתנות</v>
          </cell>
          <cell r="H731">
            <v>186.25</v>
          </cell>
          <cell r="I731">
            <v>0</v>
          </cell>
          <cell r="J731" t="str">
            <v>ייצור</v>
          </cell>
        </row>
        <row r="732">
          <cell r="A732" t="str">
            <v>רד סי אופטיקל נטוורק</v>
          </cell>
          <cell r="B732">
            <v>2004</v>
          </cell>
          <cell r="C732">
            <v>34</v>
          </cell>
          <cell r="D732" t="str">
            <v>בורטין זינאידה</v>
          </cell>
          <cell r="E732">
            <v>3</v>
          </cell>
          <cell r="F732">
            <v>24</v>
          </cell>
          <cell r="G732" t="str">
            <v>שוויארוחות</v>
          </cell>
          <cell r="H732">
            <v>450</v>
          </cell>
          <cell r="I732">
            <v>1</v>
          </cell>
          <cell r="J732" t="str">
            <v>ייצור</v>
          </cell>
        </row>
        <row r="733">
          <cell r="A733" t="str">
            <v>רד סי אופטיקל נטוורק</v>
          </cell>
          <cell r="B733">
            <v>2004</v>
          </cell>
          <cell r="C733">
            <v>34</v>
          </cell>
          <cell r="D733" t="str">
            <v>בורטין זינאידה</v>
          </cell>
          <cell r="E733">
            <v>4</v>
          </cell>
          <cell r="F733">
            <v>24</v>
          </cell>
          <cell r="G733" t="str">
            <v>שוויארוחות</v>
          </cell>
          <cell r="H733">
            <v>450</v>
          </cell>
          <cell r="I733">
            <v>1</v>
          </cell>
          <cell r="J733" t="str">
            <v>ייצור</v>
          </cell>
        </row>
        <row r="734">
          <cell r="A734" t="str">
            <v>רד סי אופטיקל נטוורק</v>
          </cell>
          <cell r="B734">
            <v>2004</v>
          </cell>
          <cell r="C734">
            <v>34</v>
          </cell>
          <cell r="D734" t="str">
            <v>בורטין זינאידה</v>
          </cell>
          <cell r="E734">
            <v>5</v>
          </cell>
          <cell r="F734">
            <v>24</v>
          </cell>
          <cell r="G734" t="str">
            <v>שוויארוחות</v>
          </cell>
          <cell r="H734">
            <v>450</v>
          </cell>
          <cell r="I734">
            <v>1</v>
          </cell>
          <cell r="J734" t="str">
            <v>ייצור</v>
          </cell>
        </row>
        <row r="735">
          <cell r="A735" t="str">
            <v>רד סי אופטיקל נטוורק</v>
          </cell>
          <cell r="B735">
            <v>2004</v>
          </cell>
          <cell r="C735">
            <v>34</v>
          </cell>
          <cell r="D735" t="str">
            <v>בורטין זינאידה</v>
          </cell>
          <cell r="E735">
            <v>6</v>
          </cell>
          <cell r="F735">
            <v>24</v>
          </cell>
          <cell r="G735" t="str">
            <v>שוויארוחות</v>
          </cell>
          <cell r="H735">
            <v>450</v>
          </cell>
          <cell r="I735">
            <v>1</v>
          </cell>
          <cell r="J735" t="str">
            <v>ייצור</v>
          </cell>
        </row>
        <row r="736">
          <cell r="A736" t="str">
            <v>רד סי אופטיקל נטוורק</v>
          </cell>
          <cell r="B736">
            <v>2004</v>
          </cell>
          <cell r="C736">
            <v>34</v>
          </cell>
          <cell r="D736" t="str">
            <v>בורטין זינאידה</v>
          </cell>
          <cell r="E736">
            <v>7</v>
          </cell>
          <cell r="F736">
            <v>24</v>
          </cell>
          <cell r="G736" t="str">
            <v>שוויארוחות</v>
          </cell>
          <cell r="H736">
            <v>450</v>
          </cell>
          <cell r="I736">
            <v>1</v>
          </cell>
          <cell r="J736" t="str">
            <v>ייצור</v>
          </cell>
        </row>
        <row r="737">
          <cell r="A737" t="str">
            <v>רד סי אופטיקל נטוורק</v>
          </cell>
          <cell r="B737">
            <v>2004</v>
          </cell>
          <cell r="C737">
            <v>34</v>
          </cell>
          <cell r="D737" t="str">
            <v>בורטין זינאידה</v>
          </cell>
          <cell r="E737">
            <v>8</v>
          </cell>
          <cell r="F737">
            <v>24</v>
          </cell>
          <cell r="G737" t="str">
            <v>שוויארוחות</v>
          </cell>
          <cell r="H737">
            <v>483</v>
          </cell>
          <cell r="I737">
            <v>23</v>
          </cell>
          <cell r="J737" t="str">
            <v>ייצור</v>
          </cell>
        </row>
        <row r="738">
          <cell r="A738" t="str">
            <v>רד סי אופטיקל נטוורק</v>
          </cell>
          <cell r="B738">
            <v>2004</v>
          </cell>
          <cell r="C738">
            <v>34</v>
          </cell>
          <cell r="D738" t="str">
            <v>בורטין זינאידה</v>
          </cell>
          <cell r="E738">
            <v>9</v>
          </cell>
          <cell r="F738">
            <v>22</v>
          </cell>
          <cell r="G738" t="str">
            <v>שווי מתנות</v>
          </cell>
          <cell r="H738">
            <v>459.25</v>
          </cell>
          <cell r="I738">
            <v>0</v>
          </cell>
          <cell r="J738" t="str">
            <v>ייצור</v>
          </cell>
        </row>
        <row r="739">
          <cell r="A739" t="str">
            <v>רד סי אופטיקל נטוורק</v>
          </cell>
          <cell r="B739">
            <v>2004</v>
          </cell>
          <cell r="C739">
            <v>34</v>
          </cell>
          <cell r="D739" t="str">
            <v>בורטין זינאידה</v>
          </cell>
          <cell r="E739">
            <v>9</v>
          </cell>
          <cell r="F739">
            <v>24</v>
          </cell>
          <cell r="G739" t="str">
            <v>שוויארוחות</v>
          </cell>
          <cell r="H739">
            <v>378</v>
          </cell>
          <cell r="I739">
            <v>18</v>
          </cell>
          <cell r="J739" t="str">
            <v>ייצור</v>
          </cell>
        </row>
        <row r="740">
          <cell r="A740" t="str">
            <v>רד סי אופטיקל נטוורק</v>
          </cell>
          <cell r="B740">
            <v>2004</v>
          </cell>
          <cell r="C740">
            <v>34</v>
          </cell>
          <cell r="D740" t="str">
            <v>בורטין זינאידה</v>
          </cell>
          <cell r="E740">
            <v>10</v>
          </cell>
          <cell r="F740">
            <v>24</v>
          </cell>
          <cell r="G740" t="str">
            <v>שוויארוחות</v>
          </cell>
          <cell r="H740">
            <v>399</v>
          </cell>
          <cell r="I740">
            <v>19</v>
          </cell>
          <cell r="J740" t="str">
            <v>ייצור</v>
          </cell>
        </row>
        <row r="741">
          <cell r="A741" t="str">
            <v>רד סי אופטיקל נטוורק</v>
          </cell>
          <cell r="B741">
            <v>2004</v>
          </cell>
          <cell r="C741">
            <v>34</v>
          </cell>
          <cell r="D741" t="str">
            <v>בורטין זינאידה</v>
          </cell>
          <cell r="E741">
            <v>11</v>
          </cell>
          <cell r="F741">
            <v>24</v>
          </cell>
          <cell r="G741" t="str">
            <v>שוויארוחות</v>
          </cell>
          <cell r="H741">
            <v>441</v>
          </cell>
          <cell r="I741">
            <v>21</v>
          </cell>
          <cell r="J741" t="str">
            <v>ייצור</v>
          </cell>
        </row>
        <row r="742">
          <cell r="A742" t="str">
            <v>רד סי אופטיקל נטוורק</v>
          </cell>
          <cell r="B742">
            <v>2004</v>
          </cell>
          <cell r="C742">
            <v>34</v>
          </cell>
          <cell r="D742" t="str">
            <v>בורטין זינאידה</v>
          </cell>
          <cell r="E742">
            <v>12</v>
          </cell>
          <cell r="F742">
            <v>22</v>
          </cell>
          <cell r="G742" t="str">
            <v>שווי מתנות</v>
          </cell>
          <cell r="H742">
            <v>0</v>
          </cell>
          <cell r="I742">
            <v>0</v>
          </cell>
          <cell r="J742" t="str">
            <v>ייצור</v>
          </cell>
        </row>
        <row r="743">
          <cell r="A743" t="str">
            <v>רד סי אופטיקל נטוורק</v>
          </cell>
          <cell r="B743">
            <v>2004</v>
          </cell>
          <cell r="C743">
            <v>34</v>
          </cell>
          <cell r="D743" t="str">
            <v>בורטין זינאידה</v>
          </cell>
          <cell r="E743">
            <v>12</v>
          </cell>
          <cell r="F743">
            <v>24</v>
          </cell>
          <cell r="G743" t="str">
            <v>שוויארוחות</v>
          </cell>
          <cell r="H743">
            <v>462</v>
          </cell>
          <cell r="I743">
            <v>22</v>
          </cell>
          <cell r="J743" t="str">
            <v>ייצור</v>
          </cell>
        </row>
        <row r="744">
          <cell r="A744" t="str">
            <v>רד סי אופטיקל נטוורק</v>
          </cell>
          <cell r="B744">
            <v>2004</v>
          </cell>
          <cell r="C744">
            <v>36</v>
          </cell>
          <cell r="D744" t="str">
            <v>בורלא יוסי</v>
          </cell>
          <cell r="E744">
            <v>1</v>
          </cell>
          <cell r="F744">
            <v>24</v>
          </cell>
          <cell r="G744" t="str">
            <v>שוויארוחות</v>
          </cell>
          <cell r="H744">
            <v>450</v>
          </cell>
          <cell r="I744">
            <v>0</v>
          </cell>
          <cell r="J744" t="str">
            <v>תפעול</v>
          </cell>
        </row>
        <row r="745">
          <cell r="A745" t="str">
            <v>רד סי אופטיקל נטוורק</v>
          </cell>
          <cell r="B745">
            <v>2004</v>
          </cell>
          <cell r="C745">
            <v>36</v>
          </cell>
          <cell r="D745" t="str">
            <v>בורלא יוסי</v>
          </cell>
          <cell r="E745">
            <v>2</v>
          </cell>
          <cell r="F745">
            <v>24</v>
          </cell>
          <cell r="G745" t="str">
            <v>שוויארוחות</v>
          </cell>
          <cell r="H745">
            <v>450</v>
          </cell>
          <cell r="I745">
            <v>0</v>
          </cell>
          <cell r="J745" t="str">
            <v>תפעול</v>
          </cell>
        </row>
        <row r="746">
          <cell r="A746" t="str">
            <v>רד סי אופטיקל נטוורק</v>
          </cell>
          <cell r="B746">
            <v>2004</v>
          </cell>
          <cell r="C746">
            <v>36</v>
          </cell>
          <cell r="D746" t="str">
            <v>בורלא יוסי</v>
          </cell>
          <cell r="E746">
            <v>2</v>
          </cell>
          <cell r="F746">
            <v>40</v>
          </cell>
          <cell r="G746" t="str">
            <v>רכב קב' 2</v>
          </cell>
          <cell r="H746">
            <v>980</v>
          </cell>
          <cell r="I746">
            <v>0</v>
          </cell>
          <cell r="J746" t="str">
            <v>תפעול</v>
          </cell>
        </row>
        <row r="747">
          <cell r="A747" t="str">
            <v>רד סי אופטיקל נטוורק</v>
          </cell>
          <cell r="B747">
            <v>2004</v>
          </cell>
          <cell r="C747">
            <v>36</v>
          </cell>
          <cell r="D747" t="str">
            <v>בורלא יוסי</v>
          </cell>
          <cell r="E747">
            <v>3</v>
          </cell>
          <cell r="F747">
            <v>22</v>
          </cell>
          <cell r="G747" t="str">
            <v>שווי מתנות</v>
          </cell>
          <cell r="H747">
            <v>186.25</v>
          </cell>
          <cell r="I747">
            <v>0</v>
          </cell>
          <cell r="J747" t="str">
            <v>תפעול</v>
          </cell>
        </row>
        <row r="748">
          <cell r="A748" t="str">
            <v>רד סי אופטיקל נטוורק</v>
          </cell>
          <cell r="B748">
            <v>2004</v>
          </cell>
          <cell r="C748">
            <v>36</v>
          </cell>
          <cell r="D748" t="str">
            <v>בורלא יוסי</v>
          </cell>
          <cell r="E748">
            <v>3</v>
          </cell>
          <cell r="F748">
            <v>24</v>
          </cell>
          <cell r="G748" t="str">
            <v>שוויארוחות</v>
          </cell>
          <cell r="H748">
            <v>450</v>
          </cell>
          <cell r="I748">
            <v>0</v>
          </cell>
          <cell r="J748" t="str">
            <v>תפעול</v>
          </cell>
        </row>
        <row r="749">
          <cell r="A749" t="str">
            <v>רד סי אופטיקל נטוורק</v>
          </cell>
          <cell r="B749">
            <v>2004</v>
          </cell>
          <cell r="C749">
            <v>36</v>
          </cell>
          <cell r="D749" t="str">
            <v>בורלא יוסי</v>
          </cell>
          <cell r="E749">
            <v>3</v>
          </cell>
          <cell r="F749">
            <v>40</v>
          </cell>
          <cell r="G749" t="str">
            <v>רכב קב' 2</v>
          </cell>
          <cell r="H749">
            <v>980</v>
          </cell>
          <cell r="I749">
            <v>0</v>
          </cell>
          <cell r="J749" t="str">
            <v>תפעול</v>
          </cell>
        </row>
        <row r="750">
          <cell r="A750" t="str">
            <v>רד סי אופטיקל נטוורק</v>
          </cell>
          <cell r="B750">
            <v>2004</v>
          </cell>
          <cell r="C750">
            <v>36</v>
          </cell>
          <cell r="D750" t="str">
            <v>בורלא יוסי</v>
          </cell>
          <cell r="E750">
            <v>4</v>
          </cell>
          <cell r="F750">
            <v>24</v>
          </cell>
          <cell r="G750" t="str">
            <v>שוויארוחות</v>
          </cell>
          <cell r="H750">
            <v>450</v>
          </cell>
          <cell r="I750">
            <v>0</v>
          </cell>
          <cell r="J750" t="str">
            <v>תפעול</v>
          </cell>
        </row>
        <row r="751">
          <cell r="A751" t="str">
            <v>רד סי אופטיקל נטוורק</v>
          </cell>
          <cell r="B751">
            <v>2004</v>
          </cell>
          <cell r="C751">
            <v>36</v>
          </cell>
          <cell r="D751" t="str">
            <v>בורלא יוסי</v>
          </cell>
          <cell r="E751">
            <v>4</v>
          </cell>
          <cell r="F751">
            <v>40</v>
          </cell>
          <cell r="G751" t="str">
            <v>רכב קב' 2</v>
          </cell>
          <cell r="H751">
            <v>980</v>
          </cell>
          <cell r="I751">
            <v>0</v>
          </cell>
          <cell r="J751" t="str">
            <v>תפעול</v>
          </cell>
        </row>
        <row r="752">
          <cell r="A752" t="str">
            <v>רד סי אופטיקל נטוורק</v>
          </cell>
          <cell r="B752">
            <v>2004</v>
          </cell>
          <cell r="C752">
            <v>36</v>
          </cell>
          <cell r="D752" t="str">
            <v>בורלא יוסי</v>
          </cell>
          <cell r="E752">
            <v>5</v>
          </cell>
          <cell r="F752">
            <v>24</v>
          </cell>
          <cell r="G752" t="str">
            <v>שוויארוחות</v>
          </cell>
          <cell r="H752">
            <v>450</v>
          </cell>
          <cell r="I752">
            <v>0</v>
          </cell>
          <cell r="J752" t="str">
            <v>תפעול</v>
          </cell>
        </row>
        <row r="753">
          <cell r="A753" t="str">
            <v>רד סי אופטיקל נטוורק</v>
          </cell>
          <cell r="B753">
            <v>2004</v>
          </cell>
          <cell r="C753">
            <v>36</v>
          </cell>
          <cell r="D753" t="str">
            <v>בורלא יוסי</v>
          </cell>
          <cell r="E753">
            <v>5</v>
          </cell>
          <cell r="F753">
            <v>40</v>
          </cell>
          <cell r="G753" t="str">
            <v>רכב קב' 2</v>
          </cell>
          <cell r="H753">
            <v>980</v>
          </cell>
          <cell r="I753">
            <v>0</v>
          </cell>
          <cell r="J753" t="str">
            <v>תפעול</v>
          </cell>
        </row>
        <row r="754">
          <cell r="A754" t="str">
            <v>רד סי אופטיקל נטוורק</v>
          </cell>
          <cell r="B754">
            <v>2004</v>
          </cell>
          <cell r="C754">
            <v>36</v>
          </cell>
          <cell r="D754" t="str">
            <v>בורלא יוסי</v>
          </cell>
          <cell r="E754">
            <v>6</v>
          </cell>
          <cell r="F754">
            <v>24</v>
          </cell>
          <cell r="G754" t="str">
            <v>שוויארוחות</v>
          </cell>
          <cell r="H754">
            <v>450</v>
          </cell>
          <cell r="I754">
            <v>0</v>
          </cell>
          <cell r="J754" t="str">
            <v>תפעול</v>
          </cell>
        </row>
        <row r="755">
          <cell r="A755" t="str">
            <v>רד סי אופטיקל נטוורק</v>
          </cell>
          <cell r="B755">
            <v>2004</v>
          </cell>
          <cell r="C755">
            <v>36</v>
          </cell>
          <cell r="D755" t="str">
            <v>בורלא יוסי</v>
          </cell>
          <cell r="E755">
            <v>6</v>
          </cell>
          <cell r="F755">
            <v>40</v>
          </cell>
          <cell r="G755" t="str">
            <v>רכב קב' 2</v>
          </cell>
          <cell r="H755">
            <v>980</v>
          </cell>
          <cell r="I755">
            <v>0</v>
          </cell>
          <cell r="J755" t="str">
            <v>תפעול</v>
          </cell>
        </row>
        <row r="756">
          <cell r="A756" t="str">
            <v>רד סי אופטיקל נטוורק</v>
          </cell>
          <cell r="B756">
            <v>2004</v>
          </cell>
          <cell r="C756">
            <v>36</v>
          </cell>
          <cell r="D756" t="str">
            <v>בורלא יוסי</v>
          </cell>
          <cell r="E756">
            <v>7</v>
          </cell>
          <cell r="F756">
            <v>24</v>
          </cell>
          <cell r="G756" t="str">
            <v>שוויארוחות</v>
          </cell>
          <cell r="H756">
            <v>450</v>
          </cell>
          <cell r="I756">
            <v>0</v>
          </cell>
          <cell r="J756" t="str">
            <v>תפעול</v>
          </cell>
        </row>
        <row r="757">
          <cell r="A757" t="str">
            <v>רד סי אופטיקל נטוורק</v>
          </cell>
          <cell r="B757">
            <v>2004</v>
          </cell>
          <cell r="C757">
            <v>36</v>
          </cell>
          <cell r="D757" t="str">
            <v>בורלא יוסי</v>
          </cell>
          <cell r="E757">
            <v>7</v>
          </cell>
          <cell r="F757">
            <v>40</v>
          </cell>
          <cell r="G757" t="str">
            <v>רכב קב' 2</v>
          </cell>
          <cell r="H757">
            <v>980</v>
          </cell>
          <cell r="I757">
            <v>0</v>
          </cell>
          <cell r="J757" t="str">
            <v>תפעול</v>
          </cell>
        </row>
        <row r="758">
          <cell r="A758" t="str">
            <v>רד סי אופטיקל נטוורק</v>
          </cell>
          <cell r="B758">
            <v>2004</v>
          </cell>
          <cell r="C758">
            <v>36</v>
          </cell>
          <cell r="D758" t="str">
            <v>בורלא יוסי</v>
          </cell>
          <cell r="E758">
            <v>8</v>
          </cell>
          <cell r="F758">
            <v>24</v>
          </cell>
          <cell r="G758" t="str">
            <v>שוויארוחות</v>
          </cell>
          <cell r="H758">
            <v>483</v>
          </cell>
          <cell r="I758">
            <v>23</v>
          </cell>
          <cell r="J758" t="str">
            <v>תפעול</v>
          </cell>
        </row>
        <row r="759">
          <cell r="A759" t="str">
            <v>רד סי אופטיקל נטוורק</v>
          </cell>
          <cell r="B759">
            <v>2004</v>
          </cell>
          <cell r="C759">
            <v>36</v>
          </cell>
          <cell r="D759" t="str">
            <v>בורלא יוסי</v>
          </cell>
          <cell r="E759">
            <v>8</v>
          </cell>
          <cell r="F759">
            <v>40</v>
          </cell>
          <cell r="G759" t="str">
            <v>רכב קב' 2</v>
          </cell>
          <cell r="H759">
            <v>980</v>
          </cell>
          <cell r="I759">
            <v>0</v>
          </cell>
          <cell r="J759" t="str">
            <v>תפעול</v>
          </cell>
        </row>
        <row r="760">
          <cell r="A760" t="str">
            <v>רד סי אופטיקל נטוורק</v>
          </cell>
          <cell r="B760">
            <v>2004</v>
          </cell>
          <cell r="C760">
            <v>36</v>
          </cell>
          <cell r="D760" t="str">
            <v>בורלא יוסי</v>
          </cell>
          <cell r="E760">
            <v>8</v>
          </cell>
          <cell r="F760">
            <v>47</v>
          </cell>
          <cell r="G760" t="str">
            <v>שווי פלא</v>
          </cell>
          <cell r="H760">
            <v>17</v>
          </cell>
          <cell r="I760">
            <v>0.2</v>
          </cell>
          <cell r="J760" t="str">
            <v>תפעול</v>
          </cell>
        </row>
        <row r="761">
          <cell r="A761" t="str">
            <v>רד סי אופטיקל נטוורק</v>
          </cell>
          <cell r="B761">
            <v>2004</v>
          </cell>
          <cell r="C761">
            <v>36</v>
          </cell>
          <cell r="D761" t="str">
            <v>בורלא יוסי</v>
          </cell>
          <cell r="E761">
            <v>9</v>
          </cell>
          <cell r="F761">
            <v>22</v>
          </cell>
          <cell r="G761" t="str">
            <v>שווי מתנות</v>
          </cell>
          <cell r="H761">
            <v>459.25</v>
          </cell>
          <cell r="I761">
            <v>0</v>
          </cell>
          <cell r="J761" t="str">
            <v>תפעול</v>
          </cell>
        </row>
        <row r="762">
          <cell r="A762" t="str">
            <v>רד סי אופטיקל נטוורק</v>
          </cell>
          <cell r="B762">
            <v>2004</v>
          </cell>
          <cell r="C762">
            <v>36</v>
          </cell>
          <cell r="D762" t="str">
            <v>בורלא יוסי</v>
          </cell>
          <cell r="E762">
            <v>9</v>
          </cell>
          <cell r="F762">
            <v>24</v>
          </cell>
          <cell r="G762" t="str">
            <v>שוויארוחות</v>
          </cell>
          <cell r="H762">
            <v>378</v>
          </cell>
          <cell r="I762">
            <v>18</v>
          </cell>
          <cell r="J762" t="str">
            <v>תפעול</v>
          </cell>
        </row>
        <row r="763">
          <cell r="A763" t="str">
            <v>רד סי אופטיקל נטוורק</v>
          </cell>
          <cell r="B763">
            <v>2004</v>
          </cell>
          <cell r="C763">
            <v>36</v>
          </cell>
          <cell r="D763" t="str">
            <v>בורלא יוסי</v>
          </cell>
          <cell r="E763">
            <v>9</v>
          </cell>
          <cell r="F763">
            <v>40</v>
          </cell>
          <cell r="G763" t="str">
            <v>רכב קב' 2</v>
          </cell>
          <cell r="H763">
            <v>980</v>
          </cell>
          <cell r="I763">
            <v>0</v>
          </cell>
          <cell r="J763" t="str">
            <v>תפעול</v>
          </cell>
        </row>
        <row r="764">
          <cell r="A764" t="str">
            <v>רד סי אופטיקל נטוורק</v>
          </cell>
          <cell r="B764">
            <v>2004</v>
          </cell>
          <cell r="C764">
            <v>36</v>
          </cell>
          <cell r="D764" t="str">
            <v>בורלא יוסי</v>
          </cell>
          <cell r="E764">
            <v>9</v>
          </cell>
          <cell r="F764">
            <v>47</v>
          </cell>
          <cell r="G764" t="str">
            <v>שווי פלא</v>
          </cell>
          <cell r="H764">
            <v>85</v>
          </cell>
          <cell r="I764">
            <v>0</v>
          </cell>
          <cell r="J764" t="str">
            <v>תפעול</v>
          </cell>
        </row>
        <row r="765">
          <cell r="A765" t="str">
            <v>רד סי אופטיקל נטוורק</v>
          </cell>
          <cell r="B765">
            <v>2004</v>
          </cell>
          <cell r="C765">
            <v>36</v>
          </cell>
          <cell r="D765" t="str">
            <v>בורלא יוסי</v>
          </cell>
          <cell r="E765">
            <v>10</v>
          </cell>
          <cell r="F765">
            <v>24</v>
          </cell>
          <cell r="G765" t="str">
            <v>שוויארוחות</v>
          </cell>
          <cell r="H765">
            <v>399</v>
          </cell>
          <cell r="I765">
            <v>19</v>
          </cell>
          <cell r="J765" t="str">
            <v>תפעול</v>
          </cell>
        </row>
        <row r="766">
          <cell r="A766" t="str">
            <v>רד סי אופטיקל נטוורק</v>
          </cell>
          <cell r="B766">
            <v>2004</v>
          </cell>
          <cell r="C766">
            <v>36</v>
          </cell>
          <cell r="D766" t="str">
            <v>בורלא יוסי</v>
          </cell>
          <cell r="E766">
            <v>10</v>
          </cell>
          <cell r="F766">
            <v>40</v>
          </cell>
          <cell r="G766" t="str">
            <v>רכב קב' 2</v>
          </cell>
          <cell r="H766">
            <v>980</v>
          </cell>
          <cell r="I766">
            <v>0</v>
          </cell>
          <cell r="J766" t="str">
            <v>תפעול</v>
          </cell>
        </row>
        <row r="767">
          <cell r="A767" t="str">
            <v>רד סי אופטיקל נטוורק</v>
          </cell>
          <cell r="B767">
            <v>2004</v>
          </cell>
          <cell r="C767">
            <v>36</v>
          </cell>
          <cell r="D767" t="str">
            <v>בורלא יוסי</v>
          </cell>
          <cell r="E767">
            <v>10</v>
          </cell>
          <cell r="F767">
            <v>47</v>
          </cell>
          <cell r="G767" t="str">
            <v>שווי פלא</v>
          </cell>
          <cell r="H767">
            <v>85</v>
          </cell>
          <cell r="I767">
            <v>0</v>
          </cell>
          <cell r="J767" t="str">
            <v>תפעול</v>
          </cell>
        </row>
        <row r="768">
          <cell r="A768" t="str">
            <v>רד סי אופטיקל נטוורק</v>
          </cell>
          <cell r="B768">
            <v>2004</v>
          </cell>
          <cell r="C768">
            <v>36</v>
          </cell>
          <cell r="D768" t="str">
            <v>בורלא יוסי</v>
          </cell>
          <cell r="E768">
            <v>11</v>
          </cell>
          <cell r="F768">
            <v>24</v>
          </cell>
          <cell r="G768" t="str">
            <v>שוויארוחות</v>
          </cell>
          <cell r="H768">
            <v>441</v>
          </cell>
          <cell r="I768">
            <v>21</v>
          </cell>
          <cell r="J768" t="str">
            <v>תפעול</v>
          </cell>
        </row>
        <row r="769">
          <cell r="A769" t="str">
            <v>רד סי אופטיקל נטוורק</v>
          </cell>
          <cell r="B769">
            <v>2004</v>
          </cell>
          <cell r="C769">
            <v>36</v>
          </cell>
          <cell r="D769" t="str">
            <v>בורלא יוסי</v>
          </cell>
          <cell r="E769">
            <v>11</v>
          </cell>
          <cell r="F769">
            <v>40</v>
          </cell>
          <cell r="G769" t="str">
            <v>רכב קב' 2</v>
          </cell>
          <cell r="H769">
            <v>980</v>
          </cell>
          <cell r="I769">
            <v>0</v>
          </cell>
          <cell r="J769" t="str">
            <v>תפעול</v>
          </cell>
        </row>
        <row r="770">
          <cell r="A770" t="str">
            <v>רד סי אופטיקל נטוורק</v>
          </cell>
          <cell r="B770">
            <v>2004</v>
          </cell>
          <cell r="C770">
            <v>36</v>
          </cell>
          <cell r="D770" t="str">
            <v>בורלא יוסי</v>
          </cell>
          <cell r="E770">
            <v>11</v>
          </cell>
          <cell r="F770">
            <v>47</v>
          </cell>
          <cell r="G770" t="str">
            <v>שווי פלא</v>
          </cell>
          <cell r="H770">
            <v>85</v>
          </cell>
          <cell r="I770">
            <v>0</v>
          </cell>
          <cell r="J770" t="str">
            <v>תפעול</v>
          </cell>
        </row>
        <row r="771">
          <cell r="A771" t="str">
            <v>רד סי אופטיקל נטוורק</v>
          </cell>
          <cell r="B771">
            <v>2004</v>
          </cell>
          <cell r="C771">
            <v>36</v>
          </cell>
          <cell r="D771" t="str">
            <v>בורלא יוסי</v>
          </cell>
          <cell r="E771">
            <v>12</v>
          </cell>
          <cell r="F771">
            <v>22</v>
          </cell>
          <cell r="G771" t="str">
            <v>שווי מתנות</v>
          </cell>
          <cell r="H771">
            <v>0</v>
          </cell>
          <cell r="I771">
            <v>0</v>
          </cell>
          <cell r="J771" t="str">
            <v>תפעול</v>
          </cell>
        </row>
        <row r="772">
          <cell r="A772" t="str">
            <v>רד סי אופטיקל נטוורק</v>
          </cell>
          <cell r="B772">
            <v>2004</v>
          </cell>
          <cell r="C772">
            <v>36</v>
          </cell>
          <cell r="D772" t="str">
            <v>בורלא יוסי</v>
          </cell>
          <cell r="E772">
            <v>12</v>
          </cell>
          <cell r="F772">
            <v>24</v>
          </cell>
          <cell r="G772" t="str">
            <v>שוויארוחות</v>
          </cell>
          <cell r="H772">
            <v>462</v>
          </cell>
          <cell r="I772">
            <v>22</v>
          </cell>
          <cell r="J772" t="str">
            <v>תפעול</v>
          </cell>
        </row>
        <row r="773">
          <cell r="A773" t="str">
            <v>רד סי אופטיקל נטוורק</v>
          </cell>
          <cell r="B773">
            <v>2004</v>
          </cell>
          <cell r="C773">
            <v>36</v>
          </cell>
          <cell r="D773" t="str">
            <v>בורלא יוסי</v>
          </cell>
          <cell r="E773">
            <v>12</v>
          </cell>
          <cell r="F773">
            <v>40</v>
          </cell>
          <cell r="G773" t="str">
            <v>רכב קב' 2</v>
          </cell>
          <cell r="H773">
            <v>980</v>
          </cell>
          <cell r="I773">
            <v>0</v>
          </cell>
          <cell r="J773" t="str">
            <v>תפעול</v>
          </cell>
        </row>
        <row r="774">
          <cell r="A774" t="str">
            <v>רד סי אופטיקל נטוורק</v>
          </cell>
          <cell r="B774">
            <v>2004</v>
          </cell>
          <cell r="C774">
            <v>36</v>
          </cell>
          <cell r="D774" t="str">
            <v>בורלא יוסי</v>
          </cell>
          <cell r="E774">
            <v>12</v>
          </cell>
          <cell r="F774">
            <v>47</v>
          </cell>
          <cell r="G774" t="str">
            <v>שווי פלא</v>
          </cell>
          <cell r="H774">
            <v>85</v>
          </cell>
          <cell r="I774">
            <v>0</v>
          </cell>
          <cell r="J774" t="str">
            <v>תפעול</v>
          </cell>
        </row>
        <row r="775">
          <cell r="A775" t="str">
            <v>רד סי אופטיקל נטוורק</v>
          </cell>
          <cell r="B775">
            <v>2004</v>
          </cell>
          <cell r="C775">
            <v>37</v>
          </cell>
          <cell r="D775" t="str">
            <v>סלמן עוז</v>
          </cell>
          <cell r="E775">
            <v>1</v>
          </cell>
          <cell r="F775">
            <v>24</v>
          </cell>
          <cell r="G775" t="str">
            <v>שוויארוחות</v>
          </cell>
          <cell r="H775">
            <v>450</v>
          </cell>
          <cell r="I775">
            <v>1</v>
          </cell>
          <cell r="J775" t="str">
            <v>תפעול</v>
          </cell>
        </row>
        <row r="776">
          <cell r="A776" t="str">
            <v>רד סי אופטיקל נטוורק</v>
          </cell>
          <cell r="B776">
            <v>2004</v>
          </cell>
          <cell r="C776">
            <v>37</v>
          </cell>
          <cell r="D776" t="str">
            <v>סלמן עוז</v>
          </cell>
          <cell r="E776">
            <v>2</v>
          </cell>
          <cell r="F776">
            <v>24</v>
          </cell>
          <cell r="G776" t="str">
            <v>שוויארוחות</v>
          </cell>
          <cell r="H776">
            <v>450</v>
          </cell>
          <cell r="I776">
            <v>1</v>
          </cell>
          <cell r="J776" t="str">
            <v>תפעול</v>
          </cell>
        </row>
        <row r="777">
          <cell r="A777" t="str">
            <v>רד סי אופטיקל נטוורק</v>
          </cell>
          <cell r="B777">
            <v>2004</v>
          </cell>
          <cell r="C777">
            <v>37</v>
          </cell>
          <cell r="D777" t="str">
            <v>סלמן עוז</v>
          </cell>
          <cell r="E777">
            <v>3</v>
          </cell>
          <cell r="F777">
            <v>22</v>
          </cell>
          <cell r="G777" t="str">
            <v>שווי מתנות</v>
          </cell>
          <cell r="H777">
            <v>186.25</v>
          </cell>
          <cell r="I777">
            <v>0</v>
          </cell>
          <cell r="J777" t="str">
            <v>תפעול</v>
          </cell>
        </row>
        <row r="778">
          <cell r="A778" t="str">
            <v>רד סי אופטיקל נטוורק</v>
          </cell>
          <cell r="B778">
            <v>2004</v>
          </cell>
          <cell r="C778">
            <v>37</v>
          </cell>
          <cell r="D778" t="str">
            <v>סלמן עוז</v>
          </cell>
          <cell r="E778">
            <v>3</v>
          </cell>
          <cell r="F778">
            <v>24</v>
          </cell>
          <cell r="G778" t="str">
            <v>שוויארוחות</v>
          </cell>
          <cell r="H778">
            <v>450</v>
          </cell>
          <cell r="I778">
            <v>1</v>
          </cell>
          <cell r="J778" t="str">
            <v>תפעול</v>
          </cell>
        </row>
        <row r="779">
          <cell r="A779" t="str">
            <v>רד סי אופטיקל נטוורק</v>
          </cell>
          <cell r="B779">
            <v>2004</v>
          </cell>
          <cell r="C779">
            <v>37</v>
          </cell>
          <cell r="D779" t="str">
            <v>סלמן עוז</v>
          </cell>
          <cell r="E779">
            <v>4</v>
          </cell>
          <cell r="F779">
            <v>24</v>
          </cell>
          <cell r="G779" t="str">
            <v>שוויארוחות</v>
          </cell>
          <cell r="H779">
            <v>450</v>
          </cell>
          <cell r="I779">
            <v>1</v>
          </cell>
          <cell r="J779" t="str">
            <v>תפעול</v>
          </cell>
        </row>
        <row r="780">
          <cell r="A780" t="str">
            <v>רד סי אופטיקל נטוורק</v>
          </cell>
          <cell r="B780">
            <v>2004</v>
          </cell>
          <cell r="C780">
            <v>37</v>
          </cell>
          <cell r="D780" t="str">
            <v>סלמן עוז</v>
          </cell>
          <cell r="E780">
            <v>5</v>
          </cell>
          <cell r="F780">
            <v>24</v>
          </cell>
          <cell r="G780" t="str">
            <v>שוויארוחות</v>
          </cell>
          <cell r="H780">
            <v>450</v>
          </cell>
          <cell r="I780">
            <v>1</v>
          </cell>
          <cell r="J780" t="str">
            <v>תפעול</v>
          </cell>
        </row>
        <row r="781">
          <cell r="A781" t="str">
            <v>רד סי אופטיקל נטוורק</v>
          </cell>
          <cell r="B781">
            <v>2004</v>
          </cell>
          <cell r="C781">
            <v>37</v>
          </cell>
          <cell r="D781" t="str">
            <v>סלמן עוז</v>
          </cell>
          <cell r="E781">
            <v>6</v>
          </cell>
          <cell r="F781">
            <v>24</v>
          </cell>
          <cell r="G781" t="str">
            <v>שוויארוחות</v>
          </cell>
          <cell r="H781">
            <v>450</v>
          </cell>
          <cell r="I781">
            <v>1</v>
          </cell>
          <cell r="J781" t="str">
            <v>תפעול</v>
          </cell>
        </row>
        <row r="782">
          <cell r="A782" t="str">
            <v>רד סי אופטיקל נטוורק</v>
          </cell>
          <cell r="B782">
            <v>2004</v>
          </cell>
          <cell r="C782">
            <v>37</v>
          </cell>
          <cell r="D782" t="str">
            <v>סלמן עוז</v>
          </cell>
          <cell r="E782">
            <v>7</v>
          </cell>
          <cell r="F782">
            <v>24</v>
          </cell>
          <cell r="G782" t="str">
            <v>שוויארוחות</v>
          </cell>
          <cell r="H782">
            <v>450</v>
          </cell>
          <cell r="I782">
            <v>1</v>
          </cell>
          <cell r="J782" t="str">
            <v>תפעול</v>
          </cell>
        </row>
        <row r="783">
          <cell r="A783" t="str">
            <v>רד סי אופטיקל נטוורק</v>
          </cell>
          <cell r="B783">
            <v>2004</v>
          </cell>
          <cell r="C783">
            <v>37</v>
          </cell>
          <cell r="D783" t="str">
            <v>סלמן עוז</v>
          </cell>
          <cell r="E783">
            <v>8</v>
          </cell>
          <cell r="F783">
            <v>24</v>
          </cell>
          <cell r="G783" t="str">
            <v>שוויארוחות</v>
          </cell>
          <cell r="H783">
            <v>483</v>
          </cell>
          <cell r="I783">
            <v>23</v>
          </cell>
          <cell r="J783" t="str">
            <v>תפעול</v>
          </cell>
        </row>
        <row r="784">
          <cell r="A784" t="str">
            <v>רד סי אופטיקל נטוורק</v>
          </cell>
          <cell r="B784">
            <v>2004</v>
          </cell>
          <cell r="C784">
            <v>37</v>
          </cell>
          <cell r="D784" t="str">
            <v>סלמן עוז</v>
          </cell>
          <cell r="E784">
            <v>9</v>
          </cell>
          <cell r="F784">
            <v>22</v>
          </cell>
          <cell r="G784" t="str">
            <v>שווי מתנות</v>
          </cell>
          <cell r="H784">
            <v>459.25</v>
          </cell>
          <cell r="I784">
            <v>0</v>
          </cell>
          <cell r="J784" t="str">
            <v>תפעול</v>
          </cell>
        </row>
        <row r="785">
          <cell r="A785" t="str">
            <v>רד סי אופטיקל נטוורק</v>
          </cell>
          <cell r="B785">
            <v>2004</v>
          </cell>
          <cell r="C785">
            <v>37</v>
          </cell>
          <cell r="D785" t="str">
            <v>סלמן עוז</v>
          </cell>
          <cell r="E785">
            <v>9</v>
          </cell>
          <cell r="F785">
            <v>24</v>
          </cell>
          <cell r="G785" t="str">
            <v>שוויארוחות</v>
          </cell>
          <cell r="H785">
            <v>378</v>
          </cell>
          <cell r="I785">
            <v>18</v>
          </cell>
          <cell r="J785" t="str">
            <v>תפעול</v>
          </cell>
        </row>
        <row r="786">
          <cell r="A786" t="str">
            <v>רד סי אופטיקל נטוורק</v>
          </cell>
          <cell r="B786">
            <v>2004</v>
          </cell>
          <cell r="C786">
            <v>37</v>
          </cell>
          <cell r="D786" t="str">
            <v>סלמן עוז</v>
          </cell>
          <cell r="E786">
            <v>10</v>
          </cell>
          <cell r="F786">
            <v>24</v>
          </cell>
          <cell r="G786" t="str">
            <v>שוויארוחות</v>
          </cell>
          <cell r="H786">
            <v>399</v>
          </cell>
          <cell r="I786">
            <v>19</v>
          </cell>
          <cell r="J786" t="str">
            <v>תפעול</v>
          </cell>
        </row>
        <row r="787">
          <cell r="A787" t="str">
            <v>רד סי אופטיקל נטוורק</v>
          </cell>
          <cell r="B787">
            <v>2004</v>
          </cell>
          <cell r="C787">
            <v>37</v>
          </cell>
          <cell r="D787" t="str">
            <v>סלמן עוז</v>
          </cell>
          <cell r="E787">
            <v>11</v>
          </cell>
          <cell r="F787">
            <v>24</v>
          </cell>
          <cell r="G787" t="str">
            <v>שוויארוחות</v>
          </cell>
          <cell r="H787">
            <v>441</v>
          </cell>
          <cell r="I787">
            <v>21</v>
          </cell>
          <cell r="J787" t="str">
            <v>תפעול</v>
          </cell>
        </row>
        <row r="788">
          <cell r="A788" t="str">
            <v>רד סי אופטיקל נטוורק</v>
          </cell>
          <cell r="B788">
            <v>2004</v>
          </cell>
          <cell r="C788">
            <v>37</v>
          </cell>
          <cell r="D788" t="str">
            <v>סלמן עוז</v>
          </cell>
          <cell r="E788">
            <v>12</v>
          </cell>
          <cell r="F788">
            <v>22</v>
          </cell>
          <cell r="G788" t="str">
            <v>שווי מתנות</v>
          </cell>
          <cell r="H788">
            <v>0</v>
          </cell>
          <cell r="I788">
            <v>0</v>
          </cell>
          <cell r="J788" t="str">
            <v>תפעול</v>
          </cell>
        </row>
        <row r="789">
          <cell r="A789" t="str">
            <v>רד סי אופטיקל נטוורק</v>
          </cell>
          <cell r="B789">
            <v>2004</v>
          </cell>
          <cell r="C789">
            <v>37</v>
          </cell>
          <cell r="D789" t="str">
            <v>סלמן עוז</v>
          </cell>
          <cell r="E789">
            <v>12</v>
          </cell>
          <cell r="F789">
            <v>24</v>
          </cell>
          <cell r="G789" t="str">
            <v>שוויארוחות</v>
          </cell>
          <cell r="H789">
            <v>462</v>
          </cell>
          <cell r="I789">
            <v>22</v>
          </cell>
          <cell r="J789" t="str">
            <v>תפעול</v>
          </cell>
        </row>
        <row r="790">
          <cell r="A790" t="str">
            <v>רד סי אופטיקל נטוורק</v>
          </cell>
          <cell r="B790">
            <v>2004</v>
          </cell>
          <cell r="C790">
            <v>38</v>
          </cell>
          <cell r="D790" t="str">
            <v>רודין טטיאנה</v>
          </cell>
          <cell r="E790">
            <v>1</v>
          </cell>
          <cell r="F790">
            <v>24</v>
          </cell>
          <cell r="G790" t="str">
            <v>שוויארוחות</v>
          </cell>
          <cell r="H790">
            <v>450</v>
          </cell>
          <cell r="I790">
            <v>0</v>
          </cell>
          <cell r="J790" t="str">
            <v>ייצור</v>
          </cell>
        </row>
        <row r="791">
          <cell r="A791" t="str">
            <v>רד סי אופטיקל נטוורק</v>
          </cell>
          <cell r="B791">
            <v>2004</v>
          </cell>
          <cell r="C791">
            <v>38</v>
          </cell>
          <cell r="D791" t="str">
            <v>רודין טטיאנה</v>
          </cell>
          <cell r="E791">
            <v>2</v>
          </cell>
          <cell r="F791">
            <v>24</v>
          </cell>
          <cell r="G791" t="str">
            <v>שוויארוחות</v>
          </cell>
          <cell r="H791">
            <v>450</v>
          </cell>
          <cell r="I791">
            <v>0</v>
          </cell>
          <cell r="J791" t="str">
            <v>ייצור</v>
          </cell>
        </row>
        <row r="792">
          <cell r="A792" t="str">
            <v>רד סי אופטיקל נטוורק</v>
          </cell>
          <cell r="B792">
            <v>2004</v>
          </cell>
          <cell r="C792">
            <v>38</v>
          </cell>
          <cell r="D792" t="str">
            <v>רודין טטיאנה</v>
          </cell>
          <cell r="E792">
            <v>3</v>
          </cell>
          <cell r="F792">
            <v>22</v>
          </cell>
          <cell r="G792" t="str">
            <v>שווי מתנות</v>
          </cell>
          <cell r="H792">
            <v>186.25</v>
          </cell>
          <cell r="I792">
            <v>0</v>
          </cell>
          <cell r="J792" t="str">
            <v>ייצור</v>
          </cell>
        </row>
        <row r="793">
          <cell r="A793" t="str">
            <v>רד סי אופטיקל נטוורק</v>
          </cell>
          <cell r="B793">
            <v>2004</v>
          </cell>
          <cell r="C793">
            <v>38</v>
          </cell>
          <cell r="D793" t="str">
            <v>רודין טטיאנה</v>
          </cell>
          <cell r="E793">
            <v>3</v>
          </cell>
          <cell r="F793">
            <v>24</v>
          </cell>
          <cell r="G793" t="str">
            <v>שוויארוחות</v>
          </cell>
          <cell r="H793">
            <v>450</v>
          </cell>
          <cell r="I793">
            <v>0</v>
          </cell>
          <cell r="J793" t="str">
            <v>ייצור</v>
          </cell>
        </row>
        <row r="794">
          <cell r="A794" t="str">
            <v>רד סי אופטיקל נטוורק</v>
          </cell>
          <cell r="B794">
            <v>2004</v>
          </cell>
          <cell r="C794">
            <v>38</v>
          </cell>
          <cell r="D794" t="str">
            <v>רודין טטיאנה</v>
          </cell>
          <cell r="E794">
            <v>4</v>
          </cell>
          <cell r="F794">
            <v>24</v>
          </cell>
          <cell r="G794" t="str">
            <v>שוויארוחות</v>
          </cell>
          <cell r="H794">
            <v>450</v>
          </cell>
          <cell r="I794">
            <v>0</v>
          </cell>
          <cell r="J794" t="str">
            <v>ייצור</v>
          </cell>
        </row>
        <row r="795">
          <cell r="A795" t="str">
            <v>רד סי אופטיקל נטוורק</v>
          </cell>
          <cell r="B795">
            <v>2004</v>
          </cell>
          <cell r="C795">
            <v>38</v>
          </cell>
          <cell r="D795" t="str">
            <v>רודין טטיאנה</v>
          </cell>
          <cell r="E795">
            <v>5</v>
          </cell>
          <cell r="F795">
            <v>24</v>
          </cell>
          <cell r="G795" t="str">
            <v>שוויארוחות</v>
          </cell>
          <cell r="H795">
            <v>450</v>
          </cell>
          <cell r="I795">
            <v>0</v>
          </cell>
          <cell r="J795" t="str">
            <v>ייצור</v>
          </cell>
        </row>
        <row r="796">
          <cell r="A796" t="str">
            <v>רד סי אופטיקל נטוורק</v>
          </cell>
          <cell r="B796">
            <v>2004</v>
          </cell>
          <cell r="C796">
            <v>38</v>
          </cell>
          <cell r="D796" t="str">
            <v>רודין טטיאנה</v>
          </cell>
          <cell r="E796">
            <v>6</v>
          </cell>
          <cell r="F796">
            <v>24</v>
          </cell>
          <cell r="G796" t="str">
            <v>שוויארוחות</v>
          </cell>
          <cell r="H796">
            <v>450</v>
          </cell>
          <cell r="I796">
            <v>0</v>
          </cell>
          <cell r="J796" t="str">
            <v>ייצור</v>
          </cell>
        </row>
        <row r="797">
          <cell r="A797" t="str">
            <v>רד סי אופטיקל נטוורק</v>
          </cell>
          <cell r="B797">
            <v>2004</v>
          </cell>
          <cell r="C797">
            <v>38</v>
          </cell>
          <cell r="D797" t="str">
            <v>רודין טטיאנה</v>
          </cell>
          <cell r="E797">
            <v>7</v>
          </cell>
          <cell r="F797">
            <v>24</v>
          </cell>
          <cell r="G797" t="str">
            <v>שוויארוחות</v>
          </cell>
          <cell r="H797">
            <v>450</v>
          </cell>
          <cell r="I797">
            <v>0</v>
          </cell>
          <cell r="J797" t="str">
            <v>ייצור</v>
          </cell>
        </row>
        <row r="798">
          <cell r="A798" t="str">
            <v>רד סי אופטיקל נטוורק</v>
          </cell>
          <cell r="B798">
            <v>2004</v>
          </cell>
          <cell r="C798">
            <v>38</v>
          </cell>
          <cell r="D798" t="str">
            <v>רודין טטיאנה</v>
          </cell>
          <cell r="E798">
            <v>8</v>
          </cell>
          <cell r="F798">
            <v>24</v>
          </cell>
          <cell r="G798" t="str">
            <v>שוויארוחות</v>
          </cell>
          <cell r="H798">
            <v>483</v>
          </cell>
          <cell r="I798">
            <v>23</v>
          </cell>
          <cell r="J798" t="str">
            <v>ייצור</v>
          </cell>
        </row>
        <row r="799">
          <cell r="A799" t="str">
            <v>רד סי אופטיקל נטוורק</v>
          </cell>
          <cell r="B799">
            <v>2004</v>
          </cell>
          <cell r="C799">
            <v>38</v>
          </cell>
          <cell r="D799" t="str">
            <v>רודין טטיאנה</v>
          </cell>
          <cell r="E799">
            <v>9</v>
          </cell>
          <cell r="F799">
            <v>22</v>
          </cell>
          <cell r="G799" t="str">
            <v>שווי מתנות</v>
          </cell>
          <cell r="H799">
            <v>459.25</v>
          </cell>
          <cell r="I799">
            <v>0</v>
          </cell>
          <cell r="J799" t="str">
            <v>ייצור</v>
          </cell>
        </row>
        <row r="800">
          <cell r="A800" t="str">
            <v>רד סי אופטיקל נטוורק</v>
          </cell>
          <cell r="B800">
            <v>2004</v>
          </cell>
          <cell r="C800">
            <v>38</v>
          </cell>
          <cell r="D800" t="str">
            <v>רודין טטיאנה</v>
          </cell>
          <cell r="E800">
            <v>9</v>
          </cell>
          <cell r="F800">
            <v>24</v>
          </cell>
          <cell r="G800" t="str">
            <v>שוויארוחות</v>
          </cell>
          <cell r="H800">
            <v>378</v>
          </cell>
          <cell r="I800">
            <v>18</v>
          </cell>
          <cell r="J800" t="str">
            <v>ייצור</v>
          </cell>
        </row>
        <row r="801">
          <cell r="A801" t="str">
            <v>רד סי אופטיקל נטוורק</v>
          </cell>
          <cell r="B801">
            <v>2004</v>
          </cell>
          <cell r="C801">
            <v>38</v>
          </cell>
          <cell r="D801" t="str">
            <v>רודין טטיאנה</v>
          </cell>
          <cell r="E801">
            <v>10</v>
          </cell>
          <cell r="F801">
            <v>24</v>
          </cell>
          <cell r="G801" t="str">
            <v>שוויארוחות</v>
          </cell>
          <cell r="H801">
            <v>399</v>
          </cell>
          <cell r="I801">
            <v>19</v>
          </cell>
          <cell r="J801" t="str">
            <v>ייצור</v>
          </cell>
        </row>
        <row r="802">
          <cell r="A802" t="str">
            <v>רד סי אופטיקל נטוורק</v>
          </cell>
          <cell r="B802">
            <v>2004</v>
          </cell>
          <cell r="C802">
            <v>38</v>
          </cell>
          <cell r="D802" t="str">
            <v>רודין טטיאנה</v>
          </cell>
          <cell r="E802">
            <v>11</v>
          </cell>
          <cell r="F802">
            <v>24</v>
          </cell>
          <cell r="G802" t="str">
            <v>שוויארוחות</v>
          </cell>
          <cell r="H802">
            <v>441</v>
          </cell>
          <cell r="I802">
            <v>21</v>
          </cell>
          <cell r="J802" t="str">
            <v>ייצור</v>
          </cell>
        </row>
        <row r="803">
          <cell r="A803" t="str">
            <v>רד סי אופטיקל נטוורק</v>
          </cell>
          <cell r="B803">
            <v>2004</v>
          </cell>
          <cell r="C803">
            <v>38</v>
          </cell>
          <cell r="D803" t="str">
            <v>רודין טטיאנה</v>
          </cell>
          <cell r="E803">
            <v>12</v>
          </cell>
          <cell r="F803">
            <v>22</v>
          </cell>
          <cell r="G803" t="str">
            <v>שווי מתנות</v>
          </cell>
          <cell r="H803">
            <v>0</v>
          </cell>
          <cell r="I803">
            <v>0</v>
          </cell>
          <cell r="J803" t="str">
            <v>ייצור</v>
          </cell>
        </row>
        <row r="804">
          <cell r="A804" t="str">
            <v>רד סי אופטיקל נטוורק</v>
          </cell>
          <cell r="B804">
            <v>2004</v>
          </cell>
          <cell r="C804">
            <v>38</v>
          </cell>
          <cell r="D804" t="str">
            <v>רודין טטיאנה</v>
          </cell>
          <cell r="E804">
            <v>12</v>
          </cell>
          <cell r="F804">
            <v>24</v>
          </cell>
          <cell r="G804" t="str">
            <v>שוויארוחות</v>
          </cell>
          <cell r="H804">
            <v>462</v>
          </cell>
          <cell r="I804">
            <v>22</v>
          </cell>
          <cell r="J804" t="str">
            <v>ייצור</v>
          </cell>
        </row>
        <row r="805">
          <cell r="A805" t="str">
            <v>רד סי אופטיקל נטוורק</v>
          </cell>
          <cell r="B805">
            <v>2004</v>
          </cell>
          <cell r="C805">
            <v>42</v>
          </cell>
          <cell r="D805" t="str">
            <v>וידנפלד-קלי אורנה</v>
          </cell>
          <cell r="E805">
            <v>1</v>
          </cell>
          <cell r="F805">
            <v>24</v>
          </cell>
          <cell r="G805" t="str">
            <v>שוויארוחות</v>
          </cell>
          <cell r="H805">
            <v>450</v>
          </cell>
          <cell r="I805">
            <v>1</v>
          </cell>
          <cell r="J805" t="str">
            <v>הנהלה</v>
          </cell>
        </row>
        <row r="806">
          <cell r="A806" t="str">
            <v>רד סי אופטיקל נטוורק</v>
          </cell>
          <cell r="B806">
            <v>2004</v>
          </cell>
          <cell r="C806">
            <v>42</v>
          </cell>
          <cell r="D806" t="str">
            <v>וידנפלד-קלי אורנה</v>
          </cell>
          <cell r="E806">
            <v>2</v>
          </cell>
          <cell r="F806">
            <v>24</v>
          </cell>
          <cell r="G806" t="str">
            <v>שוויארוחות</v>
          </cell>
          <cell r="H806">
            <v>450</v>
          </cell>
          <cell r="I806">
            <v>1</v>
          </cell>
          <cell r="J806" t="str">
            <v>הנהלה</v>
          </cell>
        </row>
        <row r="807">
          <cell r="A807" t="str">
            <v>רד סי אופטיקל נטוורק</v>
          </cell>
          <cell r="B807">
            <v>2004</v>
          </cell>
          <cell r="C807">
            <v>42</v>
          </cell>
          <cell r="D807" t="str">
            <v>וידנפלד-קלי אורנה</v>
          </cell>
          <cell r="E807">
            <v>3</v>
          </cell>
          <cell r="F807">
            <v>22</v>
          </cell>
          <cell r="G807" t="str">
            <v>שווי מתנות</v>
          </cell>
          <cell r="H807">
            <v>186.25</v>
          </cell>
          <cell r="I807">
            <v>0</v>
          </cell>
          <cell r="J807" t="str">
            <v>הנהלה</v>
          </cell>
        </row>
        <row r="808">
          <cell r="A808" t="str">
            <v>רד סי אופטיקל נטוורק</v>
          </cell>
          <cell r="B808">
            <v>2004</v>
          </cell>
          <cell r="C808">
            <v>42</v>
          </cell>
          <cell r="D808" t="str">
            <v>וידנפלד-קלי אורנה</v>
          </cell>
          <cell r="E808">
            <v>3</v>
          </cell>
          <cell r="F808">
            <v>24</v>
          </cell>
          <cell r="G808" t="str">
            <v>שוויארוחות</v>
          </cell>
          <cell r="H808">
            <v>450</v>
          </cell>
          <cell r="I808">
            <v>1</v>
          </cell>
          <cell r="J808" t="str">
            <v>הנהלה</v>
          </cell>
        </row>
        <row r="809">
          <cell r="A809" t="str">
            <v>רד סי אופטיקל נטוורק</v>
          </cell>
          <cell r="B809">
            <v>2004</v>
          </cell>
          <cell r="C809">
            <v>42</v>
          </cell>
          <cell r="D809" t="str">
            <v>וידנפלד-קלי אורנה</v>
          </cell>
          <cell r="E809">
            <v>4</v>
          </cell>
          <cell r="F809">
            <v>24</v>
          </cell>
          <cell r="G809" t="str">
            <v>שוויארוחות</v>
          </cell>
          <cell r="H809">
            <v>450</v>
          </cell>
          <cell r="I809">
            <v>1</v>
          </cell>
          <cell r="J809" t="str">
            <v>הנהלה</v>
          </cell>
        </row>
        <row r="810">
          <cell r="A810" t="str">
            <v>רד סי אופטיקל נטוורק</v>
          </cell>
          <cell r="B810">
            <v>2004</v>
          </cell>
          <cell r="C810">
            <v>42</v>
          </cell>
          <cell r="D810" t="str">
            <v>וידנפלד-קלי אורנה</v>
          </cell>
          <cell r="E810">
            <v>5</v>
          </cell>
          <cell r="F810">
            <v>24</v>
          </cell>
          <cell r="G810" t="str">
            <v>שוויארוחות</v>
          </cell>
          <cell r="H810">
            <v>450</v>
          </cell>
          <cell r="I810">
            <v>1</v>
          </cell>
          <cell r="J810" t="str">
            <v>הנהלה</v>
          </cell>
        </row>
        <row r="811">
          <cell r="A811" t="str">
            <v>רד סי אופטיקל נטוורק</v>
          </cell>
          <cell r="B811">
            <v>2004</v>
          </cell>
          <cell r="C811">
            <v>42</v>
          </cell>
          <cell r="D811" t="str">
            <v>וידנפלד-קלי אורנה</v>
          </cell>
          <cell r="E811">
            <v>6</v>
          </cell>
          <cell r="F811">
            <v>24</v>
          </cell>
          <cell r="G811" t="str">
            <v>שוויארוחות</v>
          </cell>
          <cell r="H811">
            <v>450</v>
          </cell>
          <cell r="I811">
            <v>1</v>
          </cell>
          <cell r="J811" t="str">
            <v>הנהלה</v>
          </cell>
        </row>
        <row r="812">
          <cell r="A812" t="str">
            <v>רד סי אופטיקל נטוורק</v>
          </cell>
          <cell r="B812">
            <v>2004</v>
          </cell>
          <cell r="C812">
            <v>42</v>
          </cell>
          <cell r="D812" t="str">
            <v>וידנפלד-קלי אורנה</v>
          </cell>
          <cell r="E812">
            <v>7</v>
          </cell>
          <cell r="F812">
            <v>24</v>
          </cell>
          <cell r="G812" t="str">
            <v>שוויארוחות</v>
          </cell>
          <cell r="H812">
            <v>450</v>
          </cell>
          <cell r="I812">
            <v>1</v>
          </cell>
          <cell r="J812" t="str">
            <v>הנהלה</v>
          </cell>
        </row>
        <row r="813">
          <cell r="A813" t="str">
            <v>רד סי אופטיקל נטוורק</v>
          </cell>
          <cell r="B813">
            <v>2004</v>
          </cell>
          <cell r="C813">
            <v>42</v>
          </cell>
          <cell r="D813" t="str">
            <v>וידנפלד-קלי אורנה</v>
          </cell>
          <cell r="E813">
            <v>8</v>
          </cell>
          <cell r="F813">
            <v>24</v>
          </cell>
          <cell r="G813" t="str">
            <v>שוויארוחות</v>
          </cell>
          <cell r="H813">
            <v>483</v>
          </cell>
          <cell r="I813">
            <v>23</v>
          </cell>
          <cell r="J813" t="str">
            <v>הנהלה</v>
          </cell>
        </row>
        <row r="814">
          <cell r="A814" t="str">
            <v>רד סי אופטיקל נטוורק</v>
          </cell>
          <cell r="B814">
            <v>2004</v>
          </cell>
          <cell r="C814">
            <v>42</v>
          </cell>
          <cell r="D814" t="str">
            <v>וידנפלד-קלי אורנה</v>
          </cell>
          <cell r="E814">
            <v>9</v>
          </cell>
          <cell r="F814">
            <v>22</v>
          </cell>
          <cell r="G814" t="str">
            <v>שווי מתנות</v>
          </cell>
          <cell r="H814">
            <v>459.25</v>
          </cell>
          <cell r="I814">
            <v>0</v>
          </cell>
          <cell r="J814" t="str">
            <v>הנהלה</v>
          </cell>
        </row>
        <row r="815">
          <cell r="A815" t="str">
            <v>רד סי אופטיקל נטוורק</v>
          </cell>
          <cell r="B815">
            <v>2004</v>
          </cell>
          <cell r="C815">
            <v>42</v>
          </cell>
          <cell r="D815" t="str">
            <v>וידנפלד-קלי אורנה</v>
          </cell>
          <cell r="E815">
            <v>9</v>
          </cell>
          <cell r="F815">
            <v>24</v>
          </cell>
          <cell r="G815" t="str">
            <v>שוויארוחות</v>
          </cell>
          <cell r="H815">
            <v>378</v>
          </cell>
          <cell r="I815">
            <v>18</v>
          </cell>
          <cell r="J815" t="str">
            <v>הנהלה</v>
          </cell>
        </row>
        <row r="816">
          <cell r="A816" t="str">
            <v>רד סי אופטיקל נטוורק</v>
          </cell>
          <cell r="B816">
            <v>2004</v>
          </cell>
          <cell r="C816">
            <v>42</v>
          </cell>
          <cell r="D816" t="str">
            <v>וידנפלד-קלי אורנה</v>
          </cell>
          <cell r="E816">
            <v>10</v>
          </cell>
          <cell r="F816">
            <v>24</v>
          </cell>
          <cell r="G816" t="str">
            <v>שוויארוחות</v>
          </cell>
          <cell r="H816">
            <v>399</v>
          </cell>
          <cell r="I816">
            <v>19</v>
          </cell>
          <cell r="J816" t="str">
            <v>הנהלה</v>
          </cell>
        </row>
        <row r="817">
          <cell r="A817" t="str">
            <v>רד סי אופטיקל נטוורק</v>
          </cell>
          <cell r="B817">
            <v>2004</v>
          </cell>
          <cell r="C817">
            <v>42</v>
          </cell>
          <cell r="D817" t="str">
            <v>וידנפלד-קלי אורנה</v>
          </cell>
          <cell r="E817">
            <v>11</v>
          </cell>
          <cell r="F817">
            <v>24</v>
          </cell>
          <cell r="G817" t="str">
            <v>שוויארוחות</v>
          </cell>
          <cell r="H817">
            <v>441</v>
          </cell>
          <cell r="I817">
            <v>21</v>
          </cell>
          <cell r="J817" t="str">
            <v>הנהלה</v>
          </cell>
        </row>
        <row r="818">
          <cell r="A818" t="str">
            <v>רד סי אופטיקל נטוורק</v>
          </cell>
          <cell r="B818">
            <v>2004</v>
          </cell>
          <cell r="C818">
            <v>42</v>
          </cell>
          <cell r="D818" t="str">
            <v>וידנפלד-קלי אורנה</v>
          </cell>
          <cell r="E818">
            <v>12</v>
          </cell>
          <cell r="F818">
            <v>22</v>
          </cell>
          <cell r="G818" t="str">
            <v>שווי מתנות</v>
          </cell>
          <cell r="H818">
            <v>0</v>
          </cell>
          <cell r="I818">
            <v>0</v>
          </cell>
          <cell r="J818" t="str">
            <v>הנהלה</v>
          </cell>
        </row>
        <row r="819">
          <cell r="A819" t="str">
            <v>רד סי אופטיקל נטוורק</v>
          </cell>
          <cell r="B819">
            <v>2004</v>
          </cell>
          <cell r="C819">
            <v>42</v>
          </cell>
          <cell r="D819" t="str">
            <v>וידנפלד-קלי אורנה</v>
          </cell>
          <cell r="E819">
            <v>12</v>
          </cell>
          <cell r="F819">
            <v>24</v>
          </cell>
          <cell r="G819" t="str">
            <v>שוויארוחות</v>
          </cell>
          <cell r="H819">
            <v>462</v>
          </cell>
          <cell r="I819">
            <v>22</v>
          </cell>
          <cell r="J819" t="str">
            <v>הנהלה</v>
          </cell>
        </row>
        <row r="820">
          <cell r="A820" t="str">
            <v>רד סי אופטיקל נטוורק</v>
          </cell>
          <cell r="B820">
            <v>2004</v>
          </cell>
          <cell r="C820">
            <v>43</v>
          </cell>
          <cell r="D820" t="str">
            <v>שרעבי אילה</v>
          </cell>
          <cell r="E820">
            <v>1</v>
          </cell>
          <cell r="F820">
            <v>24</v>
          </cell>
          <cell r="G820" t="str">
            <v>שוויארוחות</v>
          </cell>
          <cell r="H820">
            <v>450</v>
          </cell>
          <cell r="I820">
            <v>0</v>
          </cell>
          <cell r="J820" t="str">
            <v>ייצור</v>
          </cell>
        </row>
        <row r="821">
          <cell r="A821" t="str">
            <v>רד סי אופטיקל נטוורק</v>
          </cell>
          <cell r="B821">
            <v>2004</v>
          </cell>
          <cell r="C821">
            <v>43</v>
          </cell>
          <cell r="D821" t="str">
            <v>שרעבי אילה</v>
          </cell>
          <cell r="E821">
            <v>2</v>
          </cell>
          <cell r="F821">
            <v>24</v>
          </cell>
          <cell r="G821" t="str">
            <v>שוויארוחות</v>
          </cell>
          <cell r="H821">
            <v>450</v>
          </cell>
          <cell r="I821">
            <v>0</v>
          </cell>
          <cell r="J821" t="str">
            <v>ייצור</v>
          </cell>
        </row>
        <row r="822">
          <cell r="A822" t="str">
            <v>רד סי אופטיקל נטוורק</v>
          </cell>
          <cell r="B822">
            <v>2004</v>
          </cell>
          <cell r="C822">
            <v>43</v>
          </cell>
          <cell r="D822" t="str">
            <v>שרעבי אילה</v>
          </cell>
          <cell r="E822">
            <v>3</v>
          </cell>
          <cell r="F822">
            <v>22</v>
          </cell>
          <cell r="G822" t="str">
            <v>שווי מתנות</v>
          </cell>
          <cell r="H822">
            <v>186.25</v>
          </cell>
          <cell r="I822">
            <v>0</v>
          </cell>
          <cell r="J822" t="str">
            <v>ייצור</v>
          </cell>
        </row>
        <row r="823">
          <cell r="A823" t="str">
            <v>רד סי אופטיקל נטוורק</v>
          </cell>
          <cell r="B823">
            <v>2004</v>
          </cell>
          <cell r="C823">
            <v>43</v>
          </cell>
          <cell r="D823" t="str">
            <v>שרעבי אילה</v>
          </cell>
          <cell r="E823">
            <v>3</v>
          </cell>
          <cell r="F823">
            <v>24</v>
          </cell>
          <cell r="G823" t="str">
            <v>שוויארוחות</v>
          </cell>
          <cell r="H823">
            <v>450</v>
          </cell>
          <cell r="I823">
            <v>0</v>
          </cell>
          <cell r="J823" t="str">
            <v>ייצור</v>
          </cell>
        </row>
        <row r="824">
          <cell r="A824" t="str">
            <v>רד סי אופטיקל נטוורק</v>
          </cell>
          <cell r="B824">
            <v>2004</v>
          </cell>
          <cell r="C824">
            <v>43</v>
          </cell>
          <cell r="D824" t="str">
            <v>שרעבי אילה</v>
          </cell>
          <cell r="E824">
            <v>4</v>
          </cell>
          <cell r="F824">
            <v>24</v>
          </cell>
          <cell r="G824" t="str">
            <v>שוויארוחות</v>
          </cell>
          <cell r="H824">
            <v>450</v>
          </cell>
          <cell r="I824">
            <v>0</v>
          </cell>
          <cell r="J824" t="str">
            <v>ייצור</v>
          </cell>
        </row>
        <row r="825">
          <cell r="A825" t="str">
            <v>רד סי אופטיקל נטוורק</v>
          </cell>
          <cell r="B825">
            <v>2004</v>
          </cell>
          <cell r="C825">
            <v>43</v>
          </cell>
          <cell r="D825" t="str">
            <v>שרעבי אילה</v>
          </cell>
          <cell r="E825">
            <v>5</v>
          </cell>
          <cell r="F825">
            <v>24</v>
          </cell>
          <cell r="G825" t="str">
            <v>שוויארוחות</v>
          </cell>
          <cell r="H825">
            <v>450</v>
          </cell>
          <cell r="I825">
            <v>0</v>
          </cell>
          <cell r="J825" t="str">
            <v>ייצור</v>
          </cell>
        </row>
        <row r="826">
          <cell r="A826" t="str">
            <v>רד סי אופטיקל נטוורק</v>
          </cell>
          <cell r="B826">
            <v>2004</v>
          </cell>
          <cell r="C826">
            <v>43</v>
          </cell>
          <cell r="D826" t="str">
            <v>שרעבי אילה</v>
          </cell>
          <cell r="E826">
            <v>6</v>
          </cell>
          <cell r="F826">
            <v>24</v>
          </cell>
          <cell r="G826" t="str">
            <v>שוויארוחות</v>
          </cell>
          <cell r="H826">
            <v>450</v>
          </cell>
          <cell r="I826">
            <v>0</v>
          </cell>
          <cell r="J826" t="str">
            <v>ייצור</v>
          </cell>
        </row>
        <row r="827">
          <cell r="A827" t="str">
            <v>רד סי אופטיקל נטוורק</v>
          </cell>
          <cell r="B827">
            <v>2004</v>
          </cell>
          <cell r="C827">
            <v>43</v>
          </cell>
          <cell r="D827" t="str">
            <v>שרעבי אילה</v>
          </cell>
          <cell r="E827">
            <v>7</v>
          </cell>
          <cell r="F827">
            <v>24</v>
          </cell>
          <cell r="G827" t="str">
            <v>שוויארוחות</v>
          </cell>
          <cell r="H827">
            <v>450</v>
          </cell>
          <cell r="I827">
            <v>0</v>
          </cell>
          <cell r="J827" t="str">
            <v>ייצור</v>
          </cell>
        </row>
        <row r="828">
          <cell r="A828" t="str">
            <v>רד סי אופטיקל נטוורק</v>
          </cell>
          <cell r="B828">
            <v>2004</v>
          </cell>
          <cell r="C828">
            <v>43</v>
          </cell>
          <cell r="D828" t="str">
            <v>שרעבי אילה</v>
          </cell>
          <cell r="E828">
            <v>8</v>
          </cell>
          <cell r="F828">
            <v>24</v>
          </cell>
          <cell r="G828" t="str">
            <v>שוויארוחות</v>
          </cell>
          <cell r="H828">
            <v>483</v>
          </cell>
          <cell r="I828">
            <v>23</v>
          </cell>
          <cell r="J828" t="str">
            <v>ייצור</v>
          </cell>
        </row>
        <row r="829">
          <cell r="A829" t="str">
            <v>רד סי אופטיקל נטוורק</v>
          </cell>
          <cell r="B829">
            <v>2004</v>
          </cell>
          <cell r="C829">
            <v>43</v>
          </cell>
          <cell r="D829" t="str">
            <v>שרעבי אילה</v>
          </cell>
          <cell r="E829">
            <v>9</v>
          </cell>
          <cell r="F829">
            <v>22</v>
          </cell>
          <cell r="G829" t="str">
            <v>שווי מתנות</v>
          </cell>
          <cell r="H829">
            <v>459.25</v>
          </cell>
          <cell r="I829">
            <v>0</v>
          </cell>
          <cell r="J829" t="str">
            <v>ייצור</v>
          </cell>
        </row>
        <row r="830">
          <cell r="A830" t="str">
            <v>רד סי אופטיקל נטוורק</v>
          </cell>
          <cell r="B830">
            <v>2004</v>
          </cell>
          <cell r="C830">
            <v>43</v>
          </cell>
          <cell r="D830" t="str">
            <v>שרעבי אילה</v>
          </cell>
          <cell r="E830">
            <v>9</v>
          </cell>
          <cell r="F830">
            <v>24</v>
          </cell>
          <cell r="G830" t="str">
            <v>שוויארוחות</v>
          </cell>
          <cell r="H830">
            <v>378</v>
          </cell>
          <cell r="I830">
            <v>18</v>
          </cell>
          <cell r="J830" t="str">
            <v>ייצור</v>
          </cell>
        </row>
        <row r="831">
          <cell r="A831" t="str">
            <v>רד סי אופטיקל נטוורק</v>
          </cell>
          <cell r="B831">
            <v>2004</v>
          </cell>
          <cell r="C831">
            <v>43</v>
          </cell>
          <cell r="D831" t="str">
            <v>שרעבי אילה</v>
          </cell>
          <cell r="E831">
            <v>10</v>
          </cell>
          <cell r="F831">
            <v>24</v>
          </cell>
          <cell r="G831" t="str">
            <v>שוויארוחות</v>
          </cell>
          <cell r="H831">
            <v>399</v>
          </cell>
          <cell r="I831">
            <v>19</v>
          </cell>
          <cell r="J831" t="str">
            <v>ייצור</v>
          </cell>
        </row>
        <row r="832">
          <cell r="A832" t="str">
            <v>רד סי אופטיקל נטוורק</v>
          </cell>
          <cell r="B832">
            <v>2004</v>
          </cell>
          <cell r="C832">
            <v>43</v>
          </cell>
          <cell r="D832" t="str">
            <v>שרעבי אילה</v>
          </cell>
          <cell r="E832">
            <v>11</v>
          </cell>
          <cell r="F832">
            <v>24</v>
          </cell>
          <cell r="G832" t="str">
            <v>שוויארוחות</v>
          </cell>
          <cell r="H832">
            <v>441</v>
          </cell>
          <cell r="I832">
            <v>21</v>
          </cell>
          <cell r="J832" t="str">
            <v>ייצור</v>
          </cell>
        </row>
        <row r="833">
          <cell r="A833" t="str">
            <v>רד סי אופטיקל נטוורק</v>
          </cell>
          <cell r="B833">
            <v>2004</v>
          </cell>
          <cell r="C833">
            <v>43</v>
          </cell>
          <cell r="D833" t="str">
            <v>שרעבי אילה</v>
          </cell>
          <cell r="E833">
            <v>12</v>
          </cell>
          <cell r="F833">
            <v>22</v>
          </cell>
          <cell r="G833" t="str">
            <v>שווי מתנות</v>
          </cell>
          <cell r="H833">
            <v>0</v>
          </cell>
          <cell r="I833">
            <v>0</v>
          </cell>
          <cell r="J833" t="str">
            <v>ייצור</v>
          </cell>
        </row>
        <row r="834">
          <cell r="A834" t="str">
            <v>רד סי אופטיקל נטוורק</v>
          </cell>
          <cell r="B834">
            <v>2004</v>
          </cell>
          <cell r="C834">
            <v>43</v>
          </cell>
          <cell r="D834" t="str">
            <v>שרעבי אילה</v>
          </cell>
          <cell r="E834">
            <v>12</v>
          </cell>
          <cell r="F834">
            <v>24</v>
          </cell>
          <cell r="G834" t="str">
            <v>שוויארוחות</v>
          </cell>
          <cell r="H834">
            <v>462</v>
          </cell>
          <cell r="I834">
            <v>22</v>
          </cell>
          <cell r="J834" t="str">
            <v>ייצור</v>
          </cell>
        </row>
        <row r="835">
          <cell r="A835" t="str">
            <v>רד סי אופטיקל נטוורק</v>
          </cell>
          <cell r="B835">
            <v>2004</v>
          </cell>
          <cell r="C835">
            <v>44</v>
          </cell>
          <cell r="D835" t="str">
            <v>קיפניס מיכאל</v>
          </cell>
          <cell r="E835">
            <v>1</v>
          </cell>
          <cell r="F835">
            <v>24</v>
          </cell>
          <cell r="G835" t="str">
            <v>שוויארוחות</v>
          </cell>
          <cell r="H835">
            <v>450</v>
          </cell>
          <cell r="I835">
            <v>0</v>
          </cell>
          <cell r="J835" t="str">
            <v>ייצור</v>
          </cell>
        </row>
        <row r="836">
          <cell r="A836" t="str">
            <v>רד סי אופטיקל נטוורק</v>
          </cell>
          <cell r="B836">
            <v>2004</v>
          </cell>
          <cell r="C836">
            <v>44</v>
          </cell>
          <cell r="D836" t="str">
            <v>קיפניס מיכאל</v>
          </cell>
          <cell r="E836">
            <v>2</v>
          </cell>
          <cell r="F836">
            <v>24</v>
          </cell>
          <cell r="G836" t="str">
            <v>שוויארוחות</v>
          </cell>
          <cell r="H836">
            <v>450</v>
          </cell>
          <cell r="I836">
            <v>0</v>
          </cell>
          <cell r="J836" t="str">
            <v>ייצור</v>
          </cell>
        </row>
        <row r="837">
          <cell r="A837" t="str">
            <v>רד סי אופטיקל נטוורק</v>
          </cell>
          <cell r="B837">
            <v>2004</v>
          </cell>
          <cell r="C837">
            <v>44</v>
          </cell>
          <cell r="D837" t="str">
            <v>קיפניס מיכאל</v>
          </cell>
          <cell r="E837">
            <v>3</v>
          </cell>
          <cell r="F837">
            <v>22</v>
          </cell>
          <cell r="G837" t="str">
            <v>שווי מתנות</v>
          </cell>
          <cell r="H837">
            <v>186.25</v>
          </cell>
          <cell r="I837">
            <v>0</v>
          </cell>
          <cell r="J837" t="str">
            <v>ייצור</v>
          </cell>
        </row>
        <row r="838">
          <cell r="A838" t="str">
            <v>רד סי אופטיקל נטוורק</v>
          </cell>
          <cell r="B838">
            <v>2004</v>
          </cell>
          <cell r="C838">
            <v>44</v>
          </cell>
          <cell r="D838" t="str">
            <v>קיפניס מיכאל</v>
          </cell>
          <cell r="E838">
            <v>3</v>
          </cell>
          <cell r="F838">
            <v>24</v>
          </cell>
          <cell r="G838" t="str">
            <v>שוויארוחות</v>
          </cell>
          <cell r="H838">
            <v>450</v>
          </cell>
          <cell r="I838">
            <v>0</v>
          </cell>
          <cell r="J838" t="str">
            <v>ייצור</v>
          </cell>
        </row>
        <row r="839">
          <cell r="A839" t="str">
            <v>רד סי אופטיקל נטוורק</v>
          </cell>
          <cell r="B839">
            <v>2004</v>
          </cell>
          <cell r="C839">
            <v>44</v>
          </cell>
          <cell r="D839" t="str">
            <v>קיפניס מיכאל</v>
          </cell>
          <cell r="E839">
            <v>4</v>
          </cell>
          <cell r="F839">
            <v>24</v>
          </cell>
          <cell r="G839" t="str">
            <v>שוויארוחות</v>
          </cell>
          <cell r="H839">
            <v>450</v>
          </cell>
          <cell r="I839">
            <v>0</v>
          </cell>
          <cell r="J839" t="str">
            <v>ייצור</v>
          </cell>
        </row>
        <row r="840">
          <cell r="A840" t="str">
            <v>רד סי אופטיקל נטוורק</v>
          </cell>
          <cell r="B840">
            <v>2004</v>
          </cell>
          <cell r="C840">
            <v>44</v>
          </cell>
          <cell r="D840" t="str">
            <v>קיפניס מיכאל</v>
          </cell>
          <cell r="E840">
            <v>5</v>
          </cell>
          <cell r="F840">
            <v>24</v>
          </cell>
          <cell r="G840" t="str">
            <v>שוויארוחות</v>
          </cell>
          <cell r="H840">
            <v>450</v>
          </cell>
          <cell r="I840">
            <v>0</v>
          </cell>
          <cell r="J840" t="str">
            <v>ייצור</v>
          </cell>
        </row>
        <row r="841">
          <cell r="A841" t="str">
            <v>רד סי אופטיקל נטוורק</v>
          </cell>
          <cell r="B841">
            <v>2004</v>
          </cell>
          <cell r="C841">
            <v>44</v>
          </cell>
          <cell r="D841" t="str">
            <v>קיפניס מיכאל</v>
          </cell>
          <cell r="E841">
            <v>6</v>
          </cell>
          <cell r="F841">
            <v>24</v>
          </cell>
          <cell r="G841" t="str">
            <v>שוויארוחות</v>
          </cell>
          <cell r="H841">
            <v>450</v>
          </cell>
          <cell r="I841">
            <v>0</v>
          </cell>
          <cell r="J841" t="str">
            <v>ייצור</v>
          </cell>
        </row>
        <row r="842">
          <cell r="A842" t="str">
            <v>רד סי אופטיקל נטוורק</v>
          </cell>
          <cell r="B842">
            <v>2004</v>
          </cell>
          <cell r="C842">
            <v>44</v>
          </cell>
          <cell r="D842" t="str">
            <v>קיפניס מיכאל</v>
          </cell>
          <cell r="E842">
            <v>7</v>
          </cell>
          <cell r="F842">
            <v>24</v>
          </cell>
          <cell r="G842" t="str">
            <v>שוויארוחות</v>
          </cell>
          <cell r="H842">
            <v>450</v>
          </cell>
          <cell r="I842">
            <v>0</v>
          </cell>
          <cell r="J842" t="str">
            <v>ייצור</v>
          </cell>
        </row>
        <row r="843">
          <cell r="A843" t="str">
            <v>רד סי אופטיקל נטוורק</v>
          </cell>
          <cell r="B843">
            <v>2004</v>
          </cell>
          <cell r="C843">
            <v>44</v>
          </cell>
          <cell r="D843" t="str">
            <v>קיפניס מיכאל</v>
          </cell>
          <cell r="E843">
            <v>8</v>
          </cell>
          <cell r="F843">
            <v>24</v>
          </cell>
          <cell r="G843" t="str">
            <v>שוויארוחות</v>
          </cell>
          <cell r="H843">
            <v>483</v>
          </cell>
          <cell r="I843">
            <v>23</v>
          </cell>
          <cell r="J843" t="str">
            <v>ייצור</v>
          </cell>
        </row>
        <row r="844">
          <cell r="A844" t="str">
            <v>רד סי אופטיקל נטוורק</v>
          </cell>
          <cell r="B844">
            <v>2004</v>
          </cell>
          <cell r="C844">
            <v>44</v>
          </cell>
          <cell r="D844" t="str">
            <v>קיפניס מיכאל</v>
          </cell>
          <cell r="E844">
            <v>9</v>
          </cell>
          <cell r="F844">
            <v>22</v>
          </cell>
          <cell r="G844" t="str">
            <v>שווי מתנות</v>
          </cell>
          <cell r="H844">
            <v>459.25</v>
          </cell>
          <cell r="I844">
            <v>0</v>
          </cell>
          <cell r="J844" t="str">
            <v>ייצור</v>
          </cell>
        </row>
        <row r="845">
          <cell r="A845" t="str">
            <v>רד סי אופטיקל נטוורק</v>
          </cell>
          <cell r="B845">
            <v>2004</v>
          </cell>
          <cell r="C845">
            <v>44</v>
          </cell>
          <cell r="D845" t="str">
            <v>קיפניס מיכאל</v>
          </cell>
          <cell r="E845">
            <v>9</v>
          </cell>
          <cell r="F845">
            <v>24</v>
          </cell>
          <cell r="G845" t="str">
            <v>שוויארוחות</v>
          </cell>
          <cell r="H845">
            <v>378</v>
          </cell>
          <cell r="I845">
            <v>18</v>
          </cell>
          <cell r="J845" t="str">
            <v>ייצור</v>
          </cell>
        </row>
        <row r="846">
          <cell r="A846" t="str">
            <v>רד סי אופטיקל נטוורק</v>
          </cell>
          <cell r="B846">
            <v>2004</v>
          </cell>
          <cell r="C846">
            <v>44</v>
          </cell>
          <cell r="D846" t="str">
            <v>קיפניס מיכאל</v>
          </cell>
          <cell r="E846">
            <v>10</v>
          </cell>
          <cell r="F846">
            <v>24</v>
          </cell>
          <cell r="G846" t="str">
            <v>שוויארוחות</v>
          </cell>
          <cell r="H846">
            <v>399</v>
          </cell>
          <cell r="I846">
            <v>19</v>
          </cell>
          <cell r="J846" t="str">
            <v>ייצור</v>
          </cell>
        </row>
        <row r="847">
          <cell r="A847" t="str">
            <v>רד סי אופטיקל נטוורק</v>
          </cell>
          <cell r="B847">
            <v>2004</v>
          </cell>
          <cell r="C847">
            <v>44</v>
          </cell>
          <cell r="D847" t="str">
            <v>קיפניס מיכאל</v>
          </cell>
          <cell r="E847">
            <v>11</v>
          </cell>
          <cell r="F847">
            <v>24</v>
          </cell>
          <cell r="G847" t="str">
            <v>שוויארוחות</v>
          </cell>
          <cell r="H847">
            <v>441</v>
          </cell>
          <cell r="I847">
            <v>21</v>
          </cell>
          <cell r="J847" t="str">
            <v>ייצור</v>
          </cell>
        </row>
        <row r="848">
          <cell r="A848" t="str">
            <v>רד סי אופטיקל נטוורק</v>
          </cell>
          <cell r="B848">
            <v>2004</v>
          </cell>
          <cell r="C848">
            <v>44</v>
          </cell>
          <cell r="D848" t="str">
            <v>קיפניס מיכאל</v>
          </cell>
          <cell r="E848">
            <v>12</v>
          </cell>
          <cell r="F848">
            <v>22</v>
          </cell>
          <cell r="G848" t="str">
            <v>שווי מתנות</v>
          </cell>
          <cell r="H848">
            <v>0</v>
          </cell>
          <cell r="I848">
            <v>0</v>
          </cell>
          <cell r="J848" t="str">
            <v>ייצור</v>
          </cell>
        </row>
        <row r="849">
          <cell r="A849" t="str">
            <v>רד סי אופטיקל נטוורק</v>
          </cell>
          <cell r="B849">
            <v>2004</v>
          </cell>
          <cell r="C849">
            <v>44</v>
          </cell>
          <cell r="D849" t="str">
            <v>קיפניס מיכאל</v>
          </cell>
          <cell r="E849">
            <v>12</v>
          </cell>
          <cell r="F849">
            <v>24</v>
          </cell>
          <cell r="G849" t="str">
            <v>שוויארוחות</v>
          </cell>
          <cell r="H849">
            <v>462</v>
          </cell>
          <cell r="I849">
            <v>22</v>
          </cell>
          <cell r="J849" t="str">
            <v>ייצור</v>
          </cell>
        </row>
        <row r="850">
          <cell r="A850" t="str">
            <v>רד סי אופטיקל נטוורק</v>
          </cell>
          <cell r="B850">
            <v>2004</v>
          </cell>
          <cell r="C850">
            <v>45</v>
          </cell>
          <cell r="D850" t="str">
            <v>הרץ אריק</v>
          </cell>
          <cell r="E850">
            <v>1</v>
          </cell>
          <cell r="F850">
            <v>24</v>
          </cell>
          <cell r="G850" t="str">
            <v>שוויארוחות</v>
          </cell>
          <cell r="H850">
            <v>297</v>
          </cell>
          <cell r="I850">
            <v>0.66</v>
          </cell>
          <cell r="J850" t="str">
            <v>שיווק</v>
          </cell>
        </row>
        <row r="851">
          <cell r="A851" t="str">
            <v>רד סי אופטיקל נטוורק</v>
          </cell>
          <cell r="B851">
            <v>2004</v>
          </cell>
          <cell r="C851">
            <v>45</v>
          </cell>
          <cell r="D851" t="str">
            <v>הרץ אריק</v>
          </cell>
          <cell r="E851">
            <v>1</v>
          </cell>
          <cell r="F851">
            <v>40</v>
          </cell>
          <cell r="G851" t="str">
            <v>רכב קב' 2</v>
          </cell>
          <cell r="H851">
            <v>980</v>
          </cell>
          <cell r="I851">
            <v>0</v>
          </cell>
          <cell r="J851" t="str">
            <v>שיווק</v>
          </cell>
        </row>
        <row r="852">
          <cell r="A852" t="str">
            <v>רד סי אופטיקל נטוורק</v>
          </cell>
          <cell r="B852">
            <v>2004</v>
          </cell>
          <cell r="C852">
            <v>45</v>
          </cell>
          <cell r="D852" t="str">
            <v>הרץ אריק</v>
          </cell>
          <cell r="E852">
            <v>1</v>
          </cell>
          <cell r="F852">
            <v>47</v>
          </cell>
          <cell r="G852" t="str">
            <v>שווי פלא</v>
          </cell>
          <cell r="H852">
            <v>85</v>
          </cell>
          <cell r="I852">
            <v>0</v>
          </cell>
          <cell r="J852" t="str">
            <v>שיווק</v>
          </cell>
        </row>
        <row r="853">
          <cell r="A853" t="str">
            <v>רד סי אופטיקל נטוורק</v>
          </cell>
          <cell r="B853">
            <v>2004</v>
          </cell>
          <cell r="C853">
            <v>45</v>
          </cell>
          <cell r="D853" t="str">
            <v>הרץ אריק</v>
          </cell>
          <cell r="E853">
            <v>2</v>
          </cell>
          <cell r="F853">
            <v>24</v>
          </cell>
          <cell r="G853" t="str">
            <v>שוויארוחות</v>
          </cell>
          <cell r="H853">
            <v>234</v>
          </cell>
          <cell r="I853">
            <v>0.52</v>
          </cell>
          <cell r="J853" t="str">
            <v>שיווק</v>
          </cell>
        </row>
        <row r="854">
          <cell r="A854" t="str">
            <v>רד סי אופטיקל נטוורק</v>
          </cell>
          <cell r="B854">
            <v>2004</v>
          </cell>
          <cell r="C854">
            <v>45</v>
          </cell>
          <cell r="D854" t="str">
            <v>הרץ אריק</v>
          </cell>
          <cell r="E854">
            <v>2</v>
          </cell>
          <cell r="F854">
            <v>40</v>
          </cell>
          <cell r="G854" t="str">
            <v>רכב קב' 2</v>
          </cell>
          <cell r="H854">
            <v>980</v>
          </cell>
          <cell r="I854">
            <v>0</v>
          </cell>
          <cell r="J854" t="str">
            <v>שיווק</v>
          </cell>
        </row>
        <row r="855">
          <cell r="A855" t="str">
            <v>רד סי אופטיקל נטוורק</v>
          </cell>
          <cell r="B855">
            <v>2004</v>
          </cell>
          <cell r="C855">
            <v>45</v>
          </cell>
          <cell r="D855" t="str">
            <v>הרץ אריק</v>
          </cell>
          <cell r="E855">
            <v>2</v>
          </cell>
          <cell r="F855">
            <v>47</v>
          </cell>
          <cell r="G855" t="str">
            <v>שווי פלא</v>
          </cell>
          <cell r="H855">
            <v>85</v>
          </cell>
          <cell r="I855">
            <v>0</v>
          </cell>
          <cell r="J855" t="str">
            <v>שיווק</v>
          </cell>
        </row>
        <row r="856">
          <cell r="A856" t="str">
            <v>רד סי אופטיקל נטוורק</v>
          </cell>
          <cell r="B856">
            <v>2004</v>
          </cell>
          <cell r="C856">
            <v>45</v>
          </cell>
          <cell r="D856" t="str">
            <v>הרץ אריק</v>
          </cell>
          <cell r="E856">
            <v>3</v>
          </cell>
          <cell r="F856">
            <v>22</v>
          </cell>
          <cell r="G856" t="str">
            <v>שווי מתנות</v>
          </cell>
          <cell r="H856">
            <v>186.25</v>
          </cell>
          <cell r="I856">
            <v>0</v>
          </cell>
          <cell r="J856" t="str">
            <v>שיווק</v>
          </cell>
        </row>
        <row r="857">
          <cell r="A857" t="str">
            <v>רד סי אופטיקל נטוורק</v>
          </cell>
          <cell r="B857">
            <v>2004</v>
          </cell>
          <cell r="C857">
            <v>45</v>
          </cell>
          <cell r="D857" t="str">
            <v>הרץ אריק</v>
          </cell>
          <cell r="E857">
            <v>3</v>
          </cell>
          <cell r="F857">
            <v>24</v>
          </cell>
          <cell r="G857" t="str">
            <v>שוויארוחות</v>
          </cell>
          <cell r="H857">
            <v>450</v>
          </cell>
          <cell r="I857">
            <v>1</v>
          </cell>
          <cell r="J857" t="str">
            <v>שיווק</v>
          </cell>
        </row>
        <row r="858">
          <cell r="A858" t="str">
            <v>רד סי אופטיקל נטוורק</v>
          </cell>
          <cell r="B858">
            <v>2004</v>
          </cell>
          <cell r="C858">
            <v>45</v>
          </cell>
          <cell r="D858" t="str">
            <v>הרץ אריק</v>
          </cell>
          <cell r="E858">
            <v>3</v>
          </cell>
          <cell r="F858">
            <v>40</v>
          </cell>
          <cell r="G858" t="str">
            <v>רכב קב' 2</v>
          </cell>
          <cell r="H858">
            <v>980</v>
          </cell>
          <cell r="I858">
            <v>0</v>
          </cell>
          <cell r="J858" t="str">
            <v>שיווק</v>
          </cell>
        </row>
        <row r="859">
          <cell r="A859" t="str">
            <v>רד סי אופטיקל נטוורק</v>
          </cell>
          <cell r="B859">
            <v>2004</v>
          </cell>
          <cell r="C859">
            <v>45</v>
          </cell>
          <cell r="D859" t="str">
            <v>הרץ אריק</v>
          </cell>
          <cell r="E859">
            <v>3</v>
          </cell>
          <cell r="F859">
            <v>47</v>
          </cell>
          <cell r="G859" t="str">
            <v>שווי פלא</v>
          </cell>
          <cell r="H859">
            <v>85</v>
          </cell>
          <cell r="I859">
            <v>0</v>
          </cell>
          <cell r="J859" t="str">
            <v>שיווק</v>
          </cell>
        </row>
        <row r="860">
          <cell r="A860" t="str">
            <v>רד סי אופטיקל נטוורק</v>
          </cell>
          <cell r="B860">
            <v>2004</v>
          </cell>
          <cell r="C860">
            <v>45</v>
          </cell>
          <cell r="D860" t="str">
            <v>הרץ אריק</v>
          </cell>
          <cell r="E860">
            <v>4</v>
          </cell>
          <cell r="F860">
            <v>24</v>
          </cell>
          <cell r="G860" t="str">
            <v>שוויארוחות</v>
          </cell>
          <cell r="H860">
            <v>450</v>
          </cell>
          <cell r="I860">
            <v>1</v>
          </cell>
          <cell r="J860" t="str">
            <v>שיווק</v>
          </cell>
        </row>
        <row r="861">
          <cell r="A861" t="str">
            <v>רד סי אופטיקל נטוורק</v>
          </cell>
          <cell r="B861">
            <v>2004</v>
          </cell>
          <cell r="C861">
            <v>45</v>
          </cell>
          <cell r="D861" t="str">
            <v>הרץ אריק</v>
          </cell>
          <cell r="E861">
            <v>4</v>
          </cell>
          <cell r="F861">
            <v>40</v>
          </cell>
          <cell r="G861" t="str">
            <v>רכב קב' 2</v>
          </cell>
          <cell r="H861">
            <v>980</v>
          </cell>
          <cell r="I861">
            <v>0</v>
          </cell>
          <cell r="J861" t="str">
            <v>שיווק</v>
          </cell>
        </row>
        <row r="862">
          <cell r="A862" t="str">
            <v>רד סי אופטיקל נטוורק</v>
          </cell>
          <cell r="B862">
            <v>2004</v>
          </cell>
          <cell r="C862">
            <v>45</v>
          </cell>
          <cell r="D862" t="str">
            <v>הרץ אריק</v>
          </cell>
          <cell r="E862">
            <v>4</v>
          </cell>
          <cell r="F862">
            <v>47</v>
          </cell>
          <cell r="G862" t="str">
            <v>שווי פלא</v>
          </cell>
          <cell r="H862">
            <v>85</v>
          </cell>
          <cell r="I862">
            <v>0</v>
          </cell>
          <cell r="J862" t="str">
            <v>שיווק</v>
          </cell>
        </row>
        <row r="863">
          <cell r="A863" t="str">
            <v>רד סי אופטיקל נטוורק</v>
          </cell>
          <cell r="B863">
            <v>2004</v>
          </cell>
          <cell r="C863">
            <v>45</v>
          </cell>
          <cell r="D863" t="str">
            <v>הרץ אריק</v>
          </cell>
          <cell r="E863">
            <v>5</v>
          </cell>
          <cell r="F863">
            <v>24</v>
          </cell>
          <cell r="G863" t="str">
            <v>שוויארוחות</v>
          </cell>
          <cell r="H863">
            <v>450</v>
          </cell>
          <cell r="I863">
            <v>1</v>
          </cell>
          <cell r="J863" t="str">
            <v>שיווק</v>
          </cell>
        </row>
        <row r="864">
          <cell r="A864" t="str">
            <v>רד סי אופטיקל נטוורק</v>
          </cell>
          <cell r="B864">
            <v>2004</v>
          </cell>
          <cell r="C864">
            <v>45</v>
          </cell>
          <cell r="D864" t="str">
            <v>הרץ אריק</v>
          </cell>
          <cell r="E864">
            <v>5</v>
          </cell>
          <cell r="F864">
            <v>40</v>
          </cell>
          <cell r="G864" t="str">
            <v>רכב קב' 2</v>
          </cell>
          <cell r="H864">
            <v>980</v>
          </cell>
          <cell r="I864">
            <v>0</v>
          </cell>
          <cell r="J864" t="str">
            <v>שיווק</v>
          </cell>
        </row>
        <row r="865">
          <cell r="A865" t="str">
            <v>רד סי אופטיקל נטוורק</v>
          </cell>
          <cell r="B865">
            <v>2004</v>
          </cell>
          <cell r="C865">
            <v>45</v>
          </cell>
          <cell r="D865" t="str">
            <v>הרץ אריק</v>
          </cell>
          <cell r="E865">
            <v>5</v>
          </cell>
          <cell r="F865">
            <v>47</v>
          </cell>
          <cell r="G865" t="str">
            <v>שווי פלא</v>
          </cell>
          <cell r="H865">
            <v>85</v>
          </cell>
          <cell r="I865">
            <v>0</v>
          </cell>
          <cell r="J865" t="str">
            <v>שיווק</v>
          </cell>
        </row>
        <row r="866">
          <cell r="A866" t="str">
            <v>רד סי אופטיקל נטוורק</v>
          </cell>
          <cell r="B866">
            <v>2004</v>
          </cell>
          <cell r="C866">
            <v>45</v>
          </cell>
          <cell r="D866" t="str">
            <v>הרץ אריק</v>
          </cell>
          <cell r="E866">
            <v>6</v>
          </cell>
          <cell r="F866">
            <v>24</v>
          </cell>
          <cell r="G866" t="str">
            <v>שוויארוחות</v>
          </cell>
          <cell r="H866">
            <v>450</v>
          </cell>
          <cell r="I866">
            <v>1</v>
          </cell>
          <cell r="J866" t="str">
            <v>שיווק</v>
          </cell>
        </row>
        <row r="867">
          <cell r="A867" t="str">
            <v>רד סי אופטיקל נטוורק</v>
          </cell>
          <cell r="B867">
            <v>2004</v>
          </cell>
          <cell r="C867">
            <v>45</v>
          </cell>
          <cell r="D867" t="str">
            <v>הרץ אריק</v>
          </cell>
          <cell r="E867">
            <v>6</v>
          </cell>
          <cell r="F867">
            <v>40</v>
          </cell>
          <cell r="G867" t="str">
            <v>רכב קב' 2</v>
          </cell>
          <cell r="H867">
            <v>980</v>
          </cell>
          <cell r="I867">
            <v>0</v>
          </cell>
          <cell r="J867" t="str">
            <v>שיווק</v>
          </cell>
        </row>
        <row r="868">
          <cell r="A868" t="str">
            <v>רד סי אופטיקל נטוורק</v>
          </cell>
          <cell r="B868">
            <v>2004</v>
          </cell>
          <cell r="C868">
            <v>45</v>
          </cell>
          <cell r="D868" t="str">
            <v>הרץ אריק</v>
          </cell>
          <cell r="E868">
            <v>6</v>
          </cell>
          <cell r="F868">
            <v>47</v>
          </cell>
          <cell r="G868" t="str">
            <v>שווי פלא</v>
          </cell>
          <cell r="H868">
            <v>85</v>
          </cell>
          <cell r="I868">
            <v>0</v>
          </cell>
          <cell r="J868" t="str">
            <v>שיווק</v>
          </cell>
        </row>
        <row r="869">
          <cell r="A869" t="str">
            <v>רד סי אופטיקל נטוורק</v>
          </cell>
          <cell r="B869">
            <v>2004</v>
          </cell>
          <cell r="C869">
            <v>45</v>
          </cell>
          <cell r="D869" t="str">
            <v>הרץ אריק</v>
          </cell>
          <cell r="E869">
            <v>6</v>
          </cell>
          <cell r="F869">
            <v>93</v>
          </cell>
          <cell r="G869" t="str">
            <v>זק.תגמולים</v>
          </cell>
          <cell r="H869">
            <v>497.37</v>
          </cell>
          <cell r="I869">
            <v>0</v>
          </cell>
          <cell r="J869" t="str">
            <v>שיווק</v>
          </cell>
        </row>
        <row r="870">
          <cell r="A870" t="str">
            <v>רד סי אופטיקל נטוורק</v>
          </cell>
          <cell r="B870">
            <v>2004</v>
          </cell>
          <cell r="C870">
            <v>45</v>
          </cell>
          <cell r="D870" t="str">
            <v>הרץ אריק</v>
          </cell>
          <cell r="E870">
            <v>7</v>
          </cell>
          <cell r="F870">
            <v>24</v>
          </cell>
          <cell r="G870" t="str">
            <v>שוויארוחות</v>
          </cell>
          <cell r="H870">
            <v>450</v>
          </cell>
          <cell r="I870">
            <v>1</v>
          </cell>
          <cell r="J870" t="str">
            <v>שיווק</v>
          </cell>
        </row>
        <row r="871">
          <cell r="A871" t="str">
            <v>רד סי אופטיקל נטוורק</v>
          </cell>
          <cell r="B871">
            <v>2004</v>
          </cell>
          <cell r="C871">
            <v>45</v>
          </cell>
          <cell r="D871" t="str">
            <v>הרץ אריק</v>
          </cell>
          <cell r="E871">
            <v>7</v>
          </cell>
          <cell r="F871">
            <v>40</v>
          </cell>
          <cell r="G871" t="str">
            <v>רכב קב' 2</v>
          </cell>
          <cell r="H871">
            <v>980</v>
          </cell>
          <cell r="I871">
            <v>0</v>
          </cell>
          <cell r="J871" t="str">
            <v>שיווק</v>
          </cell>
        </row>
        <row r="872">
          <cell r="A872" t="str">
            <v>רד סי אופטיקל נטוורק</v>
          </cell>
          <cell r="B872">
            <v>2004</v>
          </cell>
          <cell r="C872">
            <v>45</v>
          </cell>
          <cell r="D872" t="str">
            <v>הרץ אריק</v>
          </cell>
          <cell r="E872">
            <v>7</v>
          </cell>
          <cell r="F872">
            <v>47</v>
          </cell>
          <cell r="G872" t="str">
            <v>שווי פלא</v>
          </cell>
          <cell r="H872">
            <v>85</v>
          </cell>
          <cell r="I872">
            <v>0</v>
          </cell>
          <cell r="J872" t="str">
            <v>שיווק</v>
          </cell>
        </row>
        <row r="873">
          <cell r="A873" t="str">
            <v>רד סי אופטיקל נטוורק</v>
          </cell>
          <cell r="B873">
            <v>2004</v>
          </cell>
          <cell r="C873">
            <v>45</v>
          </cell>
          <cell r="D873" t="str">
            <v>הרץ אריק</v>
          </cell>
          <cell r="E873">
            <v>7</v>
          </cell>
          <cell r="F873">
            <v>93</v>
          </cell>
          <cell r="G873" t="str">
            <v>זק.תגמולים</v>
          </cell>
          <cell r="H873">
            <v>61.57</v>
          </cell>
          <cell r="I873">
            <v>0</v>
          </cell>
          <cell r="J873" t="str">
            <v>שיווק</v>
          </cell>
        </row>
        <row r="874">
          <cell r="A874" t="str">
            <v>רד סי אופטיקל נטוורק</v>
          </cell>
          <cell r="B874">
            <v>2004</v>
          </cell>
          <cell r="C874">
            <v>45</v>
          </cell>
          <cell r="D874" t="str">
            <v>הרץ אריק</v>
          </cell>
          <cell r="E874">
            <v>8</v>
          </cell>
          <cell r="F874">
            <v>24</v>
          </cell>
          <cell r="G874" t="str">
            <v>שוויארוחות</v>
          </cell>
          <cell r="H874">
            <v>483</v>
          </cell>
          <cell r="I874">
            <v>23</v>
          </cell>
          <cell r="J874" t="str">
            <v>שיווק</v>
          </cell>
        </row>
        <row r="875">
          <cell r="A875" t="str">
            <v>רד סי אופטיקל נטוורק</v>
          </cell>
          <cell r="B875">
            <v>2004</v>
          </cell>
          <cell r="C875">
            <v>45</v>
          </cell>
          <cell r="D875" t="str">
            <v>הרץ אריק</v>
          </cell>
          <cell r="E875">
            <v>8</v>
          </cell>
          <cell r="F875">
            <v>40</v>
          </cell>
          <cell r="G875" t="str">
            <v>רכב קב' 2</v>
          </cell>
          <cell r="H875">
            <v>980</v>
          </cell>
          <cell r="I875">
            <v>0</v>
          </cell>
          <cell r="J875" t="str">
            <v>שיווק</v>
          </cell>
        </row>
        <row r="876">
          <cell r="A876" t="str">
            <v>רד סי אופטיקל נטוורק</v>
          </cell>
          <cell r="B876">
            <v>2004</v>
          </cell>
          <cell r="C876">
            <v>45</v>
          </cell>
          <cell r="D876" t="str">
            <v>הרץ אריק</v>
          </cell>
          <cell r="E876">
            <v>8</v>
          </cell>
          <cell r="F876">
            <v>47</v>
          </cell>
          <cell r="G876" t="str">
            <v>שווי פלא</v>
          </cell>
          <cell r="H876">
            <v>85</v>
          </cell>
          <cell r="I876">
            <v>0</v>
          </cell>
          <cell r="J876" t="str">
            <v>שיווק</v>
          </cell>
        </row>
        <row r="877">
          <cell r="A877" t="str">
            <v>רד סי אופטיקל נטוורק</v>
          </cell>
          <cell r="B877">
            <v>2004</v>
          </cell>
          <cell r="C877">
            <v>45</v>
          </cell>
          <cell r="D877" t="str">
            <v>הרץ אריק</v>
          </cell>
          <cell r="E877">
            <v>8</v>
          </cell>
          <cell r="F877">
            <v>93</v>
          </cell>
          <cell r="G877" t="str">
            <v>זק.תגמולים</v>
          </cell>
          <cell r="H877">
            <v>61.57</v>
          </cell>
          <cell r="I877">
            <v>0</v>
          </cell>
          <cell r="J877" t="str">
            <v>שיווק</v>
          </cell>
        </row>
        <row r="878">
          <cell r="A878" t="str">
            <v>רד סי אופטיקל נטוורק</v>
          </cell>
          <cell r="B878">
            <v>2004</v>
          </cell>
          <cell r="C878">
            <v>45</v>
          </cell>
          <cell r="D878" t="str">
            <v>הרץ אריק</v>
          </cell>
          <cell r="E878">
            <v>9</v>
          </cell>
          <cell r="F878">
            <v>22</v>
          </cell>
          <cell r="G878" t="str">
            <v>שווי מתנות</v>
          </cell>
          <cell r="H878">
            <v>459.25</v>
          </cell>
          <cell r="I878">
            <v>0</v>
          </cell>
          <cell r="J878" t="str">
            <v>שיווק</v>
          </cell>
        </row>
        <row r="879">
          <cell r="A879" t="str">
            <v>רד סי אופטיקל נטוורק</v>
          </cell>
          <cell r="B879">
            <v>2004</v>
          </cell>
          <cell r="C879">
            <v>45</v>
          </cell>
          <cell r="D879" t="str">
            <v>הרץ אריק</v>
          </cell>
          <cell r="E879">
            <v>9</v>
          </cell>
          <cell r="F879">
            <v>24</v>
          </cell>
          <cell r="G879" t="str">
            <v>שוויארוחות</v>
          </cell>
          <cell r="H879">
            <v>147</v>
          </cell>
          <cell r="I879">
            <v>7</v>
          </cell>
          <cell r="J879" t="str">
            <v>שיווק</v>
          </cell>
        </row>
        <row r="880">
          <cell r="A880" t="str">
            <v>רד סי אופטיקל נטוורק</v>
          </cell>
          <cell r="B880">
            <v>2004</v>
          </cell>
          <cell r="C880">
            <v>45</v>
          </cell>
          <cell r="D880" t="str">
            <v>הרץ אריק</v>
          </cell>
          <cell r="E880">
            <v>9</v>
          </cell>
          <cell r="F880">
            <v>47</v>
          </cell>
          <cell r="G880" t="str">
            <v>שווי פלא</v>
          </cell>
          <cell r="H880">
            <v>66.3</v>
          </cell>
          <cell r="I880">
            <v>0.78</v>
          </cell>
          <cell r="J880" t="str">
            <v>שיווק</v>
          </cell>
        </row>
        <row r="881">
          <cell r="A881" t="str">
            <v>רד סי אופטיקל נטוורק</v>
          </cell>
          <cell r="B881">
            <v>2004</v>
          </cell>
          <cell r="C881">
            <v>45</v>
          </cell>
          <cell r="D881" t="str">
            <v>הרץ אריק</v>
          </cell>
          <cell r="E881">
            <v>9</v>
          </cell>
          <cell r="F881">
            <v>93</v>
          </cell>
          <cell r="G881" t="str">
            <v>זק.תגמולים</v>
          </cell>
          <cell r="H881">
            <v>-258.39</v>
          </cell>
          <cell r="I881">
            <v>0</v>
          </cell>
          <cell r="J881" t="str">
            <v>שיווק</v>
          </cell>
        </row>
        <row r="882">
          <cell r="A882" t="str">
            <v>רד סי אופטיקל נטוורק</v>
          </cell>
          <cell r="B882">
            <v>2004</v>
          </cell>
          <cell r="C882">
            <v>46</v>
          </cell>
          <cell r="D882" t="str">
            <v>ליפובצקי גבי</v>
          </cell>
          <cell r="E882">
            <v>1</v>
          </cell>
          <cell r="F882">
            <v>24</v>
          </cell>
          <cell r="G882" t="str">
            <v>שוויארוחות</v>
          </cell>
          <cell r="H882">
            <v>364.5</v>
          </cell>
          <cell r="I882">
            <v>0.81</v>
          </cell>
          <cell r="J882" t="str">
            <v>ייצור</v>
          </cell>
        </row>
        <row r="883">
          <cell r="A883" t="str">
            <v>רד סי אופטיקל נטוורק</v>
          </cell>
          <cell r="B883">
            <v>2004</v>
          </cell>
          <cell r="C883">
            <v>46</v>
          </cell>
          <cell r="D883" t="str">
            <v>ליפובצקי גבי</v>
          </cell>
          <cell r="E883">
            <v>2</v>
          </cell>
          <cell r="F883">
            <v>24</v>
          </cell>
          <cell r="G883" t="str">
            <v>שוויארוחות</v>
          </cell>
          <cell r="H883">
            <v>450</v>
          </cell>
          <cell r="I883">
            <v>1</v>
          </cell>
          <cell r="J883" t="str">
            <v>ייצור</v>
          </cell>
        </row>
        <row r="884">
          <cell r="A884" t="str">
            <v>רד סי אופטיקל נטוורק</v>
          </cell>
          <cell r="B884">
            <v>2004</v>
          </cell>
          <cell r="C884">
            <v>46</v>
          </cell>
          <cell r="D884" t="str">
            <v>ליפובצקי גבי</v>
          </cell>
          <cell r="E884">
            <v>3</v>
          </cell>
          <cell r="F884">
            <v>22</v>
          </cell>
          <cell r="G884" t="str">
            <v>שווי מתנות</v>
          </cell>
          <cell r="H884">
            <v>186.25</v>
          </cell>
          <cell r="I884">
            <v>0</v>
          </cell>
          <cell r="J884" t="str">
            <v>ייצור</v>
          </cell>
        </row>
        <row r="885">
          <cell r="A885" t="str">
            <v>רד סי אופטיקל נטוורק</v>
          </cell>
          <cell r="B885">
            <v>2004</v>
          </cell>
          <cell r="C885">
            <v>46</v>
          </cell>
          <cell r="D885" t="str">
            <v>ליפובצקי גבי</v>
          </cell>
          <cell r="E885">
            <v>3</v>
          </cell>
          <cell r="F885">
            <v>24</v>
          </cell>
          <cell r="G885" t="str">
            <v>שוויארוחות</v>
          </cell>
          <cell r="H885">
            <v>450</v>
          </cell>
          <cell r="I885">
            <v>1</v>
          </cell>
          <cell r="J885" t="str">
            <v>ייצור</v>
          </cell>
        </row>
        <row r="886">
          <cell r="A886" t="str">
            <v>רד סי אופטיקל נטוורק</v>
          </cell>
          <cell r="B886">
            <v>2004</v>
          </cell>
          <cell r="C886">
            <v>46</v>
          </cell>
          <cell r="D886" t="str">
            <v>ליפובצקי גבי</v>
          </cell>
          <cell r="E886">
            <v>4</v>
          </cell>
          <cell r="F886">
            <v>24</v>
          </cell>
          <cell r="G886" t="str">
            <v>שוויארוחות</v>
          </cell>
          <cell r="H886">
            <v>450</v>
          </cell>
          <cell r="I886">
            <v>1</v>
          </cell>
          <cell r="J886" t="str">
            <v>ייצור</v>
          </cell>
        </row>
        <row r="887">
          <cell r="A887" t="str">
            <v>רד סי אופטיקל נטוורק</v>
          </cell>
          <cell r="B887">
            <v>2004</v>
          </cell>
          <cell r="C887">
            <v>46</v>
          </cell>
          <cell r="D887" t="str">
            <v>ליפובצקי גבי</v>
          </cell>
          <cell r="E887">
            <v>5</v>
          </cell>
          <cell r="F887">
            <v>24</v>
          </cell>
          <cell r="G887" t="str">
            <v>שוויארוחות</v>
          </cell>
          <cell r="H887">
            <v>450</v>
          </cell>
          <cell r="I887">
            <v>1</v>
          </cell>
          <cell r="J887" t="str">
            <v>ייצור</v>
          </cell>
        </row>
        <row r="888">
          <cell r="A888" t="str">
            <v>רד סי אופטיקל נטוורק</v>
          </cell>
          <cell r="B888">
            <v>2004</v>
          </cell>
          <cell r="C888">
            <v>46</v>
          </cell>
          <cell r="D888" t="str">
            <v>ליפובצקי גבי</v>
          </cell>
          <cell r="E888">
            <v>6</v>
          </cell>
          <cell r="F888">
            <v>24</v>
          </cell>
          <cell r="G888" t="str">
            <v>שוויארוחות</v>
          </cell>
          <cell r="H888">
            <v>450</v>
          </cell>
          <cell r="I888">
            <v>1</v>
          </cell>
          <cell r="J888" t="str">
            <v>ייצור</v>
          </cell>
        </row>
        <row r="889">
          <cell r="A889" t="str">
            <v>רד סי אופטיקל נטוורק</v>
          </cell>
          <cell r="B889">
            <v>2004</v>
          </cell>
          <cell r="C889">
            <v>46</v>
          </cell>
          <cell r="D889" t="str">
            <v>ליפובצקי גבי</v>
          </cell>
          <cell r="E889">
            <v>7</v>
          </cell>
          <cell r="F889">
            <v>24</v>
          </cell>
          <cell r="G889" t="str">
            <v>שוויארוחות</v>
          </cell>
          <cell r="H889">
            <v>450</v>
          </cell>
          <cell r="I889">
            <v>1</v>
          </cell>
          <cell r="J889" t="str">
            <v>ייצור</v>
          </cell>
        </row>
        <row r="890">
          <cell r="A890" t="str">
            <v>רד סי אופטיקל נטוורק</v>
          </cell>
          <cell r="B890">
            <v>2004</v>
          </cell>
          <cell r="C890">
            <v>46</v>
          </cell>
          <cell r="D890" t="str">
            <v>ליפובצקי גבי</v>
          </cell>
          <cell r="E890">
            <v>8</v>
          </cell>
          <cell r="F890">
            <v>24</v>
          </cell>
          <cell r="G890" t="str">
            <v>שוויארוחות</v>
          </cell>
          <cell r="H890">
            <v>483</v>
          </cell>
          <cell r="I890">
            <v>23</v>
          </cell>
          <cell r="J890" t="str">
            <v>ייצור</v>
          </cell>
        </row>
        <row r="891">
          <cell r="A891" t="str">
            <v>רד סי אופטיקל נטוורק</v>
          </cell>
          <cell r="B891">
            <v>2004</v>
          </cell>
          <cell r="C891">
            <v>46</v>
          </cell>
          <cell r="D891" t="str">
            <v>ליפובצקי גבי</v>
          </cell>
          <cell r="E891">
            <v>9</v>
          </cell>
          <cell r="F891">
            <v>22</v>
          </cell>
          <cell r="G891" t="str">
            <v>שווי מתנות</v>
          </cell>
          <cell r="H891">
            <v>459.25</v>
          </cell>
          <cell r="I891">
            <v>0</v>
          </cell>
          <cell r="J891" t="str">
            <v>ייצור</v>
          </cell>
        </row>
        <row r="892">
          <cell r="A892" t="str">
            <v>רד סי אופטיקל נטוורק</v>
          </cell>
          <cell r="B892">
            <v>2004</v>
          </cell>
          <cell r="C892">
            <v>46</v>
          </cell>
          <cell r="D892" t="str">
            <v>ליפובצקי גבי</v>
          </cell>
          <cell r="E892">
            <v>9</v>
          </cell>
          <cell r="F892">
            <v>24</v>
          </cell>
          <cell r="G892" t="str">
            <v>שוויארוחות</v>
          </cell>
          <cell r="H892">
            <v>378</v>
          </cell>
          <cell r="I892">
            <v>18</v>
          </cell>
          <cell r="J892" t="str">
            <v>ייצור</v>
          </cell>
        </row>
        <row r="893">
          <cell r="A893" t="str">
            <v>רד סי אופטיקל נטוורק</v>
          </cell>
          <cell r="B893">
            <v>2004</v>
          </cell>
          <cell r="C893">
            <v>46</v>
          </cell>
          <cell r="D893" t="str">
            <v>ליפובצקי גבי</v>
          </cell>
          <cell r="E893">
            <v>10</v>
          </cell>
          <cell r="F893">
            <v>24</v>
          </cell>
          <cell r="G893" t="str">
            <v>שוויארוחות</v>
          </cell>
          <cell r="H893">
            <v>399</v>
          </cell>
          <cell r="I893">
            <v>19</v>
          </cell>
          <cell r="J893" t="str">
            <v>ייצור</v>
          </cell>
        </row>
        <row r="894">
          <cell r="A894" t="str">
            <v>רד סי אופטיקל נטוורק</v>
          </cell>
          <cell r="B894">
            <v>2004</v>
          </cell>
          <cell r="C894">
            <v>46</v>
          </cell>
          <cell r="D894" t="str">
            <v>ליפובצקי גבי</v>
          </cell>
          <cell r="E894">
            <v>11</v>
          </cell>
          <cell r="F894">
            <v>24</v>
          </cell>
          <cell r="G894" t="str">
            <v>שוויארוחות</v>
          </cell>
          <cell r="H894">
            <v>441</v>
          </cell>
          <cell r="I894">
            <v>21</v>
          </cell>
          <cell r="J894" t="str">
            <v>ייצור</v>
          </cell>
        </row>
        <row r="895">
          <cell r="A895" t="str">
            <v>רד סי אופטיקל נטוורק</v>
          </cell>
          <cell r="B895">
            <v>2004</v>
          </cell>
          <cell r="C895">
            <v>46</v>
          </cell>
          <cell r="D895" t="str">
            <v>ליפובצקי גבי</v>
          </cell>
          <cell r="E895">
            <v>12</v>
          </cell>
          <cell r="F895">
            <v>22</v>
          </cell>
          <cell r="G895" t="str">
            <v>שווי מתנות</v>
          </cell>
          <cell r="H895">
            <v>0</v>
          </cell>
          <cell r="I895">
            <v>0</v>
          </cell>
          <cell r="J895" t="str">
            <v>ייצור</v>
          </cell>
        </row>
        <row r="896">
          <cell r="A896" t="str">
            <v>רד סי אופטיקל נטוורק</v>
          </cell>
          <cell r="B896">
            <v>2004</v>
          </cell>
          <cell r="C896">
            <v>46</v>
          </cell>
          <cell r="D896" t="str">
            <v>ליפובצקי גבי</v>
          </cell>
          <cell r="E896">
            <v>12</v>
          </cell>
          <cell r="F896">
            <v>24</v>
          </cell>
          <cell r="G896" t="str">
            <v>שוויארוחות</v>
          </cell>
          <cell r="H896">
            <v>462</v>
          </cell>
          <cell r="I896">
            <v>22</v>
          </cell>
          <cell r="J896" t="str">
            <v>ייצור</v>
          </cell>
        </row>
        <row r="897">
          <cell r="A897" t="str">
            <v>רד סי אופטיקל נטוורק</v>
          </cell>
          <cell r="B897">
            <v>2004</v>
          </cell>
          <cell r="C897">
            <v>47</v>
          </cell>
          <cell r="D897" t="str">
            <v>נווה אירית</v>
          </cell>
          <cell r="E897">
            <v>2</v>
          </cell>
          <cell r="F897">
            <v>24</v>
          </cell>
          <cell r="G897" t="str">
            <v>שוויארוחות</v>
          </cell>
          <cell r="H897">
            <v>405</v>
          </cell>
          <cell r="I897">
            <v>0.9</v>
          </cell>
          <cell r="J897" t="str">
            <v>ייצור</v>
          </cell>
        </row>
        <row r="898">
          <cell r="A898" t="str">
            <v>רד סי אופטיקל נטוורק</v>
          </cell>
          <cell r="B898">
            <v>2004</v>
          </cell>
          <cell r="C898">
            <v>47</v>
          </cell>
          <cell r="D898" t="str">
            <v>נווה אירית</v>
          </cell>
          <cell r="E898">
            <v>3</v>
          </cell>
          <cell r="F898">
            <v>22</v>
          </cell>
          <cell r="G898" t="str">
            <v>שווי מתנות</v>
          </cell>
          <cell r="H898">
            <v>186.25</v>
          </cell>
          <cell r="I898">
            <v>0</v>
          </cell>
          <cell r="J898" t="str">
            <v>ייצור</v>
          </cell>
        </row>
        <row r="899">
          <cell r="A899" t="str">
            <v>רד סי אופטיקל נטוורק</v>
          </cell>
          <cell r="B899">
            <v>2004</v>
          </cell>
          <cell r="C899">
            <v>47</v>
          </cell>
          <cell r="D899" t="str">
            <v>נווה אירית</v>
          </cell>
          <cell r="E899">
            <v>3</v>
          </cell>
          <cell r="F899">
            <v>24</v>
          </cell>
          <cell r="G899" t="str">
            <v>שוויארוחות</v>
          </cell>
          <cell r="H899">
            <v>409.5</v>
          </cell>
          <cell r="I899">
            <v>0.91</v>
          </cell>
          <cell r="J899" t="str">
            <v>ייצור</v>
          </cell>
        </row>
        <row r="900">
          <cell r="A900" t="str">
            <v>רד סי אופטיקל נטוורק</v>
          </cell>
          <cell r="B900">
            <v>2004</v>
          </cell>
          <cell r="C900">
            <v>47</v>
          </cell>
          <cell r="D900" t="str">
            <v>נווה אירית</v>
          </cell>
          <cell r="E900">
            <v>4</v>
          </cell>
          <cell r="F900">
            <v>24</v>
          </cell>
          <cell r="G900" t="str">
            <v>שוויארוחות</v>
          </cell>
          <cell r="H900">
            <v>450</v>
          </cell>
          <cell r="I900">
            <v>1</v>
          </cell>
          <cell r="J900" t="str">
            <v>ייצור</v>
          </cell>
        </row>
        <row r="901">
          <cell r="A901" t="str">
            <v>רד סי אופטיקל נטוורק</v>
          </cell>
          <cell r="B901">
            <v>2004</v>
          </cell>
          <cell r="C901">
            <v>47</v>
          </cell>
          <cell r="D901" t="str">
            <v>נווה אירית</v>
          </cell>
          <cell r="E901">
            <v>5</v>
          </cell>
          <cell r="F901">
            <v>24</v>
          </cell>
          <cell r="G901" t="str">
            <v>שוויארוחות</v>
          </cell>
          <cell r="H901">
            <v>450</v>
          </cell>
          <cell r="I901">
            <v>1</v>
          </cell>
          <cell r="J901" t="str">
            <v>ייצור</v>
          </cell>
        </row>
        <row r="902">
          <cell r="A902" t="str">
            <v>רד סי אופטיקל נטוורק</v>
          </cell>
          <cell r="B902">
            <v>2004</v>
          </cell>
          <cell r="C902">
            <v>47</v>
          </cell>
          <cell r="D902" t="str">
            <v>נווה אירית</v>
          </cell>
          <cell r="E902">
            <v>6</v>
          </cell>
          <cell r="F902">
            <v>24</v>
          </cell>
          <cell r="G902" t="str">
            <v>שוויארוחות</v>
          </cell>
          <cell r="H902">
            <v>328.5</v>
          </cell>
          <cell r="I902">
            <v>0.73</v>
          </cell>
          <cell r="J902" t="str">
            <v>ייצור</v>
          </cell>
        </row>
        <row r="903">
          <cell r="A903" t="str">
            <v>רד סי אופטיקל נטוורק</v>
          </cell>
          <cell r="B903">
            <v>2004</v>
          </cell>
          <cell r="C903">
            <v>47</v>
          </cell>
          <cell r="D903" t="str">
            <v>נווה אירית</v>
          </cell>
          <cell r="E903">
            <v>7</v>
          </cell>
          <cell r="F903">
            <v>24</v>
          </cell>
          <cell r="G903" t="str">
            <v>שוויארוחות</v>
          </cell>
          <cell r="H903">
            <v>319.5</v>
          </cell>
          <cell r="I903">
            <v>0.71</v>
          </cell>
          <cell r="J903" t="str">
            <v>ייצור</v>
          </cell>
        </row>
        <row r="904">
          <cell r="A904" t="str">
            <v>רד סי אופטיקל נטוורק</v>
          </cell>
          <cell r="B904">
            <v>2004</v>
          </cell>
          <cell r="C904">
            <v>47</v>
          </cell>
          <cell r="D904" t="str">
            <v>נווה אירית</v>
          </cell>
          <cell r="E904">
            <v>8</v>
          </cell>
          <cell r="F904">
            <v>24</v>
          </cell>
          <cell r="G904" t="str">
            <v>שוויארוחות</v>
          </cell>
          <cell r="H904">
            <v>483</v>
          </cell>
          <cell r="I904">
            <v>23</v>
          </cell>
          <cell r="J904" t="str">
            <v>ייצור</v>
          </cell>
        </row>
        <row r="905">
          <cell r="A905" t="str">
            <v>רד סי אופטיקל נטוורק</v>
          </cell>
          <cell r="B905">
            <v>2004</v>
          </cell>
          <cell r="C905">
            <v>47</v>
          </cell>
          <cell r="D905" t="str">
            <v>נווה אירית</v>
          </cell>
          <cell r="E905">
            <v>9</v>
          </cell>
          <cell r="F905">
            <v>22</v>
          </cell>
          <cell r="G905" t="str">
            <v>שווי מתנות</v>
          </cell>
          <cell r="H905">
            <v>459.25</v>
          </cell>
          <cell r="I905">
            <v>0</v>
          </cell>
          <cell r="J905" t="str">
            <v>ייצור</v>
          </cell>
        </row>
        <row r="906">
          <cell r="A906" t="str">
            <v>רד סי אופטיקל נטוורק</v>
          </cell>
          <cell r="B906">
            <v>2004</v>
          </cell>
          <cell r="C906">
            <v>47</v>
          </cell>
          <cell r="D906" t="str">
            <v>נווה אירית</v>
          </cell>
          <cell r="E906">
            <v>9</v>
          </cell>
          <cell r="F906">
            <v>24</v>
          </cell>
          <cell r="G906" t="str">
            <v>שוויארוחות</v>
          </cell>
          <cell r="H906">
            <v>378</v>
          </cell>
          <cell r="I906">
            <v>18</v>
          </cell>
          <cell r="J906" t="str">
            <v>ייצור</v>
          </cell>
        </row>
        <row r="907">
          <cell r="A907" t="str">
            <v>רד סי אופטיקל נטוורק</v>
          </cell>
          <cell r="B907">
            <v>2004</v>
          </cell>
          <cell r="C907">
            <v>47</v>
          </cell>
          <cell r="D907" t="str">
            <v>נווה אירית</v>
          </cell>
          <cell r="E907">
            <v>10</v>
          </cell>
          <cell r="F907">
            <v>24</v>
          </cell>
          <cell r="G907" t="str">
            <v>שוויארוחות</v>
          </cell>
          <cell r="H907">
            <v>399</v>
          </cell>
          <cell r="I907">
            <v>19</v>
          </cell>
          <cell r="J907" t="str">
            <v>ייצור</v>
          </cell>
        </row>
        <row r="908">
          <cell r="A908" t="str">
            <v>רד סי אופטיקל נטוורק</v>
          </cell>
          <cell r="B908">
            <v>2004</v>
          </cell>
          <cell r="C908">
            <v>47</v>
          </cell>
          <cell r="D908" t="str">
            <v>נווה אירית</v>
          </cell>
          <cell r="E908">
            <v>11</v>
          </cell>
          <cell r="F908">
            <v>24</v>
          </cell>
          <cell r="G908" t="str">
            <v>שוויארוחות</v>
          </cell>
          <cell r="H908">
            <v>441</v>
          </cell>
          <cell r="I908">
            <v>21</v>
          </cell>
          <cell r="J908" t="str">
            <v>ייצור</v>
          </cell>
        </row>
        <row r="909">
          <cell r="A909" t="str">
            <v>רד סי אופטיקל נטוורק</v>
          </cell>
          <cell r="B909">
            <v>2004</v>
          </cell>
          <cell r="C909">
            <v>47</v>
          </cell>
          <cell r="D909" t="str">
            <v>נווה אירית</v>
          </cell>
          <cell r="E909">
            <v>12</v>
          </cell>
          <cell r="F909">
            <v>22</v>
          </cell>
          <cell r="G909" t="str">
            <v>שווי מתנות</v>
          </cell>
          <cell r="H909">
            <v>0</v>
          </cell>
          <cell r="I909">
            <v>0</v>
          </cell>
          <cell r="J909" t="str">
            <v>ייצור</v>
          </cell>
        </row>
        <row r="910">
          <cell r="A910" t="str">
            <v>רד סי אופטיקל נטוורק</v>
          </cell>
          <cell r="B910">
            <v>2004</v>
          </cell>
          <cell r="C910">
            <v>47</v>
          </cell>
          <cell r="D910" t="str">
            <v>נווה אירית</v>
          </cell>
          <cell r="E910">
            <v>12</v>
          </cell>
          <cell r="F910">
            <v>24</v>
          </cell>
          <cell r="G910" t="str">
            <v>שוויארוחות</v>
          </cell>
          <cell r="H910">
            <v>462</v>
          </cell>
          <cell r="I910">
            <v>22</v>
          </cell>
          <cell r="J910" t="str">
            <v>ייצור</v>
          </cell>
        </row>
        <row r="911">
          <cell r="A911" t="str">
            <v>רד סי אופטיקל נטוורק</v>
          </cell>
          <cell r="B911">
            <v>2004</v>
          </cell>
          <cell r="C911">
            <v>48</v>
          </cell>
          <cell r="D911" t="str">
            <v>נחמיאס ברוך</v>
          </cell>
          <cell r="E911">
            <v>2</v>
          </cell>
          <cell r="F911">
            <v>24</v>
          </cell>
          <cell r="G911" t="str">
            <v>שוויארוחות</v>
          </cell>
          <cell r="H911">
            <v>450</v>
          </cell>
          <cell r="I911">
            <v>1</v>
          </cell>
          <cell r="J911" t="str">
            <v>ייצור</v>
          </cell>
        </row>
        <row r="912">
          <cell r="A912" t="str">
            <v>רד סי אופטיקל נטוורק</v>
          </cell>
          <cell r="B912">
            <v>2004</v>
          </cell>
          <cell r="C912">
            <v>48</v>
          </cell>
          <cell r="D912" t="str">
            <v>נחמיאס ברוך</v>
          </cell>
          <cell r="E912">
            <v>3</v>
          </cell>
          <cell r="F912">
            <v>22</v>
          </cell>
          <cell r="G912" t="str">
            <v>שווי מתנות</v>
          </cell>
          <cell r="H912">
            <v>186.25</v>
          </cell>
          <cell r="I912">
            <v>0</v>
          </cell>
          <cell r="J912" t="str">
            <v>תפעול</v>
          </cell>
        </row>
        <row r="913">
          <cell r="A913" t="str">
            <v>רד סי אופטיקל נטוורק</v>
          </cell>
          <cell r="B913">
            <v>2004</v>
          </cell>
          <cell r="C913">
            <v>48</v>
          </cell>
          <cell r="D913" t="str">
            <v>נחמיאס ברוך</v>
          </cell>
          <cell r="E913">
            <v>3</v>
          </cell>
          <cell r="F913">
            <v>24</v>
          </cell>
          <cell r="G913" t="str">
            <v>שוויארוחות</v>
          </cell>
          <cell r="H913">
            <v>450</v>
          </cell>
          <cell r="I913">
            <v>1</v>
          </cell>
          <cell r="J913" t="str">
            <v>תפעול</v>
          </cell>
        </row>
        <row r="914">
          <cell r="A914" t="str">
            <v>רד סי אופטיקל נטוורק</v>
          </cell>
          <cell r="B914">
            <v>2004</v>
          </cell>
          <cell r="C914">
            <v>48</v>
          </cell>
          <cell r="D914" t="str">
            <v>נחמיאס ברוך</v>
          </cell>
          <cell r="E914">
            <v>4</v>
          </cell>
          <cell r="F914">
            <v>24</v>
          </cell>
          <cell r="G914" t="str">
            <v>שוויארוחות</v>
          </cell>
          <cell r="H914">
            <v>450</v>
          </cell>
          <cell r="I914">
            <v>1</v>
          </cell>
          <cell r="J914" t="str">
            <v>תפעול</v>
          </cell>
        </row>
        <row r="915">
          <cell r="A915" t="str">
            <v>רד סי אופטיקל נטוורק</v>
          </cell>
          <cell r="B915">
            <v>2004</v>
          </cell>
          <cell r="C915">
            <v>48</v>
          </cell>
          <cell r="D915" t="str">
            <v>נחמיאס ברוך</v>
          </cell>
          <cell r="E915">
            <v>5</v>
          </cell>
          <cell r="F915">
            <v>24</v>
          </cell>
          <cell r="G915" t="str">
            <v>שוויארוחות</v>
          </cell>
          <cell r="H915">
            <v>450</v>
          </cell>
          <cell r="I915">
            <v>1</v>
          </cell>
          <cell r="J915" t="str">
            <v>תפעול</v>
          </cell>
        </row>
        <row r="916">
          <cell r="A916" t="str">
            <v>רד סי אופטיקל נטוורק</v>
          </cell>
          <cell r="B916">
            <v>2004</v>
          </cell>
          <cell r="C916">
            <v>48</v>
          </cell>
          <cell r="D916" t="str">
            <v>נחמיאס ברוך</v>
          </cell>
          <cell r="E916">
            <v>6</v>
          </cell>
          <cell r="F916">
            <v>24</v>
          </cell>
          <cell r="G916" t="str">
            <v>שוויארוחות</v>
          </cell>
          <cell r="H916">
            <v>450</v>
          </cell>
          <cell r="I916">
            <v>1</v>
          </cell>
          <cell r="J916" t="str">
            <v>תפעול</v>
          </cell>
        </row>
        <row r="917">
          <cell r="A917" t="str">
            <v>רד סי אופטיקל נטוורק</v>
          </cell>
          <cell r="B917">
            <v>2004</v>
          </cell>
          <cell r="C917">
            <v>48</v>
          </cell>
          <cell r="D917" t="str">
            <v>נחמיאס ברוך</v>
          </cell>
          <cell r="E917">
            <v>7</v>
          </cell>
          <cell r="F917">
            <v>24</v>
          </cell>
          <cell r="G917" t="str">
            <v>שוויארוחות</v>
          </cell>
          <cell r="H917">
            <v>450</v>
          </cell>
          <cell r="I917">
            <v>1</v>
          </cell>
          <cell r="J917" t="str">
            <v>תפעול</v>
          </cell>
        </row>
        <row r="918">
          <cell r="A918" t="str">
            <v>רד סי אופטיקל נטוורק</v>
          </cell>
          <cell r="B918">
            <v>2004</v>
          </cell>
          <cell r="C918">
            <v>48</v>
          </cell>
          <cell r="D918" t="str">
            <v>נחמיאס ברוך</v>
          </cell>
          <cell r="E918">
            <v>8</v>
          </cell>
          <cell r="F918">
            <v>24</v>
          </cell>
          <cell r="G918" t="str">
            <v>שוויארוחות</v>
          </cell>
          <cell r="H918">
            <v>483</v>
          </cell>
          <cell r="I918">
            <v>23</v>
          </cell>
          <cell r="J918" t="str">
            <v>תפעול</v>
          </cell>
        </row>
        <row r="919">
          <cell r="A919" t="str">
            <v>רד סי אופטיקל נטוורק</v>
          </cell>
          <cell r="B919">
            <v>2004</v>
          </cell>
          <cell r="C919">
            <v>48</v>
          </cell>
          <cell r="D919" t="str">
            <v>נחמיאס ברוך</v>
          </cell>
          <cell r="E919">
            <v>9</v>
          </cell>
          <cell r="F919">
            <v>22</v>
          </cell>
          <cell r="G919" t="str">
            <v>שווי מתנות</v>
          </cell>
          <cell r="H919">
            <v>459.25</v>
          </cell>
          <cell r="I919">
            <v>0</v>
          </cell>
          <cell r="J919" t="str">
            <v>תפעול</v>
          </cell>
        </row>
        <row r="920">
          <cell r="A920" t="str">
            <v>רד סי אופטיקל נטוורק</v>
          </cell>
          <cell r="B920">
            <v>2004</v>
          </cell>
          <cell r="C920">
            <v>48</v>
          </cell>
          <cell r="D920" t="str">
            <v>נחמיאס ברוך</v>
          </cell>
          <cell r="E920">
            <v>9</v>
          </cell>
          <cell r="F920">
            <v>24</v>
          </cell>
          <cell r="G920" t="str">
            <v>שוויארוחות</v>
          </cell>
          <cell r="H920">
            <v>378</v>
          </cell>
          <cell r="I920">
            <v>18</v>
          </cell>
          <cell r="J920" t="str">
            <v>תפעול</v>
          </cell>
        </row>
        <row r="921">
          <cell r="A921" t="str">
            <v>רד סי אופטיקל נטוורק</v>
          </cell>
          <cell r="B921">
            <v>2004</v>
          </cell>
          <cell r="C921">
            <v>48</v>
          </cell>
          <cell r="D921" t="str">
            <v>נחמיאס ברוך</v>
          </cell>
          <cell r="E921">
            <v>10</v>
          </cell>
          <cell r="F921">
            <v>24</v>
          </cell>
          <cell r="G921" t="str">
            <v>שוויארוחות</v>
          </cell>
          <cell r="H921">
            <v>399</v>
          </cell>
          <cell r="I921">
            <v>19</v>
          </cell>
          <cell r="J921" t="str">
            <v>תפעול</v>
          </cell>
        </row>
        <row r="922">
          <cell r="A922" t="str">
            <v>רד סי אופטיקל נטוורק</v>
          </cell>
          <cell r="B922">
            <v>2004</v>
          </cell>
          <cell r="C922">
            <v>48</v>
          </cell>
          <cell r="D922" t="str">
            <v>נחמיאס ברוך</v>
          </cell>
          <cell r="E922">
            <v>11</v>
          </cell>
          <cell r="F922">
            <v>24</v>
          </cell>
          <cell r="G922" t="str">
            <v>שוויארוחות</v>
          </cell>
          <cell r="H922">
            <v>441</v>
          </cell>
          <cell r="I922">
            <v>21</v>
          </cell>
          <cell r="J922" t="str">
            <v>תפעול</v>
          </cell>
        </row>
        <row r="923">
          <cell r="A923" t="str">
            <v>רד סי אופטיקל נטוורק</v>
          </cell>
          <cell r="B923">
            <v>2004</v>
          </cell>
          <cell r="C923">
            <v>48</v>
          </cell>
          <cell r="D923" t="str">
            <v>נחמיאס ברוך</v>
          </cell>
          <cell r="E923">
            <v>12</v>
          </cell>
          <cell r="F923">
            <v>22</v>
          </cell>
          <cell r="G923" t="str">
            <v>שווי מתנות</v>
          </cell>
          <cell r="H923">
            <v>0</v>
          </cell>
          <cell r="I923">
            <v>0</v>
          </cell>
          <cell r="J923" t="str">
            <v>תפעול</v>
          </cell>
        </row>
        <row r="924">
          <cell r="A924" t="str">
            <v>רד סי אופטיקל נטוורק</v>
          </cell>
          <cell r="B924">
            <v>2004</v>
          </cell>
          <cell r="C924">
            <v>48</v>
          </cell>
          <cell r="D924" t="str">
            <v>נחמיאס ברוך</v>
          </cell>
          <cell r="E924">
            <v>12</v>
          </cell>
          <cell r="F924">
            <v>24</v>
          </cell>
          <cell r="G924" t="str">
            <v>שוויארוחות</v>
          </cell>
          <cell r="H924">
            <v>462</v>
          </cell>
          <cell r="I924">
            <v>22</v>
          </cell>
          <cell r="J924" t="str">
            <v>תפעול</v>
          </cell>
        </row>
        <row r="925">
          <cell r="A925" t="str">
            <v>רד סי אופטיקל נטוורק</v>
          </cell>
          <cell r="B925">
            <v>2004</v>
          </cell>
          <cell r="C925">
            <v>49</v>
          </cell>
          <cell r="D925" t="str">
            <v>גולפיז יוסי</v>
          </cell>
          <cell r="E925">
            <v>2</v>
          </cell>
          <cell r="F925">
            <v>24</v>
          </cell>
          <cell r="G925" t="str">
            <v>שוויארוחות</v>
          </cell>
          <cell r="H925">
            <v>234</v>
          </cell>
          <cell r="I925">
            <v>0.52</v>
          </cell>
          <cell r="J925" t="str">
            <v>ייצור</v>
          </cell>
        </row>
        <row r="926">
          <cell r="A926" t="str">
            <v>רד סי אופטיקל נטוורק</v>
          </cell>
          <cell r="B926">
            <v>2004</v>
          </cell>
          <cell r="C926">
            <v>49</v>
          </cell>
          <cell r="D926" t="str">
            <v>גולפיז יוסי</v>
          </cell>
          <cell r="E926">
            <v>3</v>
          </cell>
          <cell r="F926">
            <v>22</v>
          </cell>
          <cell r="G926" t="str">
            <v>שווי מתנות</v>
          </cell>
          <cell r="H926">
            <v>186.25</v>
          </cell>
          <cell r="I926">
            <v>0</v>
          </cell>
          <cell r="J926" t="str">
            <v>ייצור</v>
          </cell>
        </row>
        <row r="927">
          <cell r="A927" t="str">
            <v>רד סי אופטיקל נטוורק</v>
          </cell>
          <cell r="B927">
            <v>2004</v>
          </cell>
          <cell r="C927">
            <v>49</v>
          </cell>
          <cell r="D927" t="str">
            <v>גולפיז יוסי</v>
          </cell>
          <cell r="E927">
            <v>3</v>
          </cell>
          <cell r="F927">
            <v>24</v>
          </cell>
          <cell r="G927" t="str">
            <v>שוויארוחות</v>
          </cell>
          <cell r="H927">
            <v>450</v>
          </cell>
          <cell r="I927">
            <v>1</v>
          </cell>
          <cell r="J927" t="str">
            <v>ייצור</v>
          </cell>
        </row>
        <row r="928">
          <cell r="A928" t="str">
            <v>רד סי אופטיקל נטוורק</v>
          </cell>
          <cell r="B928">
            <v>2004</v>
          </cell>
          <cell r="C928">
            <v>49</v>
          </cell>
          <cell r="D928" t="str">
            <v>גולפיז יוסי</v>
          </cell>
          <cell r="E928">
            <v>4</v>
          </cell>
          <cell r="F928">
            <v>24</v>
          </cell>
          <cell r="G928" t="str">
            <v>שוויארוחות</v>
          </cell>
          <cell r="H928">
            <v>450</v>
          </cell>
          <cell r="I928">
            <v>1</v>
          </cell>
          <cell r="J928" t="str">
            <v>ייצור</v>
          </cell>
        </row>
        <row r="929">
          <cell r="A929" t="str">
            <v>רד סי אופטיקל נטוורק</v>
          </cell>
          <cell r="B929">
            <v>2004</v>
          </cell>
          <cell r="C929">
            <v>49</v>
          </cell>
          <cell r="D929" t="str">
            <v>גולפיז יוסי</v>
          </cell>
          <cell r="E929">
            <v>5</v>
          </cell>
          <cell r="F929">
            <v>24</v>
          </cell>
          <cell r="G929" t="str">
            <v>שוויארוחות</v>
          </cell>
          <cell r="H929">
            <v>450</v>
          </cell>
          <cell r="I929">
            <v>1</v>
          </cell>
          <cell r="J929" t="str">
            <v>ייצור</v>
          </cell>
        </row>
        <row r="930">
          <cell r="A930" t="str">
            <v>רד סי אופטיקל נטוורק</v>
          </cell>
          <cell r="B930">
            <v>2004</v>
          </cell>
          <cell r="C930">
            <v>49</v>
          </cell>
          <cell r="D930" t="str">
            <v>גולפיז יוסי</v>
          </cell>
          <cell r="E930">
            <v>6</v>
          </cell>
          <cell r="F930">
            <v>24</v>
          </cell>
          <cell r="G930" t="str">
            <v>שוויארוחות</v>
          </cell>
          <cell r="H930">
            <v>450</v>
          </cell>
          <cell r="I930">
            <v>1</v>
          </cell>
          <cell r="J930" t="str">
            <v>ייצור</v>
          </cell>
        </row>
        <row r="931">
          <cell r="A931" t="str">
            <v>רד סי אופטיקל נטוורק</v>
          </cell>
          <cell r="B931">
            <v>2004</v>
          </cell>
          <cell r="C931">
            <v>49</v>
          </cell>
          <cell r="D931" t="str">
            <v>גולפיז יוסי</v>
          </cell>
          <cell r="E931">
            <v>7</v>
          </cell>
          <cell r="F931">
            <v>24</v>
          </cell>
          <cell r="G931" t="str">
            <v>שוויארוחות</v>
          </cell>
          <cell r="H931">
            <v>450</v>
          </cell>
          <cell r="I931">
            <v>1</v>
          </cell>
          <cell r="J931" t="str">
            <v>ייצור</v>
          </cell>
        </row>
        <row r="932">
          <cell r="A932" t="str">
            <v>רד סי אופטיקל נטוורק</v>
          </cell>
          <cell r="B932">
            <v>2004</v>
          </cell>
          <cell r="C932">
            <v>49</v>
          </cell>
          <cell r="D932" t="str">
            <v>גולפיז יוסי</v>
          </cell>
          <cell r="E932">
            <v>8</v>
          </cell>
          <cell r="F932">
            <v>24</v>
          </cell>
          <cell r="G932" t="str">
            <v>שוויארוחות</v>
          </cell>
          <cell r="H932">
            <v>483</v>
          </cell>
          <cell r="I932">
            <v>23</v>
          </cell>
          <cell r="J932" t="str">
            <v>ייצור</v>
          </cell>
        </row>
        <row r="933">
          <cell r="A933" t="str">
            <v>רד סי אופטיקל נטוורק</v>
          </cell>
          <cell r="B933">
            <v>2004</v>
          </cell>
          <cell r="C933">
            <v>49</v>
          </cell>
          <cell r="D933" t="str">
            <v>גולפיז יוסי</v>
          </cell>
          <cell r="E933">
            <v>9</v>
          </cell>
          <cell r="F933">
            <v>22</v>
          </cell>
          <cell r="G933" t="str">
            <v>שווי מתנות</v>
          </cell>
          <cell r="H933">
            <v>459.25</v>
          </cell>
          <cell r="I933">
            <v>0</v>
          </cell>
          <cell r="J933" t="str">
            <v>ייצור</v>
          </cell>
        </row>
        <row r="934">
          <cell r="A934" t="str">
            <v>רד סי אופטיקל נטוורק</v>
          </cell>
          <cell r="B934">
            <v>2004</v>
          </cell>
          <cell r="C934">
            <v>49</v>
          </cell>
          <cell r="D934" t="str">
            <v>גולפיז יוסי</v>
          </cell>
          <cell r="E934">
            <v>9</v>
          </cell>
          <cell r="F934">
            <v>24</v>
          </cell>
          <cell r="G934" t="str">
            <v>שוויארוחות</v>
          </cell>
          <cell r="H934">
            <v>378</v>
          </cell>
          <cell r="I934">
            <v>18</v>
          </cell>
          <cell r="J934" t="str">
            <v>ייצור</v>
          </cell>
        </row>
        <row r="935">
          <cell r="A935" t="str">
            <v>רד סי אופטיקל נטוורק</v>
          </cell>
          <cell r="B935">
            <v>2004</v>
          </cell>
          <cell r="C935">
            <v>49</v>
          </cell>
          <cell r="D935" t="str">
            <v>גולפיז יוסי</v>
          </cell>
          <cell r="E935">
            <v>10</v>
          </cell>
          <cell r="F935">
            <v>24</v>
          </cell>
          <cell r="G935" t="str">
            <v>שוויארוחות</v>
          </cell>
          <cell r="H935">
            <v>399</v>
          </cell>
          <cell r="I935">
            <v>19</v>
          </cell>
          <cell r="J935" t="str">
            <v>ייצור</v>
          </cell>
        </row>
        <row r="936">
          <cell r="A936" t="str">
            <v>רד סי אופטיקל נטוורק</v>
          </cell>
          <cell r="B936">
            <v>2004</v>
          </cell>
          <cell r="C936">
            <v>49</v>
          </cell>
          <cell r="D936" t="str">
            <v>גולפיז יוסי</v>
          </cell>
          <cell r="E936">
            <v>11</v>
          </cell>
          <cell r="F936">
            <v>24</v>
          </cell>
          <cell r="G936" t="str">
            <v>שוויארוחות</v>
          </cell>
          <cell r="H936">
            <v>441</v>
          </cell>
          <cell r="I936">
            <v>21</v>
          </cell>
          <cell r="J936" t="str">
            <v>ייצור</v>
          </cell>
        </row>
        <row r="937">
          <cell r="A937" t="str">
            <v>רד סי אופטיקל נטוורק</v>
          </cell>
          <cell r="B937">
            <v>2004</v>
          </cell>
          <cell r="C937">
            <v>49</v>
          </cell>
          <cell r="D937" t="str">
            <v>גולפיז יוסי</v>
          </cell>
          <cell r="E937">
            <v>12</v>
          </cell>
          <cell r="F937">
            <v>22</v>
          </cell>
          <cell r="G937" t="str">
            <v>שווי מתנות</v>
          </cell>
          <cell r="H937">
            <v>0</v>
          </cell>
          <cell r="I937">
            <v>0</v>
          </cell>
          <cell r="J937" t="str">
            <v>ייצור</v>
          </cell>
        </row>
        <row r="938">
          <cell r="A938" t="str">
            <v>רד סי אופטיקל נטוורק</v>
          </cell>
          <cell r="B938">
            <v>2004</v>
          </cell>
          <cell r="C938">
            <v>49</v>
          </cell>
          <cell r="D938" t="str">
            <v>גולפיז יוסי</v>
          </cell>
          <cell r="E938">
            <v>12</v>
          </cell>
          <cell r="F938">
            <v>24</v>
          </cell>
          <cell r="G938" t="str">
            <v>שוויארוחות</v>
          </cell>
          <cell r="H938">
            <v>462</v>
          </cell>
          <cell r="I938">
            <v>22</v>
          </cell>
          <cell r="J938" t="str">
            <v>ייצור</v>
          </cell>
        </row>
        <row r="939">
          <cell r="A939" t="str">
            <v>רד סי אופטיקל נטוורק</v>
          </cell>
          <cell r="B939">
            <v>2004</v>
          </cell>
          <cell r="C939">
            <v>50</v>
          </cell>
          <cell r="D939" t="str">
            <v>קניופפר אנטולי</v>
          </cell>
          <cell r="E939">
            <v>2</v>
          </cell>
          <cell r="F939">
            <v>24</v>
          </cell>
          <cell r="G939" t="str">
            <v>שוויארוחות</v>
          </cell>
          <cell r="H939">
            <v>130.5</v>
          </cell>
          <cell r="I939">
            <v>0.28999999999999998</v>
          </cell>
          <cell r="J939" t="str">
            <v>ייצור</v>
          </cell>
        </row>
        <row r="940">
          <cell r="A940" t="str">
            <v>רד סי אופטיקל נטוורק</v>
          </cell>
          <cell r="B940">
            <v>2004</v>
          </cell>
          <cell r="C940">
            <v>50</v>
          </cell>
          <cell r="D940" t="str">
            <v>קניופפר אנטולי</v>
          </cell>
          <cell r="E940">
            <v>3</v>
          </cell>
          <cell r="F940">
            <v>22</v>
          </cell>
          <cell r="G940" t="str">
            <v>שווי מתנות</v>
          </cell>
          <cell r="H940">
            <v>186.25</v>
          </cell>
          <cell r="I940">
            <v>0</v>
          </cell>
          <cell r="J940" t="str">
            <v>ייצור</v>
          </cell>
        </row>
        <row r="941">
          <cell r="A941" t="str">
            <v>רד סי אופטיקל נטוורק</v>
          </cell>
          <cell r="B941">
            <v>2004</v>
          </cell>
          <cell r="C941">
            <v>50</v>
          </cell>
          <cell r="D941" t="str">
            <v>קניופפר אנטולי</v>
          </cell>
          <cell r="E941">
            <v>3</v>
          </cell>
          <cell r="F941">
            <v>24</v>
          </cell>
          <cell r="G941" t="str">
            <v>שוויארוחות</v>
          </cell>
          <cell r="H941">
            <v>450</v>
          </cell>
          <cell r="I941">
            <v>1</v>
          </cell>
          <cell r="J941" t="str">
            <v>ייצור</v>
          </cell>
        </row>
        <row r="942">
          <cell r="A942" t="str">
            <v>רד סי אופטיקל נטוורק</v>
          </cell>
          <cell r="B942">
            <v>2004</v>
          </cell>
          <cell r="C942">
            <v>50</v>
          </cell>
          <cell r="D942" t="str">
            <v>קניופפר אנטולי</v>
          </cell>
          <cell r="E942">
            <v>4</v>
          </cell>
          <cell r="F942">
            <v>24</v>
          </cell>
          <cell r="G942" t="str">
            <v>שוויארוחות</v>
          </cell>
          <cell r="H942">
            <v>450</v>
          </cell>
          <cell r="I942">
            <v>1</v>
          </cell>
          <cell r="J942" t="str">
            <v>תפעול</v>
          </cell>
        </row>
        <row r="943">
          <cell r="A943" t="str">
            <v>רד סי אופטיקל נטוורק</v>
          </cell>
          <cell r="B943">
            <v>2004</v>
          </cell>
          <cell r="C943">
            <v>50</v>
          </cell>
          <cell r="D943" t="str">
            <v>קניופפר אנטולי</v>
          </cell>
          <cell r="E943">
            <v>5</v>
          </cell>
          <cell r="F943">
            <v>24</v>
          </cell>
          <cell r="G943" t="str">
            <v>שוויארוחות</v>
          </cell>
          <cell r="H943">
            <v>450</v>
          </cell>
          <cell r="I943">
            <v>1</v>
          </cell>
          <cell r="J943" t="str">
            <v>תפעול</v>
          </cell>
        </row>
        <row r="944">
          <cell r="A944" t="str">
            <v>רד סי אופטיקל נטוורק</v>
          </cell>
          <cell r="B944">
            <v>2004</v>
          </cell>
          <cell r="C944">
            <v>50</v>
          </cell>
          <cell r="D944" t="str">
            <v>קניופפר אנטולי</v>
          </cell>
          <cell r="E944">
            <v>6</v>
          </cell>
          <cell r="F944">
            <v>24</v>
          </cell>
          <cell r="G944" t="str">
            <v>שוויארוחות</v>
          </cell>
          <cell r="H944">
            <v>450</v>
          </cell>
          <cell r="I944">
            <v>1</v>
          </cell>
          <cell r="J944" t="str">
            <v>תפעול</v>
          </cell>
        </row>
        <row r="945">
          <cell r="A945" t="str">
            <v>רד סי אופטיקל נטוורק</v>
          </cell>
          <cell r="B945">
            <v>2004</v>
          </cell>
          <cell r="C945">
            <v>50</v>
          </cell>
          <cell r="D945" t="str">
            <v>קניופפר אנטולי</v>
          </cell>
          <cell r="E945">
            <v>7</v>
          </cell>
          <cell r="F945">
            <v>24</v>
          </cell>
          <cell r="G945" t="str">
            <v>שוויארוחות</v>
          </cell>
          <cell r="H945">
            <v>450</v>
          </cell>
          <cell r="I945">
            <v>1</v>
          </cell>
          <cell r="J945" t="str">
            <v>תפעול</v>
          </cell>
        </row>
        <row r="946">
          <cell r="A946" t="str">
            <v>רד סי אופטיקל נטוורק</v>
          </cell>
          <cell r="B946">
            <v>2004</v>
          </cell>
          <cell r="C946">
            <v>50</v>
          </cell>
          <cell r="D946" t="str">
            <v>קניופפר אנטולי</v>
          </cell>
          <cell r="E946">
            <v>8</v>
          </cell>
          <cell r="F946">
            <v>24</v>
          </cell>
          <cell r="G946" t="str">
            <v>שוויארוחות</v>
          </cell>
          <cell r="H946">
            <v>483</v>
          </cell>
          <cell r="I946">
            <v>23</v>
          </cell>
          <cell r="J946" t="str">
            <v>תפעול</v>
          </cell>
        </row>
        <row r="947">
          <cell r="A947" t="str">
            <v>רד סי אופטיקל נטוורק</v>
          </cell>
          <cell r="B947">
            <v>2004</v>
          </cell>
          <cell r="C947">
            <v>50</v>
          </cell>
          <cell r="D947" t="str">
            <v>קניופפר אנטולי</v>
          </cell>
          <cell r="E947">
            <v>9</v>
          </cell>
          <cell r="F947">
            <v>22</v>
          </cell>
          <cell r="G947" t="str">
            <v>שווי מתנות</v>
          </cell>
          <cell r="H947">
            <v>459.25</v>
          </cell>
          <cell r="I947">
            <v>0</v>
          </cell>
          <cell r="J947" t="str">
            <v>תפעול</v>
          </cell>
        </row>
        <row r="948">
          <cell r="A948" t="str">
            <v>רד סי אופטיקל נטוורק</v>
          </cell>
          <cell r="B948">
            <v>2004</v>
          </cell>
          <cell r="C948">
            <v>50</v>
          </cell>
          <cell r="D948" t="str">
            <v>קניופפר אנטולי</v>
          </cell>
          <cell r="E948">
            <v>9</v>
          </cell>
          <cell r="F948">
            <v>24</v>
          </cell>
          <cell r="G948" t="str">
            <v>שוויארוחות</v>
          </cell>
          <cell r="H948">
            <v>378</v>
          </cell>
          <cell r="I948">
            <v>18</v>
          </cell>
          <cell r="J948" t="str">
            <v>תפעול</v>
          </cell>
        </row>
        <row r="949">
          <cell r="A949" t="str">
            <v>רד סי אופטיקל נטוורק</v>
          </cell>
          <cell r="B949">
            <v>2004</v>
          </cell>
          <cell r="C949">
            <v>50</v>
          </cell>
          <cell r="D949" t="str">
            <v>קניופפר אנטולי</v>
          </cell>
          <cell r="E949">
            <v>10</v>
          </cell>
          <cell r="F949">
            <v>24</v>
          </cell>
          <cell r="G949" t="str">
            <v>שוויארוחות</v>
          </cell>
          <cell r="H949">
            <v>399</v>
          </cell>
          <cell r="I949">
            <v>19</v>
          </cell>
          <cell r="J949" t="str">
            <v>תפעול</v>
          </cell>
        </row>
        <row r="950">
          <cell r="A950" t="str">
            <v>רד סי אופטיקל נטוורק</v>
          </cell>
          <cell r="B950">
            <v>2004</v>
          </cell>
          <cell r="C950">
            <v>50</v>
          </cell>
          <cell r="D950" t="str">
            <v>קניופפר אנטולי</v>
          </cell>
          <cell r="E950">
            <v>11</v>
          </cell>
          <cell r="F950">
            <v>24</v>
          </cell>
          <cell r="G950" t="str">
            <v>שוויארוחות</v>
          </cell>
          <cell r="H950">
            <v>441</v>
          </cell>
          <cell r="I950">
            <v>21</v>
          </cell>
          <cell r="J950" t="str">
            <v>תפעול</v>
          </cell>
        </row>
        <row r="951">
          <cell r="A951" t="str">
            <v>רד סי אופטיקל נטוורק</v>
          </cell>
          <cell r="B951">
            <v>2004</v>
          </cell>
          <cell r="C951">
            <v>50</v>
          </cell>
          <cell r="D951" t="str">
            <v>קניופפר אנטולי</v>
          </cell>
          <cell r="E951">
            <v>12</v>
          </cell>
          <cell r="F951">
            <v>22</v>
          </cell>
          <cell r="G951" t="str">
            <v>שווי מתנות</v>
          </cell>
          <cell r="H951">
            <v>0</v>
          </cell>
          <cell r="I951">
            <v>0</v>
          </cell>
          <cell r="J951" t="str">
            <v>תפעול</v>
          </cell>
        </row>
        <row r="952">
          <cell r="A952" t="str">
            <v>רד סי אופטיקל נטוורק</v>
          </cell>
          <cell r="B952">
            <v>2004</v>
          </cell>
          <cell r="C952">
            <v>50</v>
          </cell>
          <cell r="D952" t="str">
            <v>קניופפר אנטולי</v>
          </cell>
          <cell r="E952">
            <v>12</v>
          </cell>
          <cell r="F952">
            <v>24</v>
          </cell>
          <cell r="G952" t="str">
            <v>שוויארוחות</v>
          </cell>
          <cell r="H952">
            <v>462</v>
          </cell>
          <cell r="I952">
            <v>22</v>
          </cell>
          <cell r="J952" t="str">
            <v>תפעול</v>
          </cell>
        </row>
        <row r="953">
          <cell r="A953" t="str">
            <v>רד סי אופטיקל נטוורק</v>
          </cell>
          <cell r="B953">
            <v>2004</v>
          </cell>
          <cell r="C953">
            <v>51</v>
          </cell>
          <cell r="D953" t="str">
            <v>סלמון דוד</v>
          </cell>
          <cell r="E953">
            <v>3</v>
          </cell>
          <cell r="F953">
            <v>22</v>
          </cell>
          <cell r="G953" t="str">
            <v>שווי מתנות</v>
          </cell>
          <cell r="H953">
            <v>186.25</v>
          </cell>
          <cell r="I953">
            <v>0</v>
          </cell>
          <cell r="J953" t="str">
            <v>תפעול</v>
          </cell>
        </row>
        <row r="954">
          <cell r="A954" t="str">
            <v>רד סי אופטיקל נטוורק</v>
          </cell>
          <cell r="B954">
            <v>2004</v>
          </cell>
          <cell r="C954">
            <v>51</v>
          </cell>
          <cell r="D954" t="str">
            <v>סלמון דוד</v>
          </cell>
          <cell r="E954">
            <v>3</v>
          </cell>
          <cell r="F954">
            <v>24</v>
          </cell>
          <cell r="G954" t="str">
            <v>שוויארוחות</v>
          </cell>
          <cell r="H954">
            <v>450</v>
          </cell>
          <cell r="I954">
            <v>1</v>
          </cell>
          <cell r="J954" t="str">
            <v>תפעול</v>
          </cell>
        </row>
        <row r="955">
          <cell r="A955" t="str">
            <v>רד סי אופטיקל נטוורק</v>
          </cell>
          <cell r="B955">
            <v>2004</v>
          </cell>
          <cell r="C955">
            <v>51</v>
          </cell>
          <cell r="D955" t="str">
            <v>סלמון דוד</v>
          </cell>
          <cell r="E955">
            <v>4</v>
          </cell>
          <cell r="F955">
            <v>24</v>
          </cell>
          <cell r="G955" t="str">
            <v>שוויארוחות</v>
          </cell>
          <cell r="H955">
            <v>450</v>
          </cell>
          <cell r="I955">
            <v>1</v>
          </cell>
          <cell r="J955" t="str">
            <v>תפעול</v>
          </cell>
        </row>
        <row r="956">
          <cell r="A956" t="str">
            <v>רד סי אופטיקל נטוורק</v>
          </cell>
          <cell r="B956">
            <v>2004</v>
          </cell>
          <cell r="C956">
            <v>51</v>
          </cell>
          <cell r="D956" t="str">
            <v>סלמון דוד</v>
          </cell>
          <cell r="E956">
            <v>5</v>
          </cell>
          <cell r="F956">
            <v>24</v>
          </cell>
          <cell r="G956" t="str">
            <v>שוויארוחות</v>
          </cell>
          <cell r="H956">
            <v>450</v>
          </cell>
          <cell r="I956">
            <v>1</v>
          </cell>
          <cell r="J956" t="str">
            <v>תפעול</v>
          </cell>
        </row>
        <row r="957">
          <cell r="A957" t="str">
            <v>רד סי אופטיקל נטוורק</v>
          </cell>
          <cell r="B957">
            <v>2004</v>
          </cell>
          <cell r="C957">
            <v>51</v>
          </cell>
          <cell r="D957" t="str">
            <v>סלמון דוד</v>
          </cell>
          <cell r="E957">
            <v>6</v>
          </cell>
          <cell r="F957">
            <v>24</v>
          </cell>
          <cell r="G957" t="str">
            <v>שוויארוחות</v>
          </cell>
          <cell r="H957">
            <v>450</v>
          </cell>
          <cell r="I957">
            <v>1</v>
          </cell>
          <cell r="J957" t="str">
            <v>תפעול</v>
          </cell>
        </row>
        <row r="958">
          <cell r="A958" t="str">
            <v>רד סי אופטיקל נטוורק</v>
          </cell>
          <cell r="B958">
            <v>2004</v>
          </cell>
          <cell r="C958">
            <v>51</v>
          </cell>
          <cell r="D958" t="str">
            <v>סלמון דוד</v>
          </cell>
          <cell r="E958">
            <v>7</v>
          </cell>
          <cell r="F958">
            <v>24</v>
          </cell>
          <cell r="G958" t="str">
            <v>שוויארוחות</v>
          </cell>
          <cell r="H958">
            <v>450</v>
          </cell>
          <cell r="I958">
            <v>1</v>
          </cell>
          <cell r="J958" t="str">
            <v>תפעול</v>
          </cell>
        </row>
        <row r="959">
          <cell r="A959" t="str">
            <v>רד סי אופטיקל נטוורק</v>
          </cell>
          <cell r="B959">
            <v>2004</v>
          </cell>
          <cell r="C959">
            <v>51</v>
          </cell>
          <cell r="D959" t="str">
            <v>סלמון דוד</v>
          </cell>
          <cell r="E959">
            <v>8</v>
          </cell>
          <cell r="F959">
            <v>24</v>
          </cell>
          <cell r="G959" t="str">
            <v>שוויארוחות</v>
          </cell>
          <cell r="H959">
            <v>483</v>
          </cell>
          <cell r="I959">
            <v>23</v>
          </cell>
          <cell r="J959" t="str">
            <v>תפעול</v>
          </cell>
        </row>
        <row r="960">
          <cell r="A960" t="str">
            <v>רד סי אופטיקל נטוורק</v>
          </cell>
          <cell r="B960">
            <v>2004</v>
          </cell>
          <cell r="C960">
            <v>51</v>
          </cell>
          <cell r="D960" t="str">
            <v>סלמון דוד</v>
          </cell>
          <cell r="E960">
            <v>9</v>
          </cell>
          <cell r="F960">
            <v>22</v>
          </cell>
          <cell r="G960" t="str">
            <v>שווי מתנות</v>
          </cell>
          <cell r="H960">
            <v>459.25</v>
          </cell>
          <cell r="I960">
            <v>0</v>
          </cell>
          <cell r="J960" t="str">
            <v>תפעול</v>
          </cell>
        </row>
        <row r="961">
          <cell r="A961" t="str">
            <v>רד סי אופטיקל נטוורק</v>
          </cell>
          <cell r="B961">
            <v>2004</v>
          </cell>
          <cell r="C961">
            <v>51</v>
          </cell>
          <cell r="D961" t="str">
            <v>סלמון דוד</v>
          </cell>
          <cell r="E961">
            <v>9</v>
          </cell>
          <cell r="F961">
            <v>24</v>
          </cell>
          <cell r="G961" t="str">
            <v>שוויארוחות</v>
          </cell>
          <cell r="H961">
            <v>378</v>
          </cell>
          <cell r="I961">
            <v>18</v>
          </cell>
          <cell r="J961" t="str">
            <v>תפעול</v>
          </cell>
        </row>
        <row r="962">
          <cell r="A962" t="str">
            <v>רד סי אופטיקל נטוורק</v>
          </cell>
          <cell r="B962">
            <v>2004</v>
          </cell>
          <cell r="C962">
            <v>51</v>
          </cell>
          <cell r="D962" t="str">
            <v>סלמון דוד</v>
          </cell>
          <cell r="E962">
            <v>10</v>
          </cell>
          <cell r="F962">
            <v>24</v>
          </cell>
          <cell r="G962" t="str">
            <v>שוויארוחות</v>
          </cell>
          <cell r="H962">
            <v>399</v>
          </cell>
          <cell r="I962">
            <v>19</v>
          </cell>
          <cell r="J962" t="str">
            <v>תפעול</v>
          </cell>
        </row>
        <row r="963">
          <cell r="A963" t="str">
            <v>רד סי אופטיקל נטוורק</v>
          </cell>
          <cell r="B963">
            <v>2004</v>
          </cell>
          <cell r="C963">
            <v>51</v>
          </cell>
          <cell r="D963" t="str">
            <v>סלמון דוד</v>
          </cell>
          <cell r="E963">
            <v>11</v>
          </cell>
          <cell r="F963">
            <v>24</v>
          </cell>
          <cell r="G963" t="str">
            <v>שוויארוחות</v>
          </cell>
          <cell r="H963">
            <v>441</v>
          </cell>
          <cell r="I963">
            <v>21</v>
          </cell>
          <cell r="J963" t="str">
            <v>תפעול</v>
          </cell>
        </row>
        <row r="964">
          <cell r="A964" t="str">
            <v>רד סי אופטיקל נטוורק</v>
          </cell>
          <cell r="B964">
            <v>2004</v>
          </cell>
          <cell r="C964">
            <v>51</v>
          </cell>
          <cell r="D964" t="str">
            <v>סלמון דוד</v>
          </cell>
          <cell r="E964">
            <v>12</v>
          </cell>
          <cell r="F964">
            <v>22</v>
          </cell>
          <cell r="G964" t="str">
            <v>שווי מתנות</v>
          </cell>
          <cell r="H964">
            <v>0</v>
          </cell>
          <cell r="I964">
            <v>0</v>
          </cell>
          <cell r="J964" t="str">
            <v>תפעול</v>
          </cell>
        </row>
        <row r="965">
          <cell r="A965" t="str">
            <v>רד סי אופטיקל נטוורק</v>
          </cell>
          <cell r="B965">
            <v>2004</v>
          </cell>
          <cell r="C965">
            <v>51</v>
          </cell>
          <cell r="D965" t="str">
            <v>סלמון דוד</v>
          </cell>
          <cell r="E965">
            <v>12</v>
          </cell>
          <cell r="F965">
            <v>24</v>
          </cell>
          <cell r="G965" t="str">
            <v>שוויארוחות</v>
          </cell>
          <cell r="H965">
            <v>462</v>
          </cell>
          <cell r="I965">
            <v>22</v>
          </cell>
          <cell r="J965" t="str">
            <v>תפעול</v>
          </cell>
        </row>
        <row r="966">
          <cell r="A966" t="str">
            <v>רד סי אופטיקל נטוורק</v>
          </cell>
          <cell r="B966">
            <v>2004</v>
          </cell>
          <cell r="C966">
            <v>52</v>
          </cell>
          <cell r="D966" t="str">
            <v>גרינבלט אלעד</v>
          </cell>
          <cell r="E966">
            <v>3</v>
          </cell>
          <cell r="F966">
            <v>22</v>
          </cell>
          <cell r="G966" t="str">
            <v>שווי מתנות</v>
          </cell>
          <cell r="H966">
            <v>186.25</v>
          </cell>
          <cell r="I966">
            <v>0</v>
          </cell>
          <cell r="J966" t="str">
            <v>ייצור</v>
          </cell>
        </row>
        <row r="967">
          <cell r="A967" t="str">
            <v>רד סי אופטיקל נטוורק</v>
          </cell>
          <cell r="B967">
            <v>2004</v>
          </cell>
          <cell r="C967">
            <v>52</v>
          </cell>
          <cell r="D967" t="str">
            <v>גרינבלט אלעד</v>
          </cell>
          <cell r="E967">
            <v>3</v>
          </cell>
          <cell r="F967">
            <v>24</v>
          </cell>
          <cell r="G967" t="str">
            <v>שוויארוחות</v>
          </cell>
          <cell r="H967">
            <v>225</v>
          </cell>
          <cell r="I967">
            <v>0.5</v>
          </cell>
          <cell r="J967" t="str">
            <v>ייצור</v>
          </cell>
        </row>
        <row r="968">
          <cell r="A968" t="str">
            <v>רד סי אופטיקל נטוורק</v>
          </cell>
          <cell r="B968">
            <v>2004</v>
          </cell>
          <cell r="C968">
            <v>52</v>
          </cell>
          <cell r="D968" t="str">
            <v>גרינבלט אלעד</v>
          </cell>
          <cell r="E968">
            <v>4</v>
          </cell>
          <cell r="F968">
            <v>24</v>
          </cell>
          <cell r="G968" t="str">
            <v>שוויארוחות</v>
          </cell>
          <cell r="H968">
            <v>450</v>
          </cell>
          <cell r="I968">
            <v>1</v>
          </cell>
          <cell r="J968" t="str">
            <v>ייצור</v>
          </cell>
        </row>
        <row r="969">
          <cell r="A969" t="str">
            <v>רד סי אופטיקל נטוורק</v>
          </cell>
          <cell r="B969">
            <v>2004</v>
          </cell>
          <cell r="C969">
            <v>52</v>
          </cell>
          <cell r="D969" t="str">
            <v>גרינבלט אלעד</v>
          </cell>
          <cell r="E969">
            <v>5</v>
          </cell>
          <cell r="F969">
            <v>24</v>
          </cell>
          <cell r="G969" t="str">
            <v>שוויארוחות</v>
          </cell>
          <cell r="H969">
            <v>450</v>
          </cell>
          <cell r="I969">
            <v>1</v>
          </cell>
          <cell r="J969" t="str">
            <v>ייצור</v>
          </cell>
        </row>
        <row r="970">
          <cell r="A970" t="str">
            <v>רד סי אופטיקל נטוורק</v>
          </cell>
          <cell r="B970">
            <v>2004</v>
          </cell>
          <cell r="C970">
            <v>52</v>
          </cell>
          <cell r="D970" t="str">
            <v>גרינבלט אלעד</v>
          </cell>
          <cell r="E970">
            <v>6</v>
          </cell>
          <cell r="F970">
            <v>24</v>
          </cell>
          <cell r="G970" t="str">
            <v>שוויארוחות</v>
          </cell>
          <cell r="H970">
            <v>450</v>
          </cell>
          <cell r="I970">
            <v>1</v>
          </cell>
          <cell r="J970" t="str">
            <v>ייצור</v>
          </cell>
        </row>
        <row r="971">
          <cell r="A971" t="str">
            <v>רד סי אופטיקל נטוורק</v>
          </cell>
          <cell r="B971">
            <v>2004</v>
          </cell>
          <cell r="C971">
            <v>52</v>
          </cell>
          <cell r="D971" t="str">
            <v>גרינבלט אלעד</v>
          </cell>
          <cell r="E971">
            <v>7</v>
          </cell>
          <cell r="F971">
            <v>24</v>
          </cell>
          <cell r="G971" t="str">
            <v>שוויארוחות</v>
          </cell>
          <cell r="H971">
            <v>450</v>
          </cell>
          <cell r="I971">
            <v>1</v>
          </cell>
          <cell r="J971" t="str">
            <v>ייצור</v>
          </cell>
        </row>
        <row r="972">
          <cell r="A972" t="str">
            <v>רד סי אופטיקל נטוורק</v>
          </cell>
          <cell r="B972">
            <v>2004</v>
          </cell>
          <cell r="C972">
            <v>52</v>
          </cell>
          <cell r="D972" t="str">
            <v>גרינבלט אלעד</v>
          </cell>
          <cell r="E972">
            <v>8</v>
          </cell>
          <cell r="F972">
            <v>24</v>
          </cell>
          <cell r="G972" t="str">
            <v>שוויארוחות</v>
          </cell>
          <cell r="H972">
            <v>483</v>
          </cell>
          <cell r="I972">
            <v>23</v>
          </cell>
          <cell r="J972" t="str">
            <v>ייצור</v>
          </cell>
        </row>
        <row r="973">
          <cell r="A973" t="str">
            <v>רד סי אופטיקל נטוורק</v>
          </cell>
          <cell r="B973">
            <v>2004</v>
          </cell>
          <cell r="C973">
            <v>52</v>
          </cell>
          <cell r="D973" t="str">
            <v>גרינבלט אלעד</v>
          </cell>
          <cell r="E973">
            <v>9</v>
          </cell>
          <cell r="F973">
            <v>22</v>
          </cell>
          <cell r="G973" t="str">
            <v>שווי מתנות</v>
          </cell>
          <cell r="H973">
            <v>459.25</v>
          </cell>
          <cell r="I973">
            <v>0</v>
          </cell>
          <cell r="J973" t="str">
            <v>ייצור</v>
          </cell>
        </row>
        <row r="974">
          <cell r="A974" t="str">
            <v>רד סי אופטיקל נטוורק</v>
          </cell>
          <cell r="B974">
            <v>2004</v>
          </cell>
          <cell r="C974">
            <v>52</v>
          </cell>
          <cell r="D974" t="str">
            <v>גרינבלט אלעד</v>
          </cell>
          <cell r="E974">
            <v>9</v>
          </cell>
          <cell r="F974">
            <v>24</v>
          </cell>
          <cell r="G974" t="str">
            <v>שוויארוחות</v>
          </cell>
          <cell r="H974">
            <v>378</v>
          </cell>
          <cell r="I974">
            <v>18</v>
          </cell>
          <cell r="J974" t="str">
            <v>ייצור</v>
          </cell>
        </row>
        <row r="975">
          <cell r="A975" t="str">
            <v>רד סי אופטיקל נטוורק</v>
          </cell>
          <cell r="B975">
            <v>2004</v>
          </cell>
          <cell r="C975">
            <v>52</v>
          </cell>
          <cell r="D975" t="str">
            <v>גרינבלט אלעד</v>
          </cell>
          <cell r="E975">
            <v>10</v>
          </cell>
          <cell r="F975">
            <v>24</v>
          </cell>
          <cell r="G975" t="str">
            <v>שוויארוחות</v>
          </cell>
          <cell r="H975">
            <v>399</v>
          </cell>
          <cell r="I975">
            <v>19</v>
          </cell>
          <cell r="J975" t="str">
            <v>ייצור</v>
          </cell>
        </row>
        <row r="976">
          <cell r="A976" t="str">
            <v>רד סי אופטיקל נטוורק</v>
          </cell>
          <cell r="B976">
            <v>2004</v>
          </cell>
          <cell r="C976">
            <v>52</v>
          </cell>
          <cell r="D976" t="str">
            <v>גרינבלט אלעד</v>
          </cell>
          <cell r="E976">
            <v>11</v>
          </cell>
          <cell r="F976">
            <v>24</v>
          </cell>
          <cell r="G976" t="str">
            <v>שוויארוחות</v>
          </cell>
          <cell r="H976">
            <v>441</v>
          </cell>
          <cell r="I976">
            <v>21</v>
          </cell>
          <cell r="J976" t="str">
            <v>ייצור</v>
          </cell>
        </row>
        <row r="977">
          <cell r="A977" t="str">
            <v>רד סי אופטיקל נטוורק</v>
          </cell>
          <cell r="B977">
            <v>2004</v>
          </cell>
          <cell r="C977">
            <v>52</v>
          </cell>
          <cell r="D977" t="str">
            <v>גרינבלט אלעד</v>
          </cell>
          <cell r="E977">
            <v>12</v>
          </cell>
          <cell r="F977">
            <v>22</v>
          </cell>
          <cell r="G977" t="str">
            <v>שווי מתנות</v>
          </cell>
          <cell r="H977">
            <v>0</v>
          </cell>
          <cell r="I977">
            <v>0</v>
          </cell>
          <cell r="J977" t="str">
            <v>ייצור</v>
          </cell>
        </row>
        <row r="978">
          <cell r="A978" t="str">
            <v>רד סי אופטיקל נטוורק</v>
          </cell>
          <cell r="B978">
            <v>2004</v>
          </cell>
          <cell r="C978">
            <v>52</v>
          </cell>
          <cell r="D978" t="str">
            <v>גרינבלט אלעד</v>
          </cell>
          <cell r="E978">
            <v>12</v>
          </cell>
          <cell r="F978">
            <v>24</v>
          </cell>
          <cell r="G978" t="str">
            <v>שוויארוחות</v>
          </cell>
          <cell r="H978">
            <v>462</v>
          </cell>
          <cell r="I978">
            <v>22</v>
          </cell>
          <cell r="J978" t="str">
            <v>ייצור</v>
          </cell>
        </row>
        <row r="979">
          <cell r="A979" t="str">
            <v>רד סי אופטיקל נטוורק</v>
          </cell>
          <cell r="B979">
            <v>2004</v>
          </cell>
          <cell r="C979">
            <v>53</v>
          </cell>
          <cell r="D979" t="str">
            <v>מורוב פיליפ</v>
          </cell>
          <cell r="E979">
            <v>4</v>
          </cell>
          <cell r="F979">
            <v>24</v>
          </cell>
          <cell r="G979" t="str">
            <v>שוויארוחות</v>
          </cell>
          <cell r="H979">
            <v>0</v>
          </cell>
          <cell r="I979">
            <v>0</v>
          </cell>
          <cell r="J979" t="str">
            <v>ייצור</v>
          </cell>
        </row>
        <row r="980">
          <cell r="A980" t="str">
            <v>רד סי אופטיקל נטוורק</v>
          </cell>
          <cell r="B980">
            <v>2004</v>
          </cell>
          <cell r="C980">
            <v>53</v>
          </cell>
          <cell r="D980" t="str">
            <v>מורוב פיליפ</v>
          </cell>
          <cell r="E980">
            <v>5</v>
          </cell>
          <cell r="F980">
            <v>24</v>
          </cell>
          <cell r="G980" t="str">
            <v>שוויארוחות</v>
          </cell>
          <cell r="H980">
            <v>0</v>
          </cell>
          <cell r="I980">
            <v>0</v>
          </cell>
          <cell r="J980" t="str">
            <v>ייצור</v>
          </cell>
        </row>
        <row r="981">
          <cell r="A981" t="str">
            <v>רד סי אופטיקל נטוורק</v>
          </cell>
          <cell r="B981">
            <v>2004</v>
          </cell>
          <cell r="C981">
            <v>53</v>
          </cell>
          <cell r="D981" t="str">
            <v>מורוב פיליפ</v>
          </cell>
          <cell r="E981">
            <v>6</v>
          </cell>
          <cell r="F981">
            <v>24</v>
          </cell>
          <cell r="G981" t="str">
            <v>שוויארוחות</v>
          </cell>
          <cell r="H981">
            <v>0</v>
          </cell>
          <cell r="I981">
            <v>0</v>
          </cell>
          <cell r="J981" t="str">
            <v>ייצור</v>
          </cell>
        </row>
        <row r="982">
          <cell r="A982" t="str">
            <v>רד סי אופטיקל נטוורק</v>
          </cell>
          <cell r="B982">
            <v>2004</v>
          </cell>
          <cell r="C982">
            <v>53</v>
          </cell>
          <cell r="D982" t="str">
            <v>מורוב פיליפ</v>
          </cell>
          <cell r="E982">
            <v>7</v>
          </cell>
          <cell r="F982">
            <v>24</v>
          </cell>
          <cell r="G982" t="str">
            <v>שוויארוחות</v>
          </cell>
          <cell r="H982">
            <v>0</v>
          </cell>
          <cell r="I982">
            <v>0</v>
          </cell>
          <cell r="J982" t="str">
            <v>ייצור</v>
          </cell>
        </row>
        <row r="983">
          <cell r="A983" t="str">
            <v>רד סי אופטיקל נטוורק</v>
          </cell>
          <cell r="B983">
            <v>2004</v>
          </cell>
          <cell r="C983">
            <v>53</v>
          </cell>
          <cell r="D983" t="str">
            <v>מורוב פיליפ</v>
          </cell>
          <cell r="E983">
            <v>8</v>
          </cell>
          <cell r="F983">
            <v>24</v>
          </cell>
          <cell r="G983" t="str">
            <v>שוויארוחות</v>
          </cell>
          <cell r="H983">
            <v>483</v>
          </cell>
          <cell r="I983">
            <v>23</v>
          </cell>
          <cell r="J983" t="str">
            <v>ייצור</v>
          </cell>
        </row>
        <row r="984">
          <cell r="A984" t="str">
            <v>רד סי אופטיקל נטוורק</v>
          </cell>
          <cell r="B984">
            <v>2004</v>
          </cell>
          <cell r="C984">
            <v>53</v>
          </cell>
          <cell r="D984" t="str">
            <v>מורוב פיליפ</v>
          </cell>
          <cell r="E984">
            <v>9</v>
          </cell>
          <cell r="F984">
            <v>22</v>
          </cell>
          <cell r="G984" t="str">
            <v>שווי מתנות</v>
          </cell>
          <cell r="H984">
            <v>459.25</v>
          </cell>
          <cell r="I984">
            <v>0</v>
          </cell>
          <cell r="J984" t="str">
            <v>ייצור</v>
          </cell>
        </row>
        <row r="985">
          <cell r="A985" t="str">
            <v>רד סי אופטיקל נטוורק</v>
          </cell>
          <cell r="B985">
            <v>2004</v>
          </cell>
          <cell r="C985">
            <v>53</v>
          </cell>
          <cell r="D985" t="str">
            <v>מורוב פיליפ</v>
          </cell>
          <cell r="E985">
            <v>9</v>
          </cell>
          <cell r="F985">
            <v>24</v>
          </cell>
          <cell r="G985" t="str">
            <v>שוויארוחות</v>
          </cell>
          <cell r="H985">
            <v>378</v>
          </cell>
          <cell r="I985">
            <v>18</v>
          </cell>
          <cell r="J985" t="str">
            <v>ייצור</v>
          </cell>
        </row>
        <row r="986">
          <cell r="A986" t="str">
            <v>רד סי אופטיקל נטוורק</v>
          </cell>
          <cell r="B986">
            <v>2004</v>
          </cell>
          <cell r="C986">
            <v>53</v>
          </cell>
          <cell r="D986" t="str">
            <v>מורוב פיליפ</v>
          </cell>
          <cell r="E986">
            <v>10</v>
          </cell>
          <cell r="F986">
            <v>24</v>
          </cell>
          <cell r="G986" t="str">
            <v>שוויארוחות</v>
          </cell>
          <cell r="H986">
            <v>399</v>
          </cell>
          <cell r="I986">
            <v>19</v>
          </cell>
          <cell r="J986" t="str">
            <v>ייצור</v>
          </cell>
        </row>
        <row r="987">
          <cell r="A987" t="str">
            <v>רד סי אופטיקל נטוורק</v>
          </cell>
          <cell r="B987">
            <v>2004</v>
          </cell>
          <cell r="C987">
            <v>53</v>
          </cell>
          <cell r="D987" t="str">
            <v>מורוב פיליפ</v>
          </cell>
          <cell r="E987">
            <v>11</v>
          </cell>
          <cell r="F987">
            <v>24</v>
          </cell>
          <cell r="G987" t="str">
            <v>שוויארוחות</v>
          </cell>
          <cell r="H987">
            <v>105</v>
          </cell>
          <cell r="I987">
            <v>5</v>
          </cell>
          <cell r="J987" t="str">
            <v>ייצור</v>
          </cell>
        </row>
        <row r="988">
          <cell r="A988" t="str">
            <v>רד סי אופטיקל נטוורק</v>
          </cell>
          <cell r="B988">
            <v>2004</v>
          </cell>
          <cell r="C988">
            <v>53</v>
          </cell>
          <cell r="D988" t="str">
            <v>מורוב פיליפ</v>
          </cell>
          <cell r="E988">
            <v>12</v>
          </cell>
          <cell r="F988">
            <v>22</v>
          </cell>
          <cell r="G988" t="str">
            <v>שווי מתנות</v>
          </cell>
          <cell r="H988">
            <v>0</v>
          </cell>
          <cell r="I988">
            <v>0</v>
          </cell>
          <cell r="J988" t="str">
            <v>ייצור</v>
          </cell>
        </row>
        <row r="989">
          <cell r="A989" t="str">
            <v>רד סי אופטיקל נטוורק</v>
          </cell>
          <cell r="B989">
            <v>2004</v>
          </cell>
          <cell r="C989">
            <v>53</v>
          </cell>
          <cell r="D989" t="str">
            <v>מורוב פיליפ</v>
          </cell>
          <cell r="E989">
            <v>12</v>
          </cell>
          <cell r="F989">
            <v>24</v>
          </cell>
          <cell r="G989" t="str">
            <v>שוויארוחות</v>
          </cell>
          <cell r="H989">
            <v>462</v>
          </cell>
          <cell r="I989">
            <v>22</v>
          </cell>
          <cell r="J989" t="str">
            <v>ייצור</v>
          </cell>
        </row>
        <row r="990">
          <cell r="A990" t="str">
            <v>רד סי אופטיקל נטוורק</v>
          </cell>
          <cell r="B990">
            <v>2004</v>
          </cell>
          <cell r="C990">
            <v>54</v>
          </cell>
          <cell r="D990" t="str">
            <v>פוצ'קוב חני</v>
          </cell>
          <cell r="E990">
            <v>5</v>
          </cell>
          <cell r="F990">
            <v>24</v>
          </cell>
          <cell r="G990" t="str">
            <v>שוויארוחות</v>
          </cell>
          <cell r="H990">
            <v>328.5</v>
          </cell>
          <cell r="I990">
            <v>0.73</v>
          </cell>
          <cell r="J990" t="str">
            <v>שיווק</v>
          </cell>
        </row>
        <row r="991">
          <cell r="A991" t="str">
            <v>רד סי אופטיקל נטוורק</v>
          </cell>
          <cell r="B991">
            <v>2004</v>
          </cell>
          <cell r="C991">
            <v>54</v>
          </cell>
          <cell r="D991" t="str">
            <v>פוצ'קוב חני</v>
          </cell>
          <cell r="E991">
            <v>6</v>
          </cell>
          <cell r="F991">
            <v>24</v>
          </cell>
          <cell r="G991" t="str">
            <v>שוויארוחות</v>
          </cell>
          <cell r="H991">
            <v>450</v>
          </cell>
          <cell r="I991">
            <v>1</v>
          </cell>
          <cell r="J991" t="str">
            <v>שיווק</v>
          </cell>
        </row>
        <row r="992">
          <cell r="A992" t="str">
            <v>רד סי אופטיקל נטוורק</v>
          </cell>
          <cell r="B992">
            <v>2004</v>
          </cell>
          <cell r="C992">
            <v>54</v>
          </cell>
          <cell r="D992" t="str">
            <v>פוצ'קוב חני</v>
          </cell>
          <cell r="E992">
            <v>6</v>
          </cell>
          <cell r="F992">
            <v>47</v>
          </cell>
          <cell r="G992" t="str">
            <v>שווי פלא</v>
          </cell>
          <cell r="H992">
            <v>147</v>
          </cell>
          <cell r="I992">
            <v>0</v>
          </cell>
          <cell r="J992" t="str">
            <v>שיווק</v>
          </cell>
        </row>
        <row r="993">
          <cell r="A993" t="str">
            <v>רד סי אופטיקל נטוורק</v>
          </cell>
          <cell r="B993">
            <v>2004</v>
          </cell>
          <cell r="C993">
            <v>54</v>
          </cell>
          <cell r="D993" t="str">
            <v>פוצ'קוב חני</v>
          </cell>
          <cell r="E993">
            <v>7</v>
          </cell>
          <cell r="F993">
            <v>24</v>
          </cell>
          <cell r="G993" t="str">
            <v>שוויארוחות</v>
          </cell>
          <cell r="H993">
            <v>450</v>
          </cell>
          <cell r="I993">
            <v>1</v>
          </cell>
          <cell r="J993" t="str">
            <v>שיווק</v>
          </cell>
        </row>
        <row r="994">
          <cell r="A994" t="str">
            <v>רד סי אופטיקל נטוורק</v>
          </cell>
          <cell r="B994">
            <v>2004</v>
          </cell>
          <cell r="C994">
            <v>54</v>
          </cell>
          <cell r="D994" t="str">
            <v>פוצ'קוב חני</v>
          </cell>
          <cell r="E994">
            <v>7</v>
          </cell>
          <cell r="F994">
            <v>47</v>
          </cell>
          <cell r="G994" t="str">
            <v>שווי פלא</v>
          </cell>
          <cell r="H994">
            <v>85</v>
          </cell>
          <cell r="I994">
            <v>0</v>
          </cell>
          <cell r="J994" t="str">
            <v>שיווק</v>
          </cell>
        </row>
        <row r="995">
          <cell r="A995" t="str">
            <v>רד סי אופטיקל נטוורק</v>
          </cell>
          <cell r="B995">
            <v>2004</v>
          </cell>
          <cell r="C995">
            <v>54</v>
          </cell>
          <cell r="D995" t="str">
            <v>פוצ'קוב חני</v>
          </cell>
          <cell r="E995">
            <v>8</v>
          </cell>
          <cell r="F995">
            <v>24</v>
          </cell>
          <cell r="G995" t="str">
            <v>שוויארוחות</v>
          </cell>
          <cell r="H995">
            <v>483</v>
          </cell>
          <cell r="I995">
            <v>23</v>
          </cell>
          <cell r="J995" t="str">
            <v>שיווק</v>
          </cell>
        </row>
        <row r="996">
          <cell r="A996" t="str">
            <v>רד סי אופטיקל נטוורק</v>
          </cell>
          <cell r="B996">
            <v>2004</v>
          </cell>
          <cell r="C996">
            <v>54</v>
          </cell>
          <cell r="D996" t="str">
            <v>פוצ'קוב חני</v>
          </cell>
          <cell r="E996">
            <v>8</v>
          </cell>
          <cell r="F996">
            <v>47</v>
          </cell>
          <cell r="G996" t="str">
            <v>שווי פלא</v>
          </cell>
          <cell r="H996">
            <v>85</v>
          </cell>
          <cell r="I996">
            <v>0</v>
          </cell>
          <cell r="J996" t="str">
            <v>שיווק</v>
          </cell>
        </row>
        <row r="997">
          <cell r="A997" t="str">
            <v>רד סי אופטיקל נטוורק</v>
          </cell>
          <cell r="B997">
            <v>2004</v>
          </cell>
          <cell r="C997">
            <v>54</v>
          </cell>
          <cell r="D997" t="str">
            <v>פוצ'קוב חני</v>
          </cell>
          <cell r="E997">
            <v>9</v>
          </cell>
          <cell r="F997">
            <v>22</v>
          </cell>
          <cell r="G997" t="str">
            <v>שווי מתנות</v>
          </cell>
          <cell r="H997">
            <v>459.25</v>
          </cell>
          <cell r="I997">
            <v>0</v>
          </cell>
          <cell r="J997" t="str">
            <v>שיווק</v>
          </cell>
        </row>
        <row r="998">
          <cell r="A998" t="str">
            <v>רד סי אופטיקל נטוורק</v>
          </cell>
          <cell r="B998">
            <v>2004</v>
          </cell>
          <cell r="C998">
            <v>54</v>
          </cell>
          <cell r="D998" t="str">
            <v>פוצ'קוב חני</v>
          </cell>
          <cell r="E998">
            <v>9</v>
          </cell>
          <cell r="F998">
            <v>24</v>
          </cell>
          <cell r="G998" t="str">
            <v>שוויארוחות</v>
          </cell>
          <cell r="H998">
            <v>378</v>
          </cell>
          <cell r="I998">
            <v>18</v>
          </cell>
          <cell r="J998" t="str">
            <v>שיווק</v>
          </cell>
        </row>
        <row r="999">
          <cell r="A999" t="str">
            <v>רד סי אופטיקל נטוורק</v>
          </cell>
          <cell r="B999">
            <v>2004</v>
          </cell>
          <cell r="C999">
            <v>54</v>
          </cell>
          <cell r="D999" t="str">
            <v>פוצ'קוב חני</v>
          </cell>
          <cell r="E999">
            <v>9</v>
          </cell>
          <cell r="F999">
            <v>47</v>
          </cell>
          <cell r="G999" t="str">
            <v>שווי פלא</v>
          </cell>
          <cell r="H999">
            <v>85</v>
          </cell>
          <cell r="I999">
            <v>0</v>
          </cell>
          <cell r="J999" t="str">
            <v>שיווק</v>
          </cell>
        </row>
        <row r="1000">
          <cell r="A1000" t="str">
            <v>רד סי אופטיקל נטוורק</v>
          </cell>
          <cell r="B1000">
            <v>2004</v>
          </cell>
          <cell r="C1000">
            <v>54</v>
          </cell>
          <cell r="D1000" t="str">
            <v>פוצ'קוב חני</v>
          </cell>
          <cell r="E1000">
            <v>10</v>
          </cell>
          <cell r="F1000">
            <v>24</v>
          </cell>
          <cell r="G1000" t="str">
            <v>שוויארוחות</v>
          </cell>
          <cell r="H1000">
            <v>399</v>
          </cell>
          <cell r="I1000">
            <v>19</v>
          </cell>
          <cell r="J1000" t="str">
            <v>שיווק</v>
          </cell>
        </row>
        <row r="1001">
          <cell r="A1001" t="str">
            <v>רד סי אופטיקל נטוורק</v>
          </cell>
          <cell r="B1001">
            <v>2004</v>
          </cell>
          <cell r="C1001">
            <v>54</v>
          </cell>
          <cell r="D1001" t="str">
            <v>פוצ'קוב חני</v>
          </cell>
          <cell r="E1001">
            <v>10</v>
          </cell>
          <cell r="F1001">
            <v>47</v>
          </cell>
          <cell r="G1001" t="str">
            <v>שווי פלא</v>
          </cell>
          <cell r="H1001">
            <v>85</v>
          </cell>
          <cell r="I1001">
            <v>0</v>
          </cell>
          <cell r="J1001" t="str">
            <v>שיווק</v>
          </cell>
        </row>
        <row r="1002">
          <cell r="A1002" t="str">
            <v>רד סי אופטיקל נטוורק</v>
          </cell>
          <cell r="B1002">
            <v>2004</v>
          </cell>
          <cell r="C1002">
            <v>54</v>
          </cell>
          <cell r="D1002" t="str">
            <v>פוצ'קוב חני</v>
          </cell>
          <cell r="E1002">
            <v>11</v>
          </cell>
          <cell r="F1002">
            <v>24</v>
          </cell>
          <cell r="G1002" t="str">
            <v>שוויארוחות</v>
          </cell>
          <cell r="H1002">
            <v>441</v>
          </cell>
          <cell r="I1002">
            <v>21</v>
          </cell>
          <cell r="J1002" t="str">
            <v>שיווק</v>
          </cell>
        </row>
        <row r="1003">
          <cell r="A1003" t="str">
            <v>רד סי אופטיקל נטוורק</v>
          </cell>
          <cell r="B1003">
            <v>2004</v>
          </cell>
          <cell r="C1003">
            <v>54</v>
          </cell>
          <cell r="D1003" t="str">
            <v>פוצ'קוב חני</v>
          </cell>
          <cell r="E1003">
            <v>11</v>
          </cell>
          <cell r="F1003">
            <v>47</v>
          </cell>
          <cell r="G1003" t="str">
            <v>שווי פלא</v>
          </cell>
          <cell r="H1003">
            <v>85</v>
          </cell>
          <cell r="I1003">
            <v>0</v>
          </cell>
          <cell r="J1003" t="str">
            <v>שיווק</v>
          </cell>
        </row>
        <row r="1004">
          <cell r="A1004" t="str">
            <v>רד סי אופטיקל נטוורק</v>
          </cell>
          <cell r="B1004">
            <v>2004</v>
          </cell>
          <cell r="C1004">
            <v>54</v>
          </cell>
          <cell r="D1004" t="str">
            <v>פוצ'קוב חני</v>
          </cell>
          <cell r="E1004">
            <v>12</v>
          </cell>
          <cell r="F1004">
            <v>24</v>
          </cell>
          <cell r="G1004" t="str">
            <v>שוויארוחות</v>
          </cell>
          <cell r="H1004">
            <v>462</v>
          </cell>
          <cell r="I1004">
            <v>22</v>
          </cell>
          <cell r="J1004" t="str">
            <v>שיווק</v>
          </cell>
        </row>
        <row r="1005">
          <cell r="A1005" t="str">
            <v>רד סי אופטיקל נטוורק</v>
          </cell>
          <cell r="B1005">
            <v>2004</v>
          </cell>
          <cell r="C1005">
            <v>54</v>
          </cell>
          <cell r="D1005" t="str">
            <v>פוצ'קוב חני</v>
          </cell>
          <cell r="E1005">
            <v>12</v>
          </cell>
          <cell r="F1005">
            <v>47</v>
          </cell>
          <cell r="G1005" t="str">
            <v>שווי פלא</v>
          </cell>
          <cell r="H1005">
            <v>85</v>
          </cell>
          <cell r="I1005">
            <v>0</v>
          </cell>
          <cell r="J1005" t="str">
            <v>שיווק</v>
          </cell>
        </row>
        <row r="1006">
          <cell r="A1006" t="str">
            <v>רד סי אופטיקל נטוורק</v>
          </cell>
          <cell r="B1006">
            <v>2004</v>
          </cell>
          <cell r="C1006">
            <v>55</v>
          </cell>
          <cell r="D1006" t="str">
            <v>שרף מזל</v>
          </cell>
          <cell r="E1006">
            <v>5</v>
          </cell>
          <cell r="F1006">
            <v>24</v>
          </cell>
          <cell r="G1006" t="str">
            <v>שוויארוחות</v>
          </cell>
          <cell r="H1006">
            <v>166.5</v>
          </cell>
          <cell r="I1006">
            <v>0.37</v>
          </cell>
          <cell r="J1006" t="str">
            <v>ייצור</v>
          </cell>
        </row>
        <row r="1007">
          <cell r="A1007" t="str">
            <v>רד סי אופטיקל נטוורק</v>
          </cell>
          <cell r="B1007">
            <v>2004</v>
          </cell>
          <cell r="C1007">
            <v>55</v>
          </cell>
          <cell r="D1007" t="str">
            <v>שרף מזל</v>
          </cell>
          <cell r="E1007">
            <v>6</v>
          </cell>
          <cell r="F1007">
            <v>24</v>
          </cell>
          <cell r="G1007" t="str">
            <v>שוויארוחות</v>
          </cell>
          <cell r="H1007">
            <v>369</v>
          </cell>
          <cell r="I1007">
            <v>0.82</v>
          </cell>
          <cell r="J1007" t="str">
            <v>ייצור</v>
          </cell>
        </row>
        <row r="1008">
          <cell r="A1008" t="str">
            <v>רד סי אופטיקל נטוורק</v>
          </cell>
          <cell r="B1008">
            <v>2004</v>
          </cell>
          <cell r="C1008">
            <v>55</v>
          </cell>
          <cell r="D1008" t="str">
            <v>שרף מזל</v>
          </cell>
          <cell r="E1008">
            <v>7</v>
          </cell>
          <cell r="F1008">
            <v>24</v>
          </cell>
          <cell r="G1008" t="str">
            <v>שוויארוחות</v>
          </cell>
          <cell r="H1008">
            <v>364.5</v>
          </cell>
          <cell r="I1008">
            <v>0.81</v>
          </cell>
          <cell r="J1008" t="str">
            <v>ייצור</v>
          </cell>
        </row>
        <row r="1009">
          <cell r="A1009" t="str">
            <v>רד סי אופטיקל נטוורק</v>
          </cell>
          <cell r="B1009">
            <v>2004</v>
          </cell>
          <cell r="C1009">
            <v>55</v>
          </cell>
          <cell r="D1009" t="str">
            <v>שרף מזל</v>
          </cell>
          <cell r="E1009">
            <v>8</v>
          </cell>
          <cell r="F1009">
            <v>24</v>
          </cell>
          <cell r="G1009" t="str">
            <v>שוויארוחות</v>
          </cell>
          <cell r="H1009">
            <v>483</v>
          </cell>
          <cell r="I1009">
            <v>23</v>
          </cell>
          <cell r="J1009" t="str">
            <v>ייצור</v>
          </cell>
        </row>
        <row r="1010">
          <cell r="A1010" t="str">
            <v>רד סי אופטיקל נטוורק</v>
          </cell>
          <cell r="B1010">
            <v>2004</v>
          </cell>
          <cell r="C1010">
            <v>55</v>
          </cell>
          <cell r="D1010" t="str">
            <v>שרף מזל</v>
          </cell>
          <cell r="E1010">
            <v>9</v>
          </cell>
          <cell r="F1010">
            <v>22</v>
          </cell>
          <cell r="G1010" t="str">
            <v>שווי מתנות</v>
          </cell>
          <cell r="H1010">
            <v>459.25</v>
          </cell>
          <cell r="I1010">
            <v>0</v>
          </cell>
          <cell r="J1010" t="str">
            <v>ייצור</v>
          </cell>
        </row>
        <row r="1011">
          <cell r="A1011" t="str">
            <v>רד סי אופטיקל נטוורק</v>
          </cell>
          <cell r="B1011">
            <v>2004</v>
          </cell>
          <cell r="C1011">
            <v>55</v>
          </cell>
          <cell r="D1011" t="str">
            <v>שרף מזל</v>
          </cell>
          <cell r="E1011">
            <v>9</v>
          </cell>
          <cell r="F1011">
            <v>24</v>
          </cell>
          <cell r="G1011" t="str">
            <v>שוויארוחות</v>
          </cell>
          <cell r="H1011">
            <v>378</v>
          </cell>
          <cell r="I1011">
            <v>18</v>
          </cell>
          <cell r="J1011" t="str">
            <v>ייצור</v>
          </cell>
        </row>
        <row r="1012">
          <cell r="A1012" t="str">
            <v>רד סי אופטיקל נטוורק</v>
          </cell>
          <cell r="B1012">
            <v>2004</v>
          </cell>
          <cell r="C1012">
            <v>55</v>
          </cell>
          <cell r="D1012" t="str">
            <v>שרף מזל</v>
          </cell>
          <cell r="E1012">
            <v>10</v>
          </cell>
          <cell r="F1012">
            <v>24</v>
          </cell>
          <cell r="G1012" t="str">
            <v>שוויארוחות</v>
          </cell>
          <cell r="H1012">
            <v>399</v>
          </cell>
          <cell r="I1012">
            <v>19</v>
          </cell>
          <cell r="J1012" t="str">
            <v>ייצור</v>
          </cell>
        </row>
        <row r="1013">
          <cell r="A1013" t="str">
            <v>רד סי אופטיקל נטוורק</v>
          </cell>
          <cell r="B1013">
            <v>2004</v>
          </cell>
          <cell r="C1013">
            <v>55</v>
          </cell>
          <cell r="D1013" t="str">
            <v>שרף מזל</v>
          </cell>
          <cell r="E1013">
            <v>11</v>
          </cell>
          <cell r="F1013">
            <v>24</v>
          </cell>
          <cell r="G1013" t="str">
            <v>שוויארוחות</v>
          </cell>
          <cell r="H1013">
            <v>441</v>
          </cell>
          <cell r="I1013">
            <v>21</v>
          </cell>
          <cell r="J1013" t="str">
            <v>ייצור</v>
          </cell>
        </row>
        <row r="1014">
          <cell r="A1014" t="str">
            <v>רד סי אופטיקל נטוורק</v>
          </cell>
          <cell r="B1014">
            <v>2004</v>
          </cell>
          <cell r="C1014">
            <v>55</v>
          </cell>
          <cell r="D1014" t="str">
            <v>שרף מזל</v>
          </cell>
          <cell r="E1014">
            <v>12</v>
          </cell>
          <cell r="F1014">
            <v>24</v>
          </cell>
          <cell r="G1014" t="str">
            <v>שוויארוחות</v>
          </cell>
          <cell r="H1014">
            <v>462</v>
          </cell>
          <cell r="I1014">
            <v>22</v>
          </cell>
          <cell r="J1014" t="str">
            <v>ייצור</v>
          </cell>
        </row>
        <row r="1015">
          <cell r="A1015" t="str">
            <v>רד סי אופטיקל נטוורק</v>
          </cell>
          <cell r="B1015">
            <v>2004</v>
          </cell>
          <cell r="C1015">
            <v>56</v>
          </cell>
          <cell r="D1015" t="str">
            <v>לוגסי כפיר</v>
          </cell>
          <cell r="E1015">
            <v>6</v>
          </cell>
          <cell r="F1015">
            <v>24</v>
          </cell>
          <cell r="G1015" t="str">
            <v>שוויארוחות</v>
          </cell>
          <cell r="H1015">
            <v>225</v>
          </cell>
          <cell r="I1015">
            <v>0.5</v>
          </cell>
          <cell r="J1015" t="str">
            <v>תפעול</v>
          </cell>
        </row>
        <row r="1016">
          <cell r="A1016" t="str">
            <v>רד סי אופטיקל נטוורק</v>
          </cell>
          <cell r="B1016">
            <v>2004</v>
          </cell>
          <cell r="C1016">
            <v>56</v>
          </cell>
          <cell r="D1016" t="str">
            <v>לוגסי כפיר</v>
          </cell>
          <cell r="E1016">
            <v>7</v>
          </cell>
          <cell r="F1016">
            <v>24</v>
          </cell>
          <cell r="G1016" t="str">
            <v>שוויארוחות</v>
          </cell>
          <cell r="H1016">
            <v>63</v>
          </cell>
          <cell r="I1016">
            <v>0.14000000000000001</v>
          </cell>
          <cell r="J1016" t="str">
            <v>תפעול</v>
          </cell>
        </row>
        <row r="1017">
          <cell r="A1017" t="str">
            <v>רד סי אופטיקל נטוורק</v>
          </cell>
          <cell r="B1017">
            <v>2004</v>
          </cell>
          <cell r="C1017">
            <v>56</v>
          </cell>
          <cell r="D1017" t="str">
            <v>לוגסי כפיר</v>
          </cell>
          <cell r="E1017">
            <v>8</v>
          </cell>
          <cell r="F1017">
            <v>24</v>
          </cell>
          <cell r="G1017" t="str">
            <v>שוויארוחות</v>
          </cell>
          <cell r="H1017">
            <v>105</v>
          </cell>
          <cell r="I1017">
            <v>5</v>
          </cell>
          <cell r="J1017" t="str">
            <v>תפעול</v>
          </cell>
        </row>
        <row r="1018">
          <cell r="A1018" t="str">
            <v>רד סי אופטיקל נטוורק</v>
          </cell>
          <cell r="B1018">
            <v>2004</v>
          </cell>
          <cell r="C1018">
            <v>56</v>
          </cell>
          <cell r="D1018" t="str">
            <v>לוגסי כפיר</v>
          </cell>
          <cell r="E1018">
            <v>9</v>
          </cell>
          <cell r="F1018">
            <v>22</v>
          </cell>
          <cell r="G1018" t="str">
            <v>שווי מתנות</v>
          </cell>
          <cell r="H1018">
            <v>125.25</v>
          </cell>
          <cell r="I1018">
            <v>0</v>
          </cell>
          <cell r="J1018" t="str">
            <v>תפעול</v>
          </cell>
        </row>
        <row r="1019">
          <cell r="A1019" t="str">
            <v>רד סי אופטיקל נטוורק</v>
          </cell>
          <cell r="B1019">
            <v>2004</v>
          </cell>
          <cell r="C1019">
            <v>56</v>
          </cell>
          <cell r="D1019" t="str">
            <v>לוגסי כפיר</v>
          </cell>
          <cell r="E1019">
            <v>9</v>
          </cell>
          <cell r="F1019">
            <v>24</v>
          </cell>
          <cell r="G1019" t="str">
            <v>שוויארוחות</v>
          </cell>
          <cell r="H1019">
            <v>105</v>
          </cell>
          <cell r="I1019">
            <v>5</v>
          </cell>
          <cell r="J1019" t="str">
            <v>תפעול</v>
          </cell>
        </row>
        <row r="1020">
          <cell r="A1020" t="str">
            <v>רד סי אופטיקל נטוורק</v>
          </cell>
          <cell r="B1020">
            <v>2004</v>
          </cell>
          <cell r="C1020">
            <v>57</v>
          </cell>
          <cell r="D1020" t="str">
            <v>קרמרנקו בוריס</v>
          </cell>
          <cell r="E1020">
            <v>8</v>
          </cell>
          <cell r="F1020">
            <v>24</v>
          </cell>
          <cell r="G1020" t="str">
            <v>שוויארוחות</v>
          </cell>
          <cell r="H1020">
            <v>483</v>
          </cell>
          <cell r="I1020">
            <v>23</v>
          </cell>
          <cell r="J1020" t="str">
            <v>תפעול</v>
          </cell>
        </row>
        <row r="1021">
          <cell r="A1021" t="str">
            <v>רד סי אופטיקל נטוורק</v>
          </cell>
          <cell r="B1021">
            <v>2004</v>
          </cell>
          <cell r="C1021">
            <v>57</v>
          </cell>
          <cell r="D1021" t="str">
            <v>קרמרנקו בוריס</v>
          </cell>
          <cell r="E1021">
            <v>9</v>
          </cell>
          <cell r="F1021">
            <v>22</v>
          </cell>
          <cell r="G1021" t="str">
            <v>שווי מתנות</v>
          </cell>
          <cell r="H1021">
            <v>459.25</v>
          </cell>
          <cell r="I1021">
            <v>0</v>
          </cell>
          <cell r="J1021" t="str">
            <v>תפעול</v>
          </cell>
        </row>
        <row r="1022">
          <cell r="A1022" t="str">
            <v>רד סי אופטיקל נטוורק</v>
          </cell>
          <cell r="B1022">
            <v>2004</v>
          </cell>
          <cell r="C1022">
            <v>57</v>
          </cell>
          <cell r="D1022" t="str">
            <v>קרמרנקו בוריס</v>
          </cell>
          <cell r="E1022">
            <v>9</v>
          </cell>
          <cell r="F1022">
            <v>24</v>
          </cell>
          <cell r="G1022" t="str">
            <v>שוויארוחות</v>
          </cell>
          <cell r="H1022">
            <v>378</v>
          </cell>
          <cell r="I1022">
            <v>18</v>
          </cell>
          <cell r="J1022" t="str">
            <v>תפעול</v>
          </cell>
        </row>
        <row r="1023">
          <cell r="A1023" t="str">
            <v>רד סי אופטיקל נטוורק</v>
          </cell>
          <cell r="B1023">
            <v>2004</v>
          </cell>
          <cell r="C1023">
            <v>57</v>
          </cell>
          <cell r="D1023" t="str">
            <v>קרמרנקו בוריס</v>
          </cell>
          <cell r="E1023">
            <v>10</v>
          </cell>
          <cell r="F1023">
            <v>24</v>
          </cell>
          <cell r="G1023" t="str">
            <v>שוויארוחות</v>
          </cell>
          <cell r="H1023">
            <v>399</v>
          </cell>
          <cell r="I1023">
            <v>19</v>
          </cell>
          <cell r="J1023" t="str">
            <v>תפעול</v>
          </cell>
        </row>
        <row r="1024">
          <cell r="A1024" t="str">
            <v>רד סי אופטיקל נטוורק</v>
          </cell>
          <cell r="B1024">
            <v>2004</v>
          </cell>
          <cell r="C1024">
            <v>57</v>
          </cell>
          <cell r="D1024" t="str">
            <v>קרמרנקו בוריס</v>
          </cell>
          <cell r="E1024">
            <v>11</v>
          </cell>
          <cell r="F1024">
            <v>24</v>
          </cell>
          <cell r="G1024" t="str">
            <v>שוויארוחות</v>
          </cell>
          <cell r="H1024">
            <v>441</v>
          </cell>
          <cell r="I1024">
            <v>21</v>
          </cell>
          <cell r="J1024" t="str">
            <v>תפעול</v>
          </cell>
        </row>
        <row r="1025">
          <cell r="A1025" t="str">
            <v>רד סי אופטיקל נטוורק</v>
          </cell>
          <cell r="B1025">
            <v>2004</v>
          </cell>
          <cell r="C1025">
            <v>57</v>
          </cell>
          <cell r="D1025" t="str">
            <v>קרמרנקו בוריס</v>
          </cell>
          <cell r="E1025">
            <v>12</v>
          </cell>
          <cell r="F1025">
            <v>24</v>
          </cell>
          <cell r="G1025" t="str">
            <v>שוויארוחות</v>
          </cell>
          <cell r="H1025">
            <v>462</v>
          </cell>
          <cell r="I1025">
            <v>22</v>
          </cell>
          <cell r="J1025" t="str">
            <v>תפעול</v>
          </cell>
        </row>
        <row r="1026">
          <cell r="A1026" t="str">
            <v>רד סי אופטיקל נטוורק</v>
          </cell>
          <cell r="B1026">
            <v>2004</v>
          </cell>
          <cell r="C1026">
            <v>58</v>
          </cell>
          <cell r="D1026" t="str">
            <v>רובילר ניצנה</v>
          </cell>
          <cell r="E1026">
            <v>8</v>
          </cell>
          <cell r="F1026">
            <v>24</v>
          </cell>
          <cell r="G1026" t="str">
            <v>שוויארוחות</v>
          </cell>
          <cell r="H1026">
            <v>105</v>
          </cell>
          <cell r="I1026">
            <v>5</v>
          </cell>
          <cell r="J1026" t="str">
            <v>הנהלה</v>
          </cell>
        </row>
        <row r="1027">
          <cell r="A1027" t="str">
            <v>רד סי אופטיקל נטוורק</v>
          </cell>
          <cell r="B1027">
            <v>2004</v>
          </cell>
          <cell r="C1027">
            <v>58</v>
          </cell>
          <cell r="D1027" t="str">
            <v>רובילר ניצנה</v>
          </cell>
          <cell r="E1027">
            <v>9</v>
          </cell>
          <cell r="F1027">
            <v>22</v>
          </cell>
          <cell r="G1027" t="str">
            <v>שווי מתנות</v>
          </cell>
          <cell r="H1027">
            <v>125.25</v>
          </cell>
          <cell r="I1027">
            <v>0</v>
          </cell>
          <cell r="J1027" t="str">
            <v>הנהלה</v>
          </cell>
        </row>
        <row r="1028">
          <cell r="A1028" t="str">
            <v>רד סי אופטיקל נטוורק</v>
          </cell>
          <cell r="B1028">
            <v>2004</v>
          </cell>
          <cell r="C1028">
            <v>58</v>
          </cell>
          <cell r="D1028" t="str">
            <v>רובילר ניצנה</v>
          </cell>
          <cell r="E1028">
            <v>9</v>
          </cell>
          <cell r="F1028">
            <v>24</v>
          </cell>
          <cell r="G1028" t="str">
            <v>שוויארוחות</v>
          </cell>
          <cell r="H1028">
            <v>189</v>
          </cell>
          <cell r="I1028">
            <v>9</v>
          </cell>
          <cell r="J1028" t="str">
            <v>הנהלה</v>
          </cell>
        </row>
        <row r="1029">
          <cell r="A1029" t="str">
            <v>רד סי אופטיקל נטוורק</v>
          </cell>
          <cell r="B1029">
            <v>2004</v>
          </cell>
          <cell r="C1029">
            <v>58</v>
          </cell>
          <cell r="D1029" t="str">
            <v>רובילר ניצנה</v>
          </cell>
          <cell r="E1029">
            <v>10</v>
          </cell>
          <cell r="F1029">
            <v>24</v>
          </cell>
          <cell r="G1029" t="str">
            <v>שוויארוחות</v>
          </cell>
          <cell r="H1029">
            <v>168</v>
          </cell>
          <cell r="I1029">
            <v>8</v>
          </cell>
          <cell r="J1029" t="str">
            <v>הנהלה</v>
          </cell>
        </row>
        <row r="1030">
          <cell r="A1030" t="str">
            <v>רד סי אופטיקל נטוורק</v>
          </cell>
          <cell r="B1030">
            <v>2004</v>
          </cell>
          <cell r="C1030">
            <v>58</v>
          </cell>
          <cell r="D1030" t="str">
            <v>רובילר ניצנה</v>
          </cell>
          <cell r="E1030">
            <v>11</v>
          </cell>
          <cell r="F1030">
            <v>24</v>
          </cell>
          <cell r="G1030" t="str">
            <v>שוויארוחות</v>
          </cell>
          <cell r="H1030">
            <v>252</v>
          </cell>
          <cell r="I1030">
            <v>12</v>
          </cell>
          <cell r="J1030" t="str">
            <v>הנהלה</v>
          </cell>
        </row>
        <row r="1031">
          <cell r="A1031" t="str">
            <v>רד סי אופטיקל נטוורק</v>
          </cell>
          <cell r="B1031">
            <v>2004</v>
          </cell>
          <cell r="C1031">
            <v>58</v>
          </cell>
          <cell r="D1031" t="str">
            <v>רובילר ניצנה</v>
          </cell>
          <cell r="E1031">
            <v>12</v>
          </cell>
          <cell r="F1031">
            <v>24</v>
          </cell>
          <cell r="G1031" t="str">
            <v>שוויארוחות</v>
          </cell>
          <cell r="H1031">
            <v>210</v>
          </cell>
          <cell r="I1031">
            <v>10</v>
          </cell>
          <cell r="J1031" t="str">
            <v>הנהלה</v>
          </cell>
        </row>
        <row r="1032">
          <cell r="A1032" t="str">
            <v>רד סי אופטיקל נטוורק</v>
          </cell>
          <cell r="B1032">
            <v>2004</v>
          </cell>
          <cell r="C1032">
            <v>59</v>
          </cell>
          <cell r="D1032" t="str">
            <v>כהן יעקב</v>
          </cell>
          <cell r="E1032">
            <v>10</v>
          </cell>
          <cell r="F1032">
            <v>22</v>
          </cell>
          <cell r="G1032" t="str">
            <v>שווי מתנות</v>
          </cell>
          <cell r="H1032">
            <v>208.75</v>
          </cell>
          <cell r="I1032">
            <v>0</v>
          </cell>
          <cell r="J1032" t="str">
            <v>ייצור</v>
          </cell>
        </row>
        <row r="1033">
          <cell r="A1033" t="str">
            <v>רד סי אופטיקל נטוורק</v>
          </cell>
          <cell r="B1033">
            <v>2004</v>
          </cell>
          <cell r="C1033">
            <v>59</v>
          </cell>
          <cell r="D1033" t="str">
            <v>כהן יעקב</v>
          </cell>
          <cell r="E1033">
            <v>10</v>
          </cell>
          <cell r="F1033">
            <v>24</v>
          </cell>
          <cell r="G1033" t="str">
            <v>שוויארוחות</v>
          </cell>
          <cell r="H1033">
            <v>399</v>
          </cell>
          <cell r="I1033">
            <v>19</v>
          </cell>
          <cell r="J1033" t="str">
            <v>ייצור</v>
          </cell>
        </row>
        <row r="1034">
          <cell r="A1034" t="str">
            <v>רד סי אופטיקל נטוורק</v>
          </cell>
          <cell r="B1034">
            <v>2004</v>
          </cell>
          <cell r="C1034">
            <v>59</v>
          </cell>
          <cell r="D1034" t="str">
            <v>כהן יעקב</v>
          </cell>
          <cell r="E1034">
            <v>11</v>
          </cell>
          <cell r="F1034">
            <v>24</v>
          </cell>
          <cell r="G1034" t="str">
            <v>שוויארוחות</v>
          </cell>
          <cell r="H1034">
            <v>441</v>
          </cell>
          <cell r="I1034">
            <v>21</v>
          </cell>
          <cell r="J1034" t="str">
            <v>ייצור</v>
          </cell>
        </row>
        <row r="1035">
          <cell r="A1035" t="str">
            <v>רד סי אופטיקל נטוורק</v>
          </cell>
          <cell r="B1035">
            <v>2004</v>
          </cell>
          <cell r="C1035">
            <v>59</v>
          </cell>
          <cell r="D1035" t="str">
            <v>כהן יעקב</v>
          </cell>
          <cell r="E1035">
            <v>12</v>
          </cell>
          <cell r="F1035">
            <v>22</v>
          </cell>
          <cell r="G1035" t="str">
            <v>שווי מתנות</v>
          </cell>
          <cell r="H1035">
            <v>0</v>
          </cell>
          <cell r="I1035">
            <v>0</v>
          </cell>
          <cell r="J1035" t="str">
            <v>ייצור</v>
          </cell>
        </row>
        <row r="1036">
          <cell r="A1036" t="str">
            <v>רד סי אופטיקל נטוורק</v>
          </cell>
          <cell r="B1036">
            <v>2004</v>
          </cell>
          <cell r="C1036">
            <v>59</v>
          </cell>
          <cell r="D1036" t="str">
            <v>כהן יעקב</v>
          </cell>
          <cell r="E1036">
            <v>12</v>
          </cell>
          <cell r="F1036">
            <v>24</v>
          </cell>
          <cell r="G1036" t="str">
            <v>שוויארוחות</v>
          </cell>
          <cell r="H1036">
            <v>462</v>
          </cell>
          <cell r="I1036">
            <v>22</v>
          </cell>
          <cell r="J1036" t="str">
            <v>ייצור</v>
          </cell>
        </row>
        <row r="1037">
          <cell r="A1037" t="str">
            <v>רד סי אופטיקל נטוורק</v>
          </cell>
          <cell r="B1037">
            <v>2004</v>
          </cell>
          <cell r="C1037">
            <v>60</v>
          </cell>
          <cell r="D1037" t="str">
            <v>בוגדנוב אנה</v>
          </cell>
          <cell r="E1037">
            <v>10</v>
          </cell>
          <cell r="F1037">
            <v>22</v>
          </cell>
          <cell r="G1037" t="str">
            <v>שווי מתנות</v>
          </cell>
          <cell r="H1037">
            <v>208.75</v>
          </cell>
          <cell r="I1037">
            <v>0</v>
          </cell>
          <cell r="J1037" t="str">
            <v>ייצור</v>
          </cell>
        </row>
        <row r="1038">
          <cell r="A1038" t="str">
            <v>רד סי אופטיקל נטוורק</v>
          </cell>
          <cell r="B1038">
            <v>2004</v>
          </cell>
          <cell r="C1038">
            <v>60</v>
          </cell>
          <cell r="D1038" t="str">
            <v>בוגדנוב אנה</v>
          </cell>
          <cell r="E1038">
            <v>10</v>
          </cell>
          <cell r="F1038">
            <v>24</v>
          </cell>
          <cell r="G1038" t="str">
            <v>שוויארוחות</v>
          </cell>
          <cell r="H1038">
            <v>399</v>
          </cell>
          <cell r="I1038">
            <v>19</v>
          </cell>
          <cell r="J1038" t="str">
            <v>ייצור</v>
          </cell>
        </row>
        <row r="1039">
          <cell r="A1039" t="str">
            <v>רד סי אופטיקל נטוורק</v>
          </cell>
          <cell r="B1039">
            <v>2004</v>
          </cell>
          <cell r="C1039">
            <v>60</v>
          </cell>
          <cell r="D1039" t="str">
            <v>בוגדנוב אנה</v>
          </cell>
          <cell r="E1039">
            <v>11</v>
          </cell>
          <cell r="F1039">
            <v>24</v>
          </cell>
          <cell r="G1039" t="str">
            <v>שוויארוחות</v>
          </cell>
          <cell r="H1039">
            <v>441</v>
          </cell>
          <cell r="I1039">
            <v>21</v>
          </cell>
          <cell r="J1039" t="str">
            <v>ייצור</v>
          </cell>
        </row>
        <row r="1040">
          <cell r="A1040" t="str">
            <v>רד סי אופטיקל נטוורק</v>
          </cell>
          <cell r="B1040">
            <v>2004</v>
          </cell>
          <cell r="C1040">
            <v>60</v>
          </cell>
          <cell r="D1040" t="str">
            <v>בוגדנוב אנה</v>
          </cell>
          <cell r="E1040">
            <v>12</v>
          </cell>
          <cell r="F1040">
            <v>24</v>
          </cell>
          <cell r="G1040" t="str">
            <v>שוויארוחות</v>
          </cell>
          <cell r="H1040">
            <v>462</v>
          </cell>
          <cell r="I1040">
            <v>22</v>
          </cell>
          <cell r="J1040" t="str">
            <v>ייצור</v>
          </cell>
        </row>
        <row r="1041">
          <cell r="A1041" t="str">
            <v>רד סי אופטיקל נטוורק</v>
          </cell>
          <cell r="B1041">
            <v>2004</v>
          </cell>
          <cell r="C1041">
            <v>61</v>
          </cell>
          <cell r="D1041" t="str">
            <v>צ'רני איגור</v>
          </cell>
          <cell r="E1041">
            <v>10</v>
          </cell>
          <cell r="F1041">
            <v>22</v>
          </cell>
          <cell r="G1041" t="str">
            <v>שווי מתנות</v>
          </cell>
          <cell r="H1041">
            <v>208.75</v>
          </cell>
          <cell r="I1041">
            <v>0</v>
          </cell>
          <cell r="J1041" t="str">
            <v>ייצור</v>
          </cell>
        </row>
        <row r="1042">
          <cell r="A1042" t="str">
            <v>רד סי אופטיקל נטוורק</v>
          </cell>
          <cell r="B1042">
            <v>2004</v>
          </cell>
          <cell r="C1042">
            <v>61</v>
          </cell>
          <cell r="D1042" t="str">
            <v>צ'רני איגור</v>
          </cell>
          <cell r="E1042">
            <v>10</v>
          </cell>
          <cell r="F1042">
            <v>24</v>
          </cell>
          <cell r="G1042" t="str">
            <v>שוויארוחות</v>
          </cell>
          <cell r="H1042">
            <v>399</v>
          </cell>
          <cell r="I1042">
            <v>19</v>
          </cell>
          <cell r="J1042" t="str">
            <v>ייצור</v>
          </cell>
        </row>
        <row r="1043">
          <cell r="A1043" t="str">
            <v>רד סי אופטיקל נטוורק</v>
          </cell>
          <cell r="B1043">
            <v>2004</v>
          </cell>
          <cell r="C1043">
            <v>61</v>
          </cell>
          <cell r="D1043" t="str">
            <v>צ'רני איגור</v>
          </cell>
          <cell r="E1043">
            <v>11</v>
          </cell>
          <cell r="F1043">
            <v>24</v>
          </cell>
          <cell r="G1043" t="str">
            <v>שוויארוחות</v>
          </cell>
          <cell r="H1043">
            <v>441</v>
          </cell>
          <cell r="I1043">
            <v>21</v>
          </cell>
          <cell r="J1043" t="str">
            <v>ייצור</v>
          </cell>
        </row>
        <row r="1044">
          <cell r="A1044" t="str">
            <v>רד סי אופטיקל נטוורק</v>
          </cell>
          <cell r="B1044">
            <v>2004</v>
          </cell>
          <cell r="C1044">
            <v>61</v>
          </cell>
          <cell r="D1044" t="str">
            <v>צ'רני איגור</v>
          </cell>
          <cell r="E1044">
            <v>12</v>
          </cell>
          <cell r="F1044">
            <v>24</v>
          </cell>
          <cell r="G1044" t="str">
            <v>שוויארוחות</v>
          </cell>
          <cell r="H1044">
            <v>462</v>
          </cell>
          <cell r="I1044">
            <v>22</v>
          </cell>
          <cell r="J1044" t="str">
            <v>ייצור</v>
          </cell>
        </row>
        <row r="1045">
          <cell r="A1045" t="str">
            <v>רד סי אופטיקל נטוורק</v>
          </cell>
          <cell r="B1045">
            <v>2004</v>
          </cell>
          <cell r="C1045">
            <v>62</v>
          </cell>
          <cell r="D1045" t="str">
            <v>מילר רונית</v>
          </cell>
          <cell r="E1045">
            <v>10</v>
          </cell>
          <cell r="F1045">
            <v>22</v>
          </cell>
          <cell r="G1045" t="str">
            <v>שווי מתנות</v>
          </cell>
          <cell r="H1045">
            <v>208.75</v>
          </cell>
          <cell r="I1045">
            <v>0</v>
          </cell>
          <cell r="J1045" t="str">
            <v>תפעול</v>
          </cell>
        </row>
        <row r="1046">
          <cell r="A1046" t="str">
            <v>רד סי אופטיקל נטוורק</v>
          </cell>
          <cell r="B1046">
            <v>2004</v>
          </cell>
          <cell r="C1046">
            <v>62</v>
          </cell>
          <cell r="D1046" t="str">
            <v>מילר רונית</v>
          </cell>
          <cell r="E1046">
            <v>10</v>
          </cell>
          <cell r="F1046">
            <v>24</v>
          </cell>
          <cell r="G1046" t="str">
            <v>שוויארוחות</v>
          </cell>
          <cell r="H1046">
            <v>399</v>
          </cell>
          <cell r="I1046">
            <v>19</v>
          </cell>
          <cell r="J1046" t="str">
            <v>תפעול</v>
          </cell>
        </row>
        <row r="1047">
          <cell r="A1047" t="str">
            <v>רד סי אופטיקל נטוורק</v>
          </cell>
          <cell r="B1047">
            <v>2004</v>
          </cell>
          <cell r="C1047">
            <v>62</v>
          </cell>
          <cell r="D1047" t="str">
            <v>מילר רונית</v>
          </cell>
          <cell r="E1047">
            <v>11</v>
          </cell>
          <cell r="F1047">
            <v>24</v>
          </cell>
          <cell r="G1047" t="str">
            <v>שוויארוחות</v>
          </cell>
          <cell r="H1047">
            <v>441</v>
          </cell>
          <cell r="I1047">
            <v>21</v>
          </cell>
          <cell r="J1047" t="str">
            <v>תפעול</v>
          </cell>
        </row>
        <row r="1048">
          <cell r="A1048" t="str">
            <v>רד סי אופטיקל נטוורק</v>
          </cell>
          <cell r="B1048">
            <v>2004</v>
          </cell>
          <cell r="C1048">
            <v>62</v>
          </cell>
          <cell r="D1048" t="str">
            <v>מילר רונית</v>
          </cell>
          <cell r="E1048">
            <v>12</v>
          </cell>
          <cell r="F1048">
            <v>24</v>
          </cell>
          <cell r="G1048" t="str">
            <v>שוויארוחות</v>
          </cell>
          <cell r="H1048">
            <v>462</v>
          </cell>
          <cell r="I1048">
            <v>22</v>
          </cell>
          <cell r="J1048" t="str">
            <v>תפעול</v>
          </cell>
        </row>
        <row r="1049">
          <cell r="A1049" t="str">
            <v>רד סי אופטיקל נטוורק</v>
          </cell>
          <cell r="B1049">
            <v>2004</v>
          </cell>
          <cell r="C1049">
            <v>63</v>
          </cell>
          <cell r="D1049" t="str">
            <v>קורסונוב ויטאלי</v>
          </cell>
          <cell r="E1049">
            <v>10</v>
          </cell>
          <cell r="F1049">
            <v>22</v>
          </cell>
          <cell r="G1049" t="str">
            <v>שווי מתנות</v>
          </cell>
          <cell r="H1049">
            <v>208.75</v>
          </cell>
          <cell r="I1049">
            <v>0</v>
          </cell>
          <cell r="J1049" t="str">
            <v>ייצור</v>
          </cell>
        </row>
        <row r="1050">
          <cell r="A1050" t="str">
            <v>רד סי אופטיקל נטוורק</v>
          </cell>
          <cell r="B1050">
            <v>2004</v>
          </cell>
          <cell r="C1050">
            <v>63</v>
          </cell>
          <cell r="D1050" t="str">
            <v>קורסונוב ויטאלי</v>
          </cell>
          <cell r="E1050">
            <v>10</v>
          </cell>
          <cell r="F1050">
            <v>24</v>
          </cell>
          <cell r="G1050" t="str">
            <v>שוויארוחות</v>
          </cell>
          <cell r="H1050">
            <v>399</v>
          </cell>
          <cell r="I1050">
            <v>19</v>
          </cell>
          <cell r="J1050" t="str">
            <v>ייצור</v>
          </cell>
        </row>
        <row r="1051">
          <cell r="A1051" t="str">
            <v>רד סי אופטיקל נטוורק</v>
          </cell>
          <cell r="B1051">
            <v>2004</v>
          </cell>
          <cell r="C1051">
            <v>63</v>
          </cell>
          <cell r="D1051" t="str">
            <v>קורסונוב ויטאלי</v>
          </cell>
          <cell r="E1051">
            <v>11</v>
          </cell>
          <cell r="F1051">
            <v>24</v>
          </cell>
          <cell r="G1051" t="str">
            <v>שוויארוחות</v>
          </cell>
          <cell r="H1051">
            <v>441</v>
          </cell>
          <cell r="I1051">
            <v>21</v>
          </cell>
          <cell r="J1051" t="str">
            <v>ייצור</v>
          </cell>
        </row>
        <row r="1052">
          <cell r="A1052" t="str">
            <v>רד סי אופטיקל נטוורק</v>
          </cell>
          <cell r="B1052">
            <v>2004</v>
          </cell>
          <cell r="C1052">
            <v>63</v>
          </cell>
          <cell r="D1052" t="str">
            <v>קורסונוב ויטאלי</v>
          </cell>
          <cell r="E1052">
            <v>12</v>
          </cell>
          <cell r="F1052">
            <v>24</v>
          </cell>
          <cell r="G1052" t="str">
            <v>שוויארוחות</v>
          </cell>
          <cell r="H1052">
            <v>462</v>
          </cell>
          <cell r="I1052">
            <v>22</v>
          </cell>
          <cell r="J1052" t="str">
            <v>ייצור</v>
          </cell>
        </row>
        <row r="1053">
          <cell r="A1053" t="str">
            <v>רד סי אופטיקל נטוורק</v>
          </cell>
          <cell r="B1053">
            <v>2004</v>
          </cell>
          <cell r="C1053">
            <v>64</v>
          </cell>
          <cell r="D1053" t="str">
            <v>זוברב טטיאנה</v>
          </cell>
          <cell r="E1053">
            <v>10</v>
          </cell>
          <cell r="F1053">
            <v>22</v>
          </cell>
          <cell r="G1053" t="str">
            <v>שווי מתנות</v>
          </cell>
          <cell r="H1053">
            <v>208.75</v>
          </cell>
          <cell r="I1053">
            <v>0</v>
          </cell>
          <cell r="J1053" t="str">
            <v>ייצור</v>
          </cell>
        </row>
        <row r="1054">
          <cell r="A1054" t="str">
            <v>רד סי אופטיקל נטוורק</v>
          </cell>
          <cell r="B1054">
            <v>2004</v>
          </cell>
          <cell r="C1054">
            <v>64</v>
          </cell>
          <cell r="D1054" t="str">
            <v>זוברב טטיאנה</v>
          </cell>
          <cell r="E1054">
            <v>10</v>
          </cell>
          <cell r="F1054">
            <v>24</v>
          </cell>
          <cell r="G1054" t="str">
            <v>שוויארוחות</v>
          </cell>
          <cell r="H1054">
            <v>399</v>
          </cell>
          <cell r="I1054">
            <v>19</v>
          </cell>
          <cell r="J1054" t="str">
            <v>ייצור</v>
          </cell>
        </row>
        <row r="1055">
          <cell r="A1055" t="str">
            <v>רד סי אופטיקל נטוורק</v>
          </cell>
          <cell r="B1055">
            <v>2004</v>
          </cell>
          <cell r="C1055">
            <v>64</v>
          </cell>
          <cell r="D1055" t="str">
            <v>זוברב טטיאנה</v>
          </cell>
          <cell r="E1055">
            <v>11</v>
          </cell>
          <cell r="F1055">
            <v>24</v>
          </cell>
          <cell r="G1055" t="str">
            <v>שוויארוחות</v>
          </cell>
          <cell r="H1055">
            <v>441</v>
          </cell>
          <cell r="I1055">
            <v>21</v>
          </cell>
          <cell r="J1055" t="str">
            <v>ייצור</v>
          </cell>
        </row>
        <row r="1056">
          <cell r="A1056" t="str">
            <v>רד סי אופטיקל נטוורק</v>
          </cell>
          <cell r="B1056">
            <v>2004</v>
          </cell>
          <cell r="C1056">
            <v>64</v>
          </cell>
          <cell r="D1056" t="str">
            <v>זוברב טטיאנה</v>
          </cell>
          <cell r="E1056">
            <v>12</v>
          </cell>
          <cell r="F1056">
            <v>24</v>
          </cell>
          <cell r="G1056" t="str">
            <v>שוויארוחות</v>
          </cell>
          <cell r="H1056">
            <v>462</v>
          </cell>
          <cell r="I1056">
            <v>22</v>
          </cell>
          <cell r="J1056" t="str">
            <v>ייצור</v>
          </cell>
        </row>
        <row r="1057">
          <cell r="A1057" t="str">
            <v>רד סי אופטיקל נטוורק</v>
          </cell>
          <cell r="B1057">
            <v>2004</v>
          </cell>
          <cell r="C1057">
            <v>65</v>
          </cell>
          <cell r="D1057" t="str">
            <v>אוחיון יאיר</v>
          </cell>
          <cell r="E1057">
            <v>10</v>
          </cell>
          <cell r="F1057">
            <v>24</v>
          </cell>
          <cell r="G1057" t="str">
            <v>שוויארוחות</v>
          </cell>
          <cell r="H1057">
            <v>399</v>
          </cell>
          <cell r="I1057">
            <v>19</v>
          </cell>
          <cell r="J1057" t="str">
            <v>תפעול</v>
          </cell>
        </row>
        <row r="1058">
          <cell r="A1058" t="str">
            <v>רד סי אופטיקל נטוורק</v>
          </cell>
          <cell r="B1058">
            <v>2004</v>
          </cell>
          <cell r="C1058">
            <v>65</v>
          </cell>
          <cell r="D1058" t="str">
            <v>אוחיון יאיר</v>
          </cell>
          <cell r="E1058">
            <v>11</v>
          </cell>
          <cell r="F1058">
            <v>24</v>
          </cell>
          <cell r="G1058" t="str">
            <v>שוויארוחות</v>
          </cell>
          <cell r="H1058">
            <v>441</v>
          </cell>
          <cell r="I1058">
            <v>21</v>
          </cell>
          <cell r="J1058" t="str">
            <v>תפעול</v>
          </cell>
        </row>
        <row r="1059">
          <cell r="A1059" t="str">
            <v>רד סי אופטיקל נטוורק</v>
          </cell>
          <cell r="B1059">
            <v>2004</v>
          </cell>
          <cell r="C1059">
            <v>65</v>
          </cell>
          <cell r="D1059" t="str">
            <v>אוחיון יאיר</v>
          </cell>
          <cell r="E1059">
            <v>12</v>
          </cell>
          <cell r="F1059">
            <v>24</v>
          </cell>
          <cell r="G1059" t="str">
            <v>שוויארוחות</v>
          </cell>
          <cell r="H1059">
            <v>462</v>
          </cell>
          <cell r="I1059">
            <v>22</v>
          </cell>
          <cell r="J1059" t="str">
            <v>תפעול</v>
          </cell>
        </row>
        <row r="1060">
          <cell r="A1060" t="str">
            <v>רד סי אופטיקל נטוורק</v>
          </cell>
          <cell r="B1060">
            <v>2004</v>
          </cell>
          <cell r="C1060">
            <v>66</v>
          </cell>
          <cell r="D1060" t="str">
            <v>מנשה דוד</v>
          </cell>
          <cell r="E1060">
            <v>10</v>
          </cell>
          <cell r="F1060">
            <v>24</v>
          </cell>
          <cell r="G1060" t="str">
            <v>שוויארוחות</v>
          </cell>
          <cell r="H1060">
            <v>210</v>
          </cell>
          <cell r="I1060">
            <v>10</v>
          </cell>
          <cell r="J1060" t="str">
            <v>מו"פ</v>
          </cell>
        </row>
        <row r="1061">
          <cell r="A1061" t="str">
            <v>רד סי אופטיקל נטוורק</v>
          </cell>
          <cell r="B1061">
            <v>2004</v>
          </cell>
          <cell r="C1061">
            <v>66</v>
          </cell>
          <cell r="D1061" t="str">
            <v>מנשה דוד</v>
          </cell>
          <cell r="E1061">
            <v>11</v>
          </cell>
          <cell r="F1061">
            <v>24</v>
          </cell>
          <cell r="G1061" t="str">
            <v>שוויארוחות</v>
          </cell>
          <cell r="H1061">
            <v>441</v>
          </cell>
          <cell r="I1061">
            <v>21</v>
          </cell>
          <cell r="J1061" t="str">
            <v>מו"פ</v>
          </cell>
        </row>
        <row r="1062">
          <cell r="A1062" t="str">
            <v>רד סי אופטיקל נטוורק</v>
          </cell>
          <cell r="B1062">
            <v>2004</v>
          </cell>
          <cell r="C1062">
            <v>66</v>
          </cell>
          <cell r="D1062" t="str">
            <v>מנשה דוד</v>
          </cell>
          <cell r="E1062">
            <v>12</v>
          </cell>
          <cell r="F1062">
            <v>24</v>
          </cell>
          <cell r="G1062" t="str">
            <v>שוויארוחות</v>
          </cell>
          <cell r="H1062">
            <v>462</v>
          </cell>
          <cell r="I1062">
            <v>22</v>
          </cell>
          <cell r="J1062" t="str">
            <v>מו"פ</v>
          </cell>
        </row>
        <row r="1063">
          <cell r="A1063" t="str">
            <v>רד סי אופטיקל נטוורק</v>
          </cell>
          <cell r="B1063">
            <v>2004</v>
          </cell>
          <cell r="C1063">
            <v>67</v>
          </cell>
          <cell r="D1063" t="str">
            <v>גולדנברג יצחק</v>
          </cell>
          <cell r="E1063">
            <v>11</v>
          </cell>
          <cell r="F1063">
            <v>6</v>
          </cell>
          <cell r="G1063" t="str">
            <v>שווי רכב</v>
          </cell>
          <cell r="H1063">
            <v>362.6</v>
          </cell>
          <cell r="I1063">
            <v>0.37</v>
          </cell>
          <cell r="J1063" t="str">
            <v>שיווק</v>
          </cell>
        </row>
        <row r="1064">
          <cell r="A1064" t="str">
            <v>רד סי אופטיקל נטוורק</v>
          </cell>
          <cell r="B1064">
            <v>2004</v>
          </cell>
          <cell r="C1064">
            <v>67</v>
          </cell>
          <cell r="D1064" t="str">
            <v>גולדנברג יצחק</v>
          </cell>
          <cell r="E1064">
            <v>11</v>
          </cell>
          <cell r="F1064">
            <v>24</v>
          </cell>
          <cell r="G1064" t="str">
            <v>שוויארוחות</v>
          </cell>
          <cell r="H1064">
            <v>147</v>
          </cell>
          <cell r="I1064">
            <v>7</v>
          </cell>
          <cell r="J1064" t="str">
            <v>שיווק</v>
          </cell>
        </row>
        <row r="1065">
          <cell r="A1065" t="str">
            <v>רד סי אופטיקל נטוורק</v>
          </cell>
          <cell r="B1065">
            <v>2004</v>
          </cell>
          <cell r="C1065">
            <v>67</v>
          </cell>
          <cell r="D1065" t="str">
            <v>גולדנברג יצחק</v>
          </cell>
          <cell r="E1065">
            <v>11</v>
          </cell>
          <cell r="F1065">
            <v>47</v>
          </cell>
          <cell r="G1065" t="str">
            <v>שווי פלא</v>
          </cell>
          <cell r="H1065">
            <v>27.2</v>
          </cell>
          <cell r="I1065">
            <v>0.32</v>
          </cell>
          <cell r="J1065" t="str">
            <v>שיווק</v>
          </cell>
        </row>
        <row r="1066">
          <cell r="A1066" t="str">
            <v>רד סי אופטיקל נטוורק</v>
          </cell>
          <cell r="B1066">
            <v>2004</v>
          </cell>
          <cell r="C1066">
            <v>67</v>
          </cell>
          <cell r="D1066" t="str">
            <v>גולדנברג יצחק</v>
          </cell>
          <cell r="E1066">
            <v>12</v>
          </cell>
          <cell r="F1066">
            <v>24</v>
          </cell>
          <cell r="G1066" t="str">
            <v>שוויארוחות</v>
          </cell>
          <cell r="H1066">
            <v>462</v>
          </cell>
          <cell r="I1066">
            <v>22</v>
          </cell>
          <cell r="J1066" t="str">
            <v>שיווק</v>
          </cell>
        </row>
        <row r="1067">
          <cell r="A1067" t="str">
            <v>רד סי אופטיקל נטוורק</v>
          </cell>
          <cell r="B1067">
            <v>2004</v>
          </cell>
          <cell r="C1067">
            <v>67</v>
          </cell>
          <cell r="D1067" t="str">
            <v>גולדנברג יצחק</v>
          </cell>
          <cell r="E1067">
            <v>12</v>
          </cell>
          <cell r="F1067">
            <v>40</v>
          </cell>
          <cell r="G1067" t="str">
            <v>רכב קב' 2</v>
          </cell>
          <cell r="H1067">
            <v>980</v>
          </cell>
          <cell r="I1067">
            <v>0</v>
          </cell>
          <cell r="J1067" t="str">
            <v>שיווק</v>
          </cell>
        </row>
        <row r="1068">
          <cell r="A1068" t="str">
            <v>רד סי אופטיקל נטוורק</v>
          </cell>
          <cell r="B1068">
            <v>2004</v>
          </cell>
          <cell r="C1068">
            <v>67</v>
          </cell>
          <cell r="D1068" t="str">
            <v>גולדנברג יצחק</v>
          </cell>
          <cell r="E1068">
            <v>12</v>
          </cell>
          <cell r="F1068">
            <v>47</v>
          </cell>
          <cell r="G1068" t="str">
            <v>שווי פלא</v>
          </cell>
          <cell r="H1068">
            <v>85</v>
          </cell>
          <cell r="I1068">
            <v>0</v>
          </cell>
          <cell r="J1068" t="str">
            <v>שיווק</v>
          </cell>
        </row>
      </sheetData>
      <sheetData sheetId="1" refreshError="1"/>
      <sheetData sheetId="2" refreshError="1"/>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JE"/>
      <sheetName val="summary"/>
      <sheetName val="P&amp;L"/>
      <sheetName val="BS"/>
      <sheetName val="CF"/>
      <sheetName val="Quarterly P&amp;L"/>
      <sheetName val="Quarterly BS"/>
      <sheetName val="Quarterly CF"/>
      <sheetName val="P&amp;L Ltd Solo"/>
      <sheetName val="BS Ltd Solo"/>
      <sheetName val="BP&amp;L"/>
      <sheetName val="BBS "/>
      <sheetName val="general ledger"/>
      <sheetName val="TB-Feb"/>
      <sheetName val="TB 1-14"/>
      <sheetName val="TB-12.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6">
          <cell r="B16" t="str">
            <v>10005</v>
          </cell>
        </row>
        <row r="17">
          <cell r="B17" t="str">
            <v>10006</v>
          </cell>
        </row>
        <row r="18">
          <cell r="B18" t="str">
            <v>10007</v>
          </cell>
        </row>
        <row r="19">
          <cell r="B19" t="str">
            <v>10008</v>
          </cell>
        </row>
        <row r="20">
          <cell r="B20" t="str">
            <v>10017</v>
          </cell>
        </row>
        <row r="21">
          <cell r="B21" t="str">
            <v>10020</v>
          </cell>
        </row>
        <row r="22">
          <cell r="B22" t="str">
            <v>11000</v>
          </cell>
        </row>
        <row r="23">
          <cell r="B23" t="str">
            <v>10200</v>
          </cell>
        </row>
        <row r="24">
          <cell r="B24">
            <v>10204</v>
          </cell>
        </row>
        <row r="25">
          <cell r="B25">
            <v>10205</v>
          </cell>
        </row>
        <row r="26">
          <cell r="B26" t="str">
            <v>11022</v>
          </cell>
        </row>
        <row r="27">
          <cell r="B27" t="str">
            <v>11025</v>
          </cell>
        </row>
        <row r="28">
          <cell r="B28" t="str">
            <v>11026</v>
          </cell>
        </row>
        <row r="29">
          <cell r="B29" t="str">
            <v>11027</v>
          </cell>
        </row>
        <row r="30">
          <cell r="B30" t="str">
            <v>10700</v>
          </cell>
        </row>
        <row r="31">
          <cell r="B31" t="str">
            <v>12000</v>
          </cell>
        </row>
        <row r="32">
          <cell r="B32" t="str">
            <v>12501</v>
          </cell>
        </row>
        <row r="33">
          <cell r="B33">
            <v>16000</v>
          </cell>
        </row>
        <row r="34">
          <cell r="B34" t="str">
            <v>25000</v>
          </cell>
        </row>
        <row r="35">
          <cell r="B35">
            <v>25001</v>
          </cell>
        </row>
        <row r="36">
          <cell r="B36" t="str">
            <v>25002</v>
          </cell>
        </row>
        <row r="37">
          <cell r="B37" t="str">
            <v>25003</v>
          </cell>
        </row>
        <row r="38">
          <cell r="B38" t="str">
            <v>25006</v>
          </cell>
        </row>
        <row r="39">
          <cell r="B39" t="str">
            <v>25008</v>
          </cell>
        </row>
        <row r="40">
          <cell r="B40" t="str">
            <v>25011</v>
          </cell>
        </row>
        <row r="41">
          <cell r="B41">
            <v>25012</v>
          </cell>
        </row>
        <row r="42">
          <cell r="B42" t="str">
            <v>25014</v>
          </cell>
        </row>
        <row r="43">
          <cell r="B43" t="str">
            <v>25016</v>
          </cell>
        </row>
        <row r="44">
          <cell r="B44" t="str">
            <v>25017</v>
          </cell>
        </row>
        <row r="45">
          <cell r="B45" t="str">
            <v>18000</v>
          </cell>
        </row>
        <row r="46">
          <cell r="B46">
            <v>18001</v>
          </cell>
        </row>
        <row r="47">
          <cell r="B47" t="str">
            <v>18004</v>
          </cell>
        </row>
        <row r="48">
          <cell r="B48" t="str">
            <v>18005</v>
          </cell>
        </row>
        <row r="49">
          <cell r="B49">
            <v>18500</v>
          </cell>
        </row>
        <row r="50">
          <cell r="B50">
            <v>18501</v>
          </cell>
        </row>
        <row r="51">
          <cell r="B51" t="str">
            <v>18504</v>
          </cell>
        </row>
        <row r="52">
          <cell r="B52" t="str">
            <v>18505</v>
          </cell>
        </row>
        <row r="53">
          <cell r="B53">
            <v>20000</v>
          </cell>
        </row>
        <row r="54">
          <cell r="B54">
            <v>20001</v>
          </cell>
        </row>
        <row r="55">
          <cell r="B55">
            <v>20002</v>
          </cell>
        </row>
        <row r="56">
          <cell r="B56" t="str">
            <v>20003</v>
          </cell>
        </row>
        <row r="57">
          <cell r="B57" t="str">
            <v>20004</v>
          </cell>
        </row>
        <row r="58">
          <cell r="B58" t="str">
            <v>20006</v>
          </cell>
        </row>
        <row r="59">
          <cell r="B59" t="str">
            <v>20007</v>
          </cell>
        </row>
        <row r="60">
          <cell r="B60" t="str">
            <v>20008</v>
          </cell>
        </row>
        <row r="61">
          <cell r="B61" t="str">
            <v>20010</v>
          </cell>
        </row>
        <row r="62">
          <cell r="B62">
            <v>20011</v>
          </cell>
        </row>
        <row r="63">
          <cell r="B63">
            <v>20012</v>
          </cell>
        </row>
        <row r="64">
          <cell r="B64" t="str">
            <v>20016</v>
          </cell>
        </row>
        <row r="65">
          <cell r="B65">
            <v>20017</v>
          </cell>
        </row>
        <row r="66">
          <cell r="B66" t="str">
            <v>20019</v>
          </cell>
        </row>
        <row r="67">
          <cell r="B67" t="str">
            <v>20020</v>
          </cell>
        </row>
        <row r="68">
          <cell r="B68" t="str">
            <v>20021</v>
          </cell>
        </row>
        <row r="69">
          <cell r="B69" t="str">
            <v>20024</v>
          </cell>
        </row>
        <row r="70">
          <cell r="B70" t="str">
            <v>20025</v>
          </cell>
        </row>
        <row r="71">
          <cell r="B71">
            <v>20026</v>
          </cell>
        </row>
        <row r="72">
          <cell r="B72" t="str">
            <v>20027</v>
          </cell>
        </row>
        <row r="73">
          <cell r="B73">
            <v>20028</v>
          </cell>
        </row>
        <row r="74">
          <cell r="B74">
            <v>20030</v>
          </cell>
        </row>
        <row r="75">
          <cell r="B75">
            <v>20031</v>
          </cell>
        </row>
        <row r="76">
          <cell r="B76" t="str">
            <v>20032</v>
          </cell>
        </row>
        <row r="77">
          <cell r="B77" t="str">
            <v>20034</v>
          </cell>
        </row>
        <row r="78">
          <cell r="B78">
            <v>20035</v>
          </cell>
        </row>
        <row r="79">
          <cell r="B79">
            <v>20036</v>
          </cell>
        </row>
        <row r="80">
          <cell r="B80" t="str">
            <v>20037</v>
          </cell>
        </row>
        <row r="81">
          <cell r="B81">
            <v>20038</v>
          </cell>
        </row>
        <row r="82">
          <cell r="B82">
            <v>20039</v>
          </cell>
        </row>
        <row r="83">
          <cell r="B83" t="str">
            <v>20040</v>
          </cell>
        </row>
        <row r="84">
          <cell r="B84" t="str">
            <v>20042</v>
          </cell>
        </row>
        <row r="85">
          <cell r="B85" t="str">
            <v>20043</v>
          </cell>
        </row>
        <row r="86">
          <cell r="B86" t="str">
            <v>20046</v>
          </cell>
        </row>
        <row r="87">
          <cell r="B87" t="str">
            <v>20047</v>
          </cell>
        </row>
        <row r="88">
          <cell r="B88" t="str">
            <v>20048</v>
          </cell>
        </row>
        <row r="89">
          <cell r="B89" t="str">
            <v>20049</v>
          </cell>
        </row>
        <row r="90">
          <cell r="B90">
            <v>20050</v>
          </cell>
        </row>
        <row r="91">
          <cell r="B91" t="str">
            <v>20052</v>
          </cell>
        </row>
        <row r="92">
          <cell r="B92" t="str">
            <v>20053</v>
          </cell>
        </row>
        <row r="93">
          <cell r="B93" t="str">
            <v>20054</v>
          </cell>
        </row>
        <row r="94">
          <cell r="B94" t="str">
            <v>20055</v>
          </cell>
        </row>
        <row r="95">
          <cell r="B95" t="str">
            <v>20056</v>
          </cell>
        </row>
        <row r="96">
          <cell r="B96" t="str">
            <v>20057</v>
          </cell>
        </row>
        <row r="97">
          <cell r="B97" t="str">
            <v>20058</v>
          </cell>
        </row>
        <row r="98">
          <cell r="B98" t="str">
            <v>20059</v>
          </cell>
        </row>
        <row r="99">
          <cell r="B99" t="str">
            <v>20060</v>
          </cell>
        </row>
        <row r="100">
          <cell r="B100" t="str">
            <v>20061</v>
          </cell>
        </row>
        <row r="101">
          <cell r="B101" t="str">
            <v>20062</v>
          </cell>
        </row>
        <row r="102">
          <cell r="B102" t="str">
            <v>20063</v>
          </cell>
        </row>
        <row r="103">
          <cell r="B103" t="str">
            <v>20064</v>
          </cell>
        </row>
        <row r="104">
          <cell r="B104" t="str">
            <v>20065</v>
          </cell>
        </row>
        <row r="105">
          <cell r="B105" t="str">
            <v>20066</v>
          </cell>
        </row>
        <row r="106">
          <cell r="B106" t="str">
            <v>20067</v>
          </cell>
        </row>
        <row r="107">
          <cell r="B107" t="str">
            <v>20068</v>
          </cell>
        </row>
        <row r="108">
          <cell r="B108" t="str">
            <v>20069</v>
          </cell>
        </row>
        <row r="109">
          <cell r="B109" t="str">
            <v>20070</v>
          </cell>
        </row>
        <row r="110">
          <cell r="B110" t="str">
            <v>20071</v>
          </cell>
        </row>
        <row r="111">
          <cell r="B111" t="str">
            <v>20072</v>
          </cell>
        </row>
        <row r="112">
          <cell r="B112" t="str">
            <v>20073</v>
          </cell>
        </row>
        <row r="113">
          <cell r="B113">
            <v>20075</v>
          </cell>
        </row>
        <row r="114">
          <cell r="B114">
            <v>20079</v>
          </cell>
        </row>
        <row r="115">
          <cell r="B115">
            <v>20083</v>
          </cell>
        </row>
        <row r="116">
          <cell r="B116">
            <v>20084</v>
          </cell>
        </row>
        <row r="117">
          <cell r="B117">
            <v>20085</v>
          </cell>
        </row>
        <row r="118">
          <cell r="B118">
            <v>20100</v>
          </cell>
        </row>
        <row r="119">
          <cell r="B119" t="str">
            <v>20101</v>
          </cell>
        </row>
        <row r="120">
          <cell r="B120" t="str">
            <v>20103</v>
          </cell>
        </row>
        <row r="121">
          <cell r="B121">
            <v>20104</v>
          </cell>
        </row>
        <row r="122">
          <cell r="B122">
            <v>20105</v>
          </cell>
        </row>
        <row r="123">
          <cell r="B123">
            <v>20106</v>
          </cell>
        </row>
        <row r="124">
          <cell r="B124">
            <v>20107</v>
          </cell>
        </row>
        <row r="125">
          <cell r="B125">
            <v>20108</v>
          </cell>
        </row>
        <row r="126">
          <cell r="B126">
            <v>20109</v>
          </cell>
        </row>
        <row r="127">
          <cell r="B127" t="str">
            <v>20501</v>
          </cell>
        </row>
        <row r="128">
          <cell r="B128" t="str">
            <v>20503</v>
          </cell>
        </row>
        <row r="129">
          <cell r="B129" t="str">
            <v>21000</v>
          </cell>
        </row>
        <row r="130">
          <cell r="B130">
            <v>21001</v>
          </cell>
        </row>
        <row r="131">
          <cell r="B131">
            <v>21002</v>
          </cell>
        </row>
        <row r="132">
          <cell r="B132">
            <v>21003</v>
          </cell>
        </row>
        <row r="133">
          <cell r="B133">
            <v>21005</v>
          </cell>
        </row>
        <row r="134">
          <cell r="B134" t="str">
            <v>21006</v>
          </cell>
        </row>
        <row r="135">
          <cell r="B135" t="str">
            <v>21010</v>
          </cell>
        </row>
        <row r="136">
          <cell r="B136" t="str">
            <v>21011</v>
          </cell>
        </row>
        <row r="137">
          <cell r="B137" t="str">
            <v>21012</v>
          </cell>
        </row>
        <row r="138">
          <cell r="B138">
            <v>21014</v>
          </cell>
        </row>
        <row r="139">
          <cell r="B139">
            <v>21015</v>
          </cell>
        </row>
        <row r="140">
          <cell r="B140">
            <v>21016</v>
          </cell>
        </row>
        <row r="141">
          <cell r="B141" t="str">
            <v>23000</v>
          </cell>
        </row>
        <row r="142">
          <cell r="B142" t="str">
            <v>23001</v>
          </cell>
        </row>
        <row r="143">
          <cell r="B143" t="str">
            <v>23002</v>
          </cell>
        </row>
        <row r="144">
          <cell r="B144" t="str">
            <v>23003</v>
          </cell>
        </row>
        <row r="145">
          <cell r="B145" t="str">
            <v>23004</v>
          </cell>
        </row>
        <row r="146">
          <cell r="B146" t="str">
            <v>23007</v>
          </cell>
        </row>
        <row r="147">
          <cell r="B147" t="str">
            <v>23018</v>
          </cell>
        </row>
        <row r="148">
          <cell r="B148" t="str">
            <v>23019</v>
          </cell>
        </row>
        <row r="149">
          <cell r="B149" t="str">
            <v>23020</v>
          </cell>
        </row>
        <row r="150">
          <cell r="B150" t="str">
            <v>23021</v>
          </cell>
        </row>
        <row r="151">
          <cell r="B151" t="str">
            <v>23022</v>
          </cell>
        </row>
        <row r="152">
          <cell r="B152" t="str">
            <v>24000</v>
          </cell>
        </row>
        <row r="153">
          <cell r="B153" t="str">
            <v>24001</v>
          </cell>
        </row>
        <row r="154">
          <cell r="B154" t="str">
            <v>26101</v>
          </cell>
        </row>
        <row r="155">
          <cell r="B155">
            <v>27000</v>
          </cell>
        </row>
        <row r="156">
          <cell r="B156" t="str">
            <v>28001</v>
          </cell>
        </row>
        <row r="157">
          <cell r="B157" t="str">
            <v>29000</v>
          </cell>
        </row>
        <row r="158">
          <cell r="B158">
            <v>36000</v>
          </cell>
        </row>
        <row r="159">
          <cell r="B159">
            <v>36001</v>
          </cell>
        </row>
        <row r="160">
          <cell r="B160" t="str">
            <v>36002</v>
          </cell>
        </row>
        <row r="161">
          <cell r="B161" t="str">
            <v>31000</v>
          </cell>
        </row>
        <row r="162">
          <cell r="B162" t="str">
            <v>31001</v>
          </cell>
        </row>
        <row r="163">
          <cell r="B163" t="str">
            <v>31006</v>
          </cell>
        </row>
        <row r="164">
          <cell r="B164" t="str">
            <v>89000</v>
          </cell>
        </row>
        <row r="165">
          <cell r="B165" t="str">
            <v>40600</v>
          </cell>
        </row>
        <row r="166">
          <cell r="B166" t="str">
            <v>40601</v>
          </cell>
        </row>
        <row r="167">
          <cell r="B167" t="str">
            <v>50000</v>
          </cell>
        </row>
        <row r="168">
          <cell r="B168" t="str">
            <v>50001</v>
          </cell>
        </row>
        <row r="169">
          <cell r="B169" t="str">
            <v>50002</v>
          </cell>
        </row>
        <row r="170">
          <cell r="B170" t="str">
            <v>50004</v>
          </cell>
        </row>
        <row r="171">
          <cell r="B171" t="str">
            <v>50005</v>
          </cell>
        </row>
        <row r="172">
          <cell r="B172" t="str">
            <v>50006</v>
          </cell>
        </row>
        <row r="173">
          <cell r="B173" t="str">
            <v>50007</v>
          </cell>
        </row>
        <row r="174">
          <cell r="B174" t="str">
            <v>50008</v>
          </cell>
        </row>
        <row r="175">
          <cell r="B175" t="str">
            <v>50009</v>
          </cell>
        </row>
        <row r="176">
          <cell r="B176" t="str">
            <v>50010</v>
          </cell>
        </row>
        <row r="177">
          <cell r="B177" t="str">
            <v>50011</v>
          </cell>
        </row>
        <row r="178">
          <cell r="B178" t="str">
            <v>50012</v>
          </cell>
        </row>
        <row r="179">
          <cell r="B179" t="str">
            <v>50013</v>
          </cell>
        </row>
        <row r="180">
          <cell r="B180" t="str">
            <v>50014</v>
          </cell>
        </row>
        <row r="181">
          <cell r="B181">
            <v>50015</v>
          </cell>
        </row>
        <row r="182">
          <cell r="B182" t="str">
            <v>50016</v>
          </cell>
        </row>
        <row r="183">
          <cell r="B183" t="str">
            <v>50017</v>
          </cell>
        </row>
        <row r="184">
          <cell r="B184">
            <v>50018</v>
          </cell>
        </row>
        <row r="185">
          <cell r="B185">
            <v>50020</v>
          </cell>
        </row>
        <row r="186">
          <cell r="B186" t="str">
            <v>50021</v>
          </cell>
        </row>
        <row r="187">
          <cell r="B187" t="str">
            <v>50022</v>
          </cell>
        </row>
        <row r="188">
          <cell r="B188" t="str">
            <v>50023</v>
          </cell>
        </row>
        <row r="189">
          <cell r="B189">
            <v>50024</v>
          </cell>
        </row>
        <row r="190">
          <cell r="B190">
            <v>50025</v>
          </cell>
        </row>
        <row r="191">
          <cell r="B191">
            <v>50026</v>
          </cell>
        </row>
        <row r="192">
          <cell r="B192" t="str">
            <v>50027</v>
          </cell>
        </row>
        <row r="193">
          <cell r="B193" t="str">
            <v>50028</v>
          </cell>
        </row>
        <row r="194">
          <cell r="B194" t="str">
            <v>50029</v>
          </cell>
        </row>
        <row r="195">
          <cell r="B195">
            <v>50030</v>
          </cell>
        </row>
        <row r="196">
          <cell r="B196" t="str">
            <v>50031</v>
          </cell>
        </row>
        <row r="197">
          <cell r="B197">
            <v>50032</v>
          </cell>
        </row>
        <row r="198">
          <cell r="B198" t="str">
            <v>50033</v>
          </cell>
        </row>
        <row r="199">
          <cell r="B199" t="str">
            <v>50035</v>
          </cell>
        </row>
        <row r="200">
          <cell r="B200" t="str">
            <v>50037</v>
          </cell>
        </row>
        <row r="201">
          <cell r="B201" t="str">
            <v>50039</v>
          </cell>
        </row>
        <row r="202">
          <cell r="B202" t="str">
            <v>50041</v>
          </cell>
        </row>
        <row r="203">
          <cell r="B203">
            <v>50043</v>
          </cell>
        </row>
        <row r="204">
          <cell r="B204" t="str">
            <v>50044</v>
          </cell>
        </row>
        <row r="205">
          <cell r="B205">
            <v>50045</v>
          </cell>
        </row>
        <row r="206">
          <cell r="B206" t="str">
            <v>50046</v>
          </cell>
        </row>
        <row r="207">
          <cell r="B207">
            <v>50047</v>
          </cell>
        </row>
        <row r="208">
          <cell r="B208" t="str">
            <v>50052</v>
          </cell>
        </row>
        <row r="209">
          <cell r="B209">
            <v>50051</v>
          </cell>
        </row>
        <row r="210">
          <cell r="B210">
            <v>50055</v>
          </cell>
        </row>
        <row r="211">
          <cell r="B211" t="str">
            <v>50059</v>
          </cell>
        </row>
        <row r="212">
          <cell r="B212" t="str">
            <v>50060</v>
          </cell>
        </row>
        <row r="213">
          <cell r="B213" t="str">
            <v>50061</v>
          </cell>
        </row>
        <row r="214">
          <cell r="B214" t="str">
            <v>50062</v>
          </cell>
        </row>
        <row r="215">
          <cell r="B215">
            <v>50063</v>
          </cell>
        </row>
        <row r="216">
          <cell r="B216" t="str">
            <v>51000</v>
          </cell>
        </row>
        <row r="217">
          <cell r="B217" t="str">
            <v>51001</v>
          </cell>
        </row>
        <row r="218">
          <cell r="B218" t="str">
            <v>51002</v>
          </cell>
        </row>
        <row r="219">
          <cell r="B219">
            <v>51003</v>
          </cell>
        </row>
        <row r="220">
          <cell r="B220" t="str">
            <v>51004</v>
          </cell>
        </row>
        <row r="221">
          <cell r="B221">
            <v>51005</v>
          </cell>
        </row>
        <row r="222">
          <cell r="B222" t="str">
            <v>51006</v>
          </cell>
        </row>
        <row r="223">
          <cell r="B223">
            <v>51007</v>
          </cell>
        </row>
        <row r="224">
          <cell r="B224">
            <v>51009</v>
          </cell>
        </row>
        <row r="225">
          <cell r="B225">
            <v>51014</v>
          </cell>
        </row>
        <row r="226">
          <cell r="B226">
            <v>51017</v>
          </cell>
        </row>
        <row r="227">
          <cell r="B227">
            <v>51019</v>
          </cell>
        </row>
        <row r="228">
          <cell r="B228">
            <v>51020</v>
          </cell>
        </row>
        <row r="229">
          <cell r="B229" t="str">
            <v>51052</v>
          </cell>
        </row>
        <row r="230">
          <cell r="B230" t="str">
            <v>51053</v>
          </cell>
        </row>
        <row r="231">
          <cell r="B231" t="str">
            <v>51054</v>
          </cell>
        </row>
        <row r="232">
          <cell r="B232">
            <v>51100</v>
          </cell>
        </row>
        <row r="233">
          <cell r="B233">
            <v>51101</v>
          </cell>
        </row>
        <row r="234">
          <cell r="B234">
            <v>51102</v>
          </cell>
        </row>
        <row r="235">
          <cell r="B235">
            <v>51103</v>
          </cell>
        </row>
        <row r="236">
          <cell r="B236">
            <v>51104</v>
          </cell>
        </row>
        <row r="237">
          <cell r="B237">
            <v>51105</v>
          </cell>
        </row>
        <row r="238">
          <cell r="B238">
            <v>51106</v>
          </cell>
        </row>
        <row r="239">
          <cell r="B239">
            <v>51107</v>
          </cell>
        </row>
        <row r="240">
          <cell r="B240">
            <v>51108</v>
          </cell>
        </row>
        <row r="241">
          <cell r="B241">
            <v>51109</v>
          </cell>
        </row>
        <row r="242">
          <cell r="B242">
            <v>51110</v>
          </cell>
        </row>
        <row r="243">
          <cell r="B243">
            <v>51111</v>
          </cell>
        </row>
        <row r="244">
          <cell r="B244">
            <v>51112</v>
          </cell>
        </row>
        <row r="245">
          <cell r="B245" t="str">
            <v>51130</v>
          </cell>
        </row>
        <row r="246">
          <cell r="B246" t="str">
            <v>52000</v>
          </cell>
        </row>
        <row r="247">
          <cell r="B247" t="str">
            <v>52001</v>
          </cell>
        </row>
        <row r="248">
          <cell r="B248" t="str">
            <v>52002</v>
          </cell>
        </row>
        <row r="249">
          <cell r="B249" t="str">
            <v>52003</v>
          </cell>
        </row>
        <row r="250">
          <cell r="B250" t="str">
            <v>52004</v>
          </cell>
        </row>
        <row r="251">
          <cell r="B251" t="str">
            <v>52005</v>
          </cell>
        </row>
        <row r="252">
          <cell r="B252">
            <v>52006</v>
          </cell>
        </row>
        <row r="253">
          <cell r="B253">
            <v>52007</v>
          </cell>
        </row>
        <row r="254">
          <cell r="B254">
            <v>52008</v>
          </cell>
        </row>
        <row r="255">
          <cell r="B255">
            <v>52009</v>
          </cell>
        </row>
        <row r="256">
          <cell r="B256">
            <v>52010</v>
          </cell>
        </row>
        <row r="257">
          <cell r="B257">
            <v>52011</v>
          </cell>
        </row>
        <row r="258">
          <cell r="B258">
            <v>52099</v>
          </cell>
        </row>
        <row r="259">
          <cell r="B259" t="str">
            <v>53099</v>
          </cell>
        </row>
        <row r="260">
          <cell r="B260" t="str">
            <v>60000</v>
          </cell>
        </row>
        <row r="261">
          <cell r="B261">
            <v>60003</v>
          </cell>
        </row>
        <row r="262">
          <cell r="B262" t="str">
            <v>60004</v>
          </cell>
        </row>
        <row r="263">
          <cell r="B263">
            <v>60005</v>
          </cell>
        </row>
        <row r="264">
          <cell r="B264" t="str">
            <v>60009</v>
          </cell>
        </row>
        <row r="265">
          <cell r="B265">
            <v>60017</v>
          </cell>
        </row>
        <row r="266">
          <cell r="B266" t="str">
            <v>61000</v>
          </cell>
        </row>
        <row r="267">
          <cell r="B267" t="str">
            <v>61001</v>
          </cell>
        </row>
        <row r="268">
          <cell r="B268" t="str">
            <v>61002</v>
          </cell>
        </row>
        <row r="269">
          <cell r="B269">
            <v>61003</v>
          </cell>
        </row>
        <row r="270">
          <cell r="B270" t="str">
            <v>61004</v>
          </cell>
        </row>
        <row r="271">
          <cell r="B271">
            <v>61005</v>
          </cell>
        </row>
        <row r="272">
          <cell r="B272" t="str">
            <v>61006</v>
          </cell>
        </row>
        <row r="273">
          <cell r="B273">
            <v>61007</v>
          </cell>
        </row>
        <row r="274">
          <cell r="B274">
            <v>61009</v>
          </cell>
        </row>
        <row r="275">
          <cell r="B275">
            <v>61014</v>
          </cell>
        </row>
        <row r="276">
          <cell r="B276">
            <v>61020</v>
          </cell>
        </row>
        <row r="277">
          <cell r="B277" t="str">
            <v>61053</v>
          </cell>
        </row>
        <row r="278">
          <cell r="B278" t="str">
            <v>61054</v>
          </cell>
        </row>
        <row r="279">
          <cell r="B279" t="str">
            <v>61055</v>
          </cell>
        </row>
        <row r="280">
          <cell r="B280" t="str">
            <v>61056</v>
          </cell>
        </row>
        <row r="281">
          <cell r="B281">
            <v>61057</v>
          </cell>
        </row>
        <row r="282">
          <cell r="B282">
            <v>61058</v>
          </cell>
        </row>
        <row r="283">
          <cell r="B283" t="str">
            <v>60013</v>
          </cell>
        </row>
        <row r="284">
          <cell r="B284" t="str">
            <v>60014</v>
          </cell>
        </row>
        <row r="285">
          <cell r="B285" t="str">
            <v>60015</v>
          </cell>
        </row>
        <row r="286">
          <cell r="B286" t="str">
            <v>60016</v>
          </cell>
        </row>
        <row r="287">
          <cell r="B287">
            <v>61101</v>
          </cell>
        </row>
        <row r="288">
          <cell r="B288">
            <v>61102</v>
          </cell>
        </row>
        <row r="289">
          <cell r="B289">
            <v>61103</v>
          </cell>
        </row>
        <row r="290">
          <cell r="B290">
            <v>61104</v>
          </cell>
        </row>
        <row r="291">
          <cell r="B291">
            <v>61105</v>
          </cell>
        </row>
        <row r="292">
          <cell r="B292">
            <v>61106</v>
          </cell>
        </row>
        <row r="293">
          <cell r="B293">
            <v>61107</v>
          </cell>
        </row>
        <row r="294">
          <cell r="B294">
            <v>61108</v>
          </cell>
        </row>
        <row r="295">
          <cell r="B295">
            <v>61109</v>
          </cell>
        </row>
        <row r="296">
          <cell r="B296">
            <v>61120</v>
          </cell>
        </row>
        <row r="297">
          <cell r="B297">
            <v>61111</v>
          </cell>
        </row>
        <row r="298">
          <cell r="B298">
            <v>61201</v>
          </cell>
        </row>
        <row r="299">
          <cell r="B299" t="str">
            <v>70001</v>
          </cell>
        </row>
        <row r="300">
          <cell r="B300" t="str">
            <v>70003</v>
          </cell>
        </row>
        <row r="301">
          <cell r="B301" t="str">
            <v>70006</v>
          </cell>
        </row>
        <row r="302">
          <cell r="B302">
            <v>70009</v>
          </cell>
        </row>
        <row r="303">
          <cell r="B303" t="str">
            <v>70010</v>
          </cell>
        </row>
        <row r="304">
          <cell r="B304" t="str">
            <v>70013</v>
          </cell>
        </row>
        <row r="305">
          <cell r="B305" t="str">
            <v>71000</v>
          </cell>
        </row>
        <row r="306">
          <cell r="B306" t="str">
            <v>71001</v>
          </cell>
        </row>
        <row r="307">
          <cell r="B307" t="str">
            <v>71002</v>
          </cell>
        </row>
        <row r="308">
          <cell r="B308" t="str">
            <v>71003</v>
          </cell>
        </row>
        <row r="309">
          <cell r="B309" t="str">
            <v>71004</v>
          </cell>
        </row>
        <row r="310">
          <cell r="B310">
            <v>71005</v>
          </cell>
        </row>
        <row r="311">
          <cell r="B311" t="str">
            <v>71006</v>
          </cell>
        </row>
        <row r="312">
          <cell r="B312">
            <v>71007</v>
          </cell>
        </row>
        <row r="313">
          <cell r="B313">
            <v>71009</v>
          </cell>
        </row>
        <row r="314">
          <cell r="B314">
            <v>71012</v>
          </cell>
        </row>
        <row r="315">
          <cell r="B315">
            <v>71014</v>
          </cell>
        </row>
        <row r="316">
          <cell r="B316">
            <v>71015</v>
          </cell>
        </row>
        <row r="317">
          <cell r="B317" t="str">
            <v>71016</v>
          </cell>
        </row>
        <row r="318">
          <cell r="B318" t="str">
            <v>71017</v>
          </cell>
        </row>
        <row r="319">
          <cell r="B319" t="str">
            <v>71020</v>
          </cell>
        </row>
        <row r="320">
          <cell r="B320" t="str">
            <v>71053</v>
          </cell>
        </row>
        <row r="321">
          <cell r="B321" t="str">
            <v>71054</v>
          </cell>
        </row>
        <row r="322">
          <cell r="B322" t="str">
            <v>71055</v>
          </cell>
        </row>
        <row r="323">
          <cell r="B323">
            <v>71056</v>
          </cell>
        </row>
        <row r="324">
          <cell r="B324">
            <v>71057</v>
          </cell>
        </row>
        <row r="325">
          <cell r="B325">
            <v>71058</v>
          </cell>
        </row>
        <row r="326">
          <cell r="B326">
            <v>71059</v>
          </cell>
        </row>
        <row r="327">
          <cell r="B327">
            <v>71060</v>
          </cell>
        </row>
        <row r="328">
          <cell r="B328">
            <v>73000</v>
          </cell>
        </row>
        <row r="329">
          <cell r="B329" t="str">
            <v>73099</v>
          </cell>
        </row>
        <row r="330">
          <cell r="B330" t="str">
            <v>81000</v>
          </cell>
        </row>
        <row r="331">
          <cell r="B331" t="str">
            <v>81001</v>
          </cell>
        </row>
        <row r="332">
          <cell r="B332" t="str">
            <v>81002</v>
          </cell>
        </row>
        <row r="333">
          <cell r="B333" t="str">
            <v>81004</v>
          </cell>
        </row>
        <row r="334">
          <cell r="B334" t="str">
            <v>81018</v>
          </cell>
        </row>
        <row r="335">
          <cell r="B335" t="str">
            <v>81052</v>
          </cell>
        </row>
        <row r="336">
          <cell r="B336" t="str">
            <v>81053</v>
          </cell>
        </row>
        <row r="337">
          <cell r="B337" t="str">
            <v>81054</v>
          </cell>
        </row>
        <row r="338">
          <cell r="B338" t="str">
            <v>90000</v>
          </cell>
        </row>
        <row r="339">
          <cell r="B339" t="str">
            <v>90001</v>
          </cell>
        </row>
        <row r="340">
          <cell r="B340" t="str">
            <v>90002</v>
          </cell>
        </row>
        <row r="341">
          <cell r="B341" t="str">
            <v>90003</v>
          </cell>
        </row>
        <row r="342">
          <cell r="B342" t="str">
            <v>90017</v>
          </cell>
        </row>
        <row r="343">
          <cell r="B343" t="str">
            <v>90004</v>
          </cell>
        </row>
        <row r="344">
          <cell r="B344" t="str">
            <v>90005</v>
          </cell>
        </row>
        <row r="345">
          <cell r="B345">
            <v>90010</v>
          </cell>
        </row>
        <row r="346">
          <cell r="B346">
            <v>90016</v>
          </cell>
        </row>
        <row r="347">
          <cell r="B347" t="str">
            <v>חדש 1</v>
          </cell>
        </row>
        <row r="348">
          <cell r="B348" t="str">
            <v>חדש 2</v>
          </cell>
        </row>
        <row r="349">
          <cell r="B349" t="str">
            <v>חדש 3</v>
          </cell>
        </row>
        <row r="350">
          <cell r="B350" t="str">
            <v>חדש 4</v>
          </cell>
        </row>
        <row r="351">
          <cell r="B351" t="str">
            <v>חדש 5</v>
          </cell>
        </row>
        <row r="352">
          <cell r="B352" t="str">
            <v>חדש 6</v>
          </cell>
        </row>
        <row r="353">
          <cell r="B353" t="str">
            <v>חדש 7</v>
          </cell>
        </row>
        <row r="354">
          <cell r="B354" t="str">
            <v>חדש 8</v>
          </cell>
        </row>
        <row r="355">
          <cell r="B355" t="str">
            <v>חדש 9</v>
          </cell>
        </row>
        <row r="356">
          <cell r="B356" t="str">
            <v>חדש 10</v>
          </cell>
        </row>
        <row r="357">
          <cell r="B357">
            <v>0</v>
          </cell>
        </row>
        <row r="358">
          <cell r="B358">
            <v>0</v>
          </cell>
        </row>
        <row r="359">
          <cell r="B359">
            <v>0</v>
          </cell>
        </row>
        <row r="360">
          <cell r="B360">
            <v>0</v>
          </cell>
        </row>
        <row r="361">
          <cell r="B361">
            <v>0</v>
          </cell>
        </row>
        <row r="362">
          <cell r="B362">
            <v>0</v>
          </cell>
        </row>
        <row r="363">
          <cell r="B363">
            <v>0</v>
          </cell>
        </row>
        <row r="364">
          <cell r="B364">
            <v>0</v>
          </cell>
        </row>
        <row r="365">
          <cell r="B365">
            <v>0</v>
          </cell>
        </row>
        <row r="366">
          <cell r="B366">
            <v>0</v>
          </cell>
        </row>
        <row r="367">
          <cell r="B367">
            <v>0</v>
          </cell>
        </row>
        <row r="368">
          <cell r="B368">
            <v>0</v>
          </cell>
        </row>
        <row r="369">
          <cell r="B369">
            <v>0</v>
          </cell>
        </row>
        <row r="370">
          <cell r="B370">
            <v>0</v>
          </cell>
        </row>
        <row r="371">
          <cell r="B371">
            <v>0</v>
          </cell>
        </row>
        <row r="372">
          <cell r="B372">
            <v>0</v>
          </cell>
        </row>
        <row r="373">
          <cell r="B373">
            <v>0</v>
          </cell>
        </row>
        <row r="374">
          <cell r="B374">
            <v>0</v>
          </cell>
        </row>
        <row r="375">
          <cell r="B375">
            <v>0</v>
          </cell>
        </row>
        <row r="376">
          <cell r="B376">
            <v>0</v>
          </cell>
        </row>
        <row r="377">
          <cell r="B377">
            <v>0</v>
          </cell>
        </row>
        <row r="378">
          <cell r="B378">
            <v>0</v>
          </cell>
        </row>
        <row r="379">
          <cell r="B379">
            <v>0</v>
          </cell>
        </row>
        <row r="380">
          <cell r="B380">
            <v>0</v>
          </cell>
        </row>
        <row r="381">
          <cell r="B381">
            <v>0</v>
          </cell>
        </row>
        <row r="382">
          <cell r="B382">
            <v>0</v>
          </cell>
        </row>
        <row r="383">
          <cell r="B383">
            <v>0</v>
          </cell>
        </row>
        <row r="384">
          <cell r="B384">
            <v>0</v>
          </cell>
        </row>
        <row r="385">
          <cell r="B385">
            <v>0</v>
          </cell>
        </row>
        <row r="386">
          <cell r="B386">
            <v>0</v>
          </cell>
        </row>
        <row r="387">
          <cell r="B387">
            <v>0</v>
          </cell>
        </row>
        <row r="388">
          <cell r="B388">
            <v>0</v>
          </cell>
        </row>
        <row r="389">
          <cell r="B389">
            <v>0</v>
          </cell>
        </row>
        <row r="390">
          <cell r="B390">
            <v>0</v>
          </cell>
        </row>
        <row r="391">
          <cell r="B391">
            <v>0</v>
          </cell>
        </row>
        <row r="392">
          <cell r="B392">
            <v>0</v>
          </cell>
        </row>
        <row r="393">
          <cell r="B393">
            <v>0</v>
          </cell>
        </row>
        <row r="394">
          <cell r="B394">
            <v>0</v>
          </cell>
        </row>
        <row r="395">
          <cell r="B395">
            <v>0</v>
          </cell>
        </row>
        <row r="396">
          <cell r="B396">
            <v>0</v>
          </cell>
        </row>
        <row r="397">
          <cell r="B397">
            <v>0</v>
          </cell>
        </row>
        <row r="398">
          <cell r="B398">
            <v>0</v>
          </cell>
        </row>
        <row r="399">
          <cell r="B399">
            <v>0</v>
          </cell>
        </row>
        <row r="400">
          <cell r="B400">
            <v>0</v>
          </cell>
        </row>
        <row r="401">
          <cell r="B401">
            <v>0</v>
          </cell>
        </row>
        <row r="402">
          <cell r="B402">
            <v>0</v>
          </cell>
        </row>
        <row r="403">
          <cell r="B403">
            <v>0</v>
          </cell>
        </row>
        <row r="404">
          <cell r="B404">
            <v>0</v>
          </cell>
        </row>
        <row r="405">
          <cell r="B405">
            <v>0</v>
          </cell>
        </row>
        <row r="406">
          <cell r="B406">
            <v>0</v>
          </cell>
        </row>
        <row r="407">
          <cell r="B407">
            <v>0</v>
          </cell>
        </row>
        <row r="408">
          <cell r="B408">
            <v>0</v>
          </cell>
        </row>
        <row r="409">
          <cell r="B409">
            <v>0</v>
          </cell>
        </row>
        <row r="410">
          <cell r="B410">
            <v>0</v>
          </cell>
        </row>
        <row r="411">
          <cell r="B411">
            <v>0</v>
          </cell>
        </row>
        <row r="412">
          <cell r="B412">
            <v>0</v>
          </cell>
        </row>
        <row r="413">
          <cell r="B413">
            <v>0</v>
          </cell>
        </row>
        <row r="414">
          <cell r="B414">
            <v>0</v>
          </cell>
        </row>
        <row r="415">
          <cell r="B415">
            <v>0</v>
          </cell>
        </row>
        <row r="416">
          <cell r="B416">
            <v>0</v>
          </cell>
        </row>
        <row r="417">
          <cell r="B417">
            <v>0</v>
          </cell>
        </row>
        <row r="418">
          <cell r="B418">
            <v>0</v>
          </cell>
        </row>
        <row r="419">
          <cell r="B419">
            <v>0</v>
          </cell>
        </row>
        <row r="420">
          <cell r="B420">
            <v>0</v>
          </cell>
        </row>
        <row r="421">
          <cell r="B421">
            <v>0</v>
          </cell>
        </row>
        <row r="422">
          <cell r="B422">
            <v>0</v>
          </cell>
        </row>
        <row r="423">
          <cell r="B423">
            <v>0</v>
          </cell>
        </row>
        <row r="424">
          <cell r="B424">
            <v>0</v>
          </cell>
        </row>
        <row r="425">
          <cell r="B425">
            <v>0</v>
          </cell>
        </row>
        <row r="426">
          <cell r="B426">
            <v>0</v>
          </cell>
        </row>
        <row r="427">
          <cell r="B427">
            <v>0</v>
          </cell>
        </row>
        <row r="428">
          <cell r="B428">
            <v>0</v>
          </cell>
        </row>
        <row r="429">
          <cell r="B429">
            <v>0</v>
          </cell>
        </row>
        <row r="430">
          <cell r="B430">
            <v>0</v>
          </cell>
        </row>
        <row r="431">
          <cell r="B431">
            <v>0</v>
          </cell>
        </row>
        <row r="432">
          <cell r="B432">
            <v>0</v>
          </cell>
        </row>
        <row r="433">
          <cell r="B433">
            <v>0</v>
          </cell>
        </row>
        <row r="434">
          <cell r="B434">
            <v>0</v>
          </cell>
        </row>
        <row r="435">
          <cell r="B435">
            <v>0</v>
          </cell>
        </row>
        <row r="436">
          <cell r="B436">
            <v>0</v>
          </cell>
        </row>
        <row r="437">
          <cell r="B437">
            <v>0</v>
          </cell>
        </row>
        <row r="438">
          <cell r="B438">
            <v>0</v>
          </cell>
        </row>
        <row r="439">
          <cell r="B439">
            <v>0</v>
          </cell>
        </row>
        <row r="440">
          <cell r="B440">
            <v>0</v>
          </cell>
        </row>
        <row r="441">
          <cell r="B441">
            <v>0</v>
          </cell>
        </row>
        <row r="442">
          <cell r="B442">
            <v>0</v>
          </cell>
        </row>
        <row r="443">
          <cell r="B443">
            <v>0</v>
          </cell>
        </row>
        <row r="444">
          <cell r="B444">
            <v>0</v>
          </cell>
        </row>
        <row r="445">
          <cell r="B445">
            <v>0</v>
          </cell>
        </row>
        <row r="446">
          <cell r="B446">
            <v>0</v>
          </cell>
        </row>
        <row r="447">
          <cell r="B447">
            <v>0</v>
          </cell>
        </row>
        <row r="448">
          <cell r="B448">
            <v>0</v>
          </cell>
        </row>
        <row r="449">
          <cell r="B449">
            <v>0</v>
          </cell>
        </row>
        <row r="450">
          <cell r="B450">
            <v>0</v>
          </cell>
        </row>
        <row r="451">
          <cell r="B451">
            <v>0</v>
          </cell>
        </row>
        <row r="452">
          <cell r="B452">
            <v>0</v>
          </cell>
        </row>
        <row r="453">
          <cell r="B453">
            <v>0</v>
          </cell>
        </row>
        <row r="454">
          <cell r="B454">
            <v>0</v>
          </cell>
        </row>
        <row r="455">
          <cell r="B455">
            <v>0</v>
          </cell>
        </row>
        <row r="456">
          <cell r="B456">
            <v>0</v>
          </cell>
        </row>
        <row r="457">
          <cell r="B457">
            <v>0</v>
          </cell>
        </row>
        <row r="458">
          <cell r="B458">
            <v>0</v>
          </cell>
        </row>
        <row r="459">
          <cell r="B459">
            <v>0</v>
          </cell>
        </row>
        <row r="460">
          <cell r="B460">
            <v>0</v>
          </cell>
        </row>
        <row r="461">
          <cell r="B461">
            <v>0</v>
          </cell>
        </row>
        <row r="462">
          <cell r="B462">
            <v>0</v>
          </cell>
        </row>
        <row r="463">
          <cell r="B463">
            <v>0</v>
          </cell>
        </row>
        <row r="464">
          <cell r="B464">
            <v>0</v>
          </cell>
        </row>
        <row r="465">
          <cell r="B465">
            <v>0</v>
          </cell>
        </row>
        <row r="466">
          <cell r="B466">
            <v>0</v>
          </cell>
        </row>
        <row r="467">
          <cell r="B467">
            <v>0</v>
          </cell>
        </row>
        <row r="468">
          <cell r="B468">
            <v>0</v>
          </cell>
        </row>
        <row r="469">
          <cell r="B469">
            <v>0</v>
          </cell>
        </row>
        <row r="470">
          <cell r="B470">
            <v>0</v>
          </cell>
        </row>
        <row r="471">
          <cell r="B471">
            <v>0</v>
          </cell>
        </row>
        <row r="472">
          <cell r="B472">
            <v>0</v>
          </cell>
        </row>
        <row r="473">
          <cell r="B473">
            <v>0</v>
          </cell>
        </row>
        <row r="474">
          <cell r="B474">
            <v>0</v>
          </cell>
        </row>
        <row r="475">
          <cell r="B475">
            <v>0</v>
          </cell>
        </row>
        <row r="476">
          <cell r="B476">
            <v>0</v>
          </cell>
        </row>
        <row r="477">
          <cell r="B477">
            <v>0</v>
          </cell>
        </row>
        <row r="478">
          <cell r="B478">
            <v>0</v>
          </cell>
        </row>
        <row r="479">
          <cell r="B479">
            <v>0</v>
          </cell>
        </row>
        <row r="480">
          <cell r="B480">
            <v>0</v>
          </cell>
        </row>
        <row r="481">
          <cell r="B481">
            <v>0</v>
          </cell>
        </row>
        <row r="482">
          <cell r="B482">
            <v>0</v>
          </cell>
        </row>
        <row r="483">
          <cell r="B483">
            <v>0</v>
          </cell>
        </row>
        <row r="484">
          <cell r="B484">
            <v>0</v>
          </cell>
        </row>
        <row r="485">
          <cell r="B485">
            <v>0</v>
          </cell>
        </row>
        <row r="486">
          <cell r="B486">
            <v>0</v>
          </cell>
        </row>
        <row r="487">
          <cell r="B487">
            <v>0</v>
          </cell>
        </row>
        <row r="488">
          <cell r="B488">
            <v>0</v>
          </cell>
        </row>
        <row r="489">
          <cell r="B489">
            <v>0</v>
          </cell>
        </row>
        <row r="490">
          <cell r="B490">
            <v>0</v>
          </cell>
        </row>
        <row r="491">
          <cell r="B491">
            <v>0</v>
          </cell>
        </row>
        <row r="492">
          <cell r="B492">
            <v>0</v>
          </cell>
        </row>
        <row r="493">
          <cell r="B493">
            <v>0</v>
          </cell>
        </row>
        <row r="494">
          <cell r="B494">
            <v>0</v>
          </cell>
        </row>
        <row r="495">
          <cell r="B495">
            <v>0</v>
          </cell>
        </row>
        <row r="496">
          <cell r="B496">
            <v>0</v>
          </cell>
        </row>
        <row r="497">
          <cell r="B497">
            <v>0</v>
          </cell>
        </row>
        <row r="498">
          <cell r="B498">
            <v>0</v>
          </cell>
        </row>
        <row r="499">
          <cell r="B499">
            <v>0</v>
          </cell>
        </row>
        <row r="500">
          <cell r="B500">
            <v>0</v>
          </cell>
        </row>
        <row r="501">
          <cell r="B501">
            <v>0</v>
          </cell>
        </row>
        <row r="502">
          <cell r="B502">
            <v>0</v>
          </cell>
        </row>
        <row r="503">
          <cell r="B503">
            <v>0</v>
          </cell>
        </row>
        <row r="504">
          <cell r="B504">
            <v>0</v>
          </cell>
        </row>
        <row r="505">
          <cell r="B505">
            <v>0</v>
          </cell>
        </row>
        <row r="506">
          <cell r="B506">
            <v>0</v>
          </cell>
        </row>
        <row r="507">
          <cell r="B507">
            <v>0</v>
          </cell>
        </row>
        <row r="508">
          <cell r="B508">
            <v>0</v>
          </cell>
        </row>
        <row r="509">
          <cell r="B509">
            <v>0</v>
          </cell>
        </row>
        <row r="510">
          <cell r="B510">
            <v>0</v>
          </cell>
        </row>
        <row r="511">
          <cell r="B511">
            <v>0</v>
          </cell>
        </row>
        <row r="512">
          <cell r="B512">
            <v>0</v>
          </cell>
        </row>
        <row r="513">
          <cell r="B513">
            <v>0</v>
          </cell>
        </row>
        <row r="514">
          <cell r="B514">
            <v>0</v>
          </cell>
        </row>
        <row r="515">
          <cell r="B515">
            <v>0</v>
          </cell>
        </row>
        <row r="516">
          <cell r="B516">
            <v>0</v>
          </cell>
        </row>
        <row r="517">
          <cell r="B517">
            <v>0</v>
          </cell>
        </row>
        <row r="518">
          <cell r="B518">
            <v>0</v>
          </cell>
        </row>
        <row r="519">
          <cell r="B519">
            <v>0</v>
          </cell>
        </row>
        <row r="520">
          <cell r="B520">
            <v>0</v>
          </cell>
        </row>
        <row r="521">
          <cell r="B521">
            <v>0</v>
          </cell>
        </row>
        <row r="522">
          <cell r="B522">
            <v>0</v>
          </cell>
        </row>
        <row r="523">
          <cell r="B523">
            <v>0</v>
          </cell>
        </row>
        <row r="524">
          <cell r="B524">
            <v>0</v>
          </cell>
        </row>
        <row r="525">
          <cell r="B525">
            <v>0</v>
          </cell>
        </row>
        <row r="526">
          <cell r="B526">
            <v>0</v>
          </cell>
        </row>
        <row r="527">
          <cell r="B527">
            <v>0</v>
          </cell>
        </row>
        <row r="528">
          <cell r="B528">
            <v>0</v>
          </cell>
        </row>
        <row r="529">
          <cell r="B529">
            <v>0</v>
          </cell>
        </row>
        <row r="530">
          <cell r="B530">
            <v>0</v>
          </cell>
        </row>
        <row r="531">
          <cell r="B531">
            <v>0</v>
          </cell>
        </row>
        <row r="532">
          <cell r="B532">
            <v>0</v>
          </cell>
        </row>
        <row r="533">
          <cell r="B533">
            <v>0</v>
          </cell>
        </row>
        <row r="534">
          <cell r="B534">
            <v>0</v>
          </cell>
        </row>
        <row r="535">
          <cell r="B535">
            <v>0</v>
          </cell>
        </row>
        <row r="536">
          <cell r="B536">
            <v>0</v>
          </cell>
        </row>
        <row r="537">
          <cell r="B537">
            <v>0</v>
          </cell>
        </row>
        <row r="538">
          <cell r="B538">
            <v>0</v>
          </cell>
        </row>
        <row r="539">
          <cell r="B539">
            <v>0</v>
          </cell>
        </row>
        <row r="540">
          <cell r="B540">
            <v>0</v>
          </cell>
        </row>
        <row r="541">
          <cell r="B541">
            <v>0</v>
          </cell>
        </row>
        <row r="542">
          <cell r="B542">
            <v>0</v>
          </cell>
        </row>
        <row r="543">
          <cell r="B543">
            <v>0</v>
          </cell>
        </row>
        <row r="544">
          <cell r="B544">
            <v>0</v>
          </cell>
        </row>
        <row r="545">
          <cell r="B545">
            <v>0</v>
          </cell>
        </row>
        <row r="546">
          <cell r="B546">
            <v>0</v>
          </cell>
        </row>
        <row r="547">
          <cell r="B547">
            <v>0</v>
          </cell>
        </row>
        <row r="548">
          <cell r="B548">
            <v>0</v>
          </cell>
        </row>
        <row r="549">
          <cell r="B549">
            <v>0</v>
          </cell>
        </row>
        <row r="550">
          <cell r="B550">
            <v>0</v>
          </cell>
        </row>
        <row r="551">
          <cell r="B551">
            <v>0</v>
          </cell>
        </row>
        <row r="552">
          <cell r="B552">
            <v>0</v>
          </cell>
        </row>
        <row r="553">
          <cell r="B553">
            <v>0</v>
          </cell>
        </row>
        <row r="554">
          <cell r="B554">
            <v>0</v>
          </cell>
        </row>
        <row r="555">
          <cell r="B555">
            <v>0</v>
          </cell>
        </row>
        <row r="556">
          <cell r="B556">
            <v>0</v>
          </cell>
        </row>
        <row r="557">
          <cell r="B557">
            <v>0</v>
          </cell>
        </row>
        <row r="558">
          <cell r="B558">
            <v>0</v>
          </cell>
        </row>
        <row r="559">
          <cell r="B559">
            <v>0</v>
          </cell>
        </row>
        <row r="560">
          <cell r="B560">
            <v>0</v>
          </cell>
        </row>
        <row r="561">
          <cell r="B561">
            <v>0</v>
          </cell>
        </row>
        <row r="562">
          <cell r="B562">
            <v>0</v>
          </cell>
        </row>
        <row r="563">
          <cell r="B563">
            <v>0</v>
          </cell>
        </row>
        <row r="564">
          <cell r="B564">
            <v>0</v>
          </cell>
        </row>
        <row r="565">
          <cell r="B565">
            <v>0</v>
          </cell>
        </row>
        <row r="566">
          <cell r="B566">
            <v>0</v>
          </cell>
        </row>
        <row r="567">
          <cell r="B567">
            <v>0</v>
          </cell>
        </row>
        <row r="568">
          <cell r="B568">
            <v>0</v>
          </cell>
        </row>
        <row r="569">
          <cell r="B569">
            <v>0</v>
          </cell>
        </row>
        <row r="570">
          <cell r="B570">
            <v>0</v>
          </cell>
        </row>
        <row r="571">
          <cell r="B571">
            <v>0</v>
          </cell>
        </row>
        <row r="572">
          <cell r="B572">
            <v>0</v>
          </cell>
        </row>
        <row r="573">
          <cell r="B573">
            <v>0</v>
          </cell>
        </row>
        <row r="574">
          <cell r="B574">
            <v>0</v>
          </cell>
        </row>
        <row r="575">
          <cell r="B575">
            <v>0</v>
          </cell>
        </row>
        <row r="576">
          <cell r="B576">
            <v>0</v>
          </cell>
        </row>
        <row r="577">
          <cell r="B577">
            <v>0</v>
          </cell>
        </row>
        <row r="578">
          <cell r="B578">
            <v>0</v>
          </cell>
        </row>
        <row r="579">
          <cell r="B579">
            <v>0</v>
          </cell>
        </row>
        <row r="580">
          <cell r="B580">
            <v>0</v>
          </cell>
        </row>
        <row r="581">
          <cell r="B581">
            <v>0</v>
          </cell>
        </row>
        <row r="582">
          <cell r="B582">
            <v>0</v>
          </cell>
        </row>
        <row r="583">
          <cell r="B583">
            <v>0</v>
          </cell>
        </row>
        <row r="584">
          <cell r="B584">
            <v>0</v>
          </cell>
        </row>
        <row r="585">
          <cell r="B585">
            <v>0</v>
          </cell>
        </row>
        <row r="586">
          <cell r="B586">
            <v>0</v>
          </cell>
        </row>
        <row r="587">
          <cell r="B587">
            <v>0</v>
          </cell>
        </row>
        <row r="588">
          <cell r="B588">
            <v>0</v>
          </cell>
        </row>
        <row r="589">
          <cell r="B589">
            <v>0</v>
          </cell>
        </row>
        <row r="590">
          <cell r="B590">
            <v>0</v>
          </cell>
        </row>
        <row r="591">
          <cell r="B591">
            <v>0</v>
          </cell>
        </row>
        <row r="592">
          <cell r="B592">
            <v>0</v>
          </cell>
        </row>
        <row r="593">
          <cell r="B593">
            <v>0</v>
          </cell>
        </row>
        <row r="594">
          <cell r="B594">
            <v>0</v>
          </cell>
        </row>
        <row r="595">
          <cell r="B595">
            <v>0</v>
          </cell>
        </row>
        <row r="596">
          <cell r="B596">
            <v>0</v>
          </cell>
        </row>
        <row r="597">
          <cell r="B597">
            <v>0</v>
          </cell>
        </row>
        <row r="598">
          <cell r="B598">
            <v>0</v>
          </cell>
        </row>
        <row r="599">
          <cell r="B599">
            <v>0</v>
          </cell>
        </row>
        <row r="600">
          <cell r="B600">
            <v>0</v>
          </cell>
        </row>
        <row r="601">
          <cell r="B601">
            <v>0</v>
          </cell>
        </row>
        <row r="602">
          <cell r="B602">
            <v>0</v>
          </cell>
        </row>
        <row r="603">
          <cell r="B603">
            <v>0</v>
          </cell>
        </row>
        <row r="604">
          <cell r="B604">
            <v>0</v>
          </cell>
        </row>
        <row r="605">
          <cell r="B605">
            <v>0</v>
          </cell>
        </row>
        <row r="606">
          <cell r="B606">
            <v>0</v>
          </cell>
        </row>
        <row r="607">
          <cell r="B607">
            <v>0</v>
          </cell>
        </row>
        <row r="608">
          <cell r="B608">
            <v>0</v>
          </cell>
        </row>
        <row r="609">
          <cell r="B609">
            <v>0</v>
          </cell>
        </row>
        <row r="610">
          <cell r="B610">
            <v>0</v>
          </cell>
        </row>
        <row r="611">
          <cell r="B611">
            <v>0</v>
          </cell>
        </row>
        <row r="612">
          <cell r="B612">
            <v>0</v>
          </cell>
        </row>
        <row r="613">
          <cell r="B613">
            <v>0</v>
          </cell>
        </row>
        <row r="614">
          <cell r="B614">
            <v>0</v>
          </cell>
        </row>
        <row r="615">
          <cell r="B615">
            <v>0</v>
          </cell>
        </row>
        <row r="616">
          <cell r="B616">
            <v>0</v>
          </cell>
        </row>
        <row r="617">
          <cell r="B617">
            <v>0</v>
          </cell>
        </row>
        <row r="618">
          <cell r="B618">
            <v>0</v>
          </cell>
        </row>
        <row r="619">
          <cell r="B619">
            <v>0</v>
          </cell>
        </row>
        <row r="620">
          <cell r="B620">
            <v>0</v>
          </cell>
        </row>
        <row r="621">
          <cell r="B621">
            <v>0</v>
          </cell>
        </row>
        <row r="622">
          <cell r="B622">
            <v>0</v>
          </cell>
        </row>
        <row r="623">
          <cell r="B623">
            <v>0</v>
          </cell>
        </row>
        <row r="624">
          <cell r="B624">
            <v>0</v>
          </cell>
        </row>
        <row r="625">
          <cell r="B625">
            <v>0</v>
          </cell>
        </row>
        <row r="626">
          <cell r="B626">
            <v>0</v>
          </cell>
        </row>
        <row r="627">
          <cell r="B627">
            <v>0</v>
          </cell>
        </row>
        <row r="628">
          <cell r="B628">
            <v>0</v>
          </cell>
        </row>
        <row r="629">
          <cell r="B629">
            <v>0</v>
          </cell>
        </row>
        <row r="630">
          <cell r="B630">
            <v>0</v>
          </cell>
        </row>
        <row r="631">
          <cell r="B631">
            <v>0</v>
          </cell>
        </row>
        <row r="632">
          <cell r="B632">
            <v>0</v>
          </cell>
        </row>
        <row r="633">
          <cell r="B633">
            <v>0</v>
          </cell>
        </row>
        <row r="634">
          <cell r="B634">
            <v>0</v>
          </cell>
        </row>
        <row r="635">
          <cell r="B635">
            <v>0</v>
          </cell>
        </row>
        <row r="636">
          <cell r="B636">
            <v>0</v>
          </cell>
        </row>
        <row r="637">
          <cell r="B637">
            <v>0</v>
          </cell>
        </row>
        <row r="638">
          <cell r="B638">
            <v>0</v>
          </cell>
        </row>
        <row r="639">
          <cell r="B639">
            <v>0</v>
          </cell>
        </row>
        <row r="640">
          <cell r="B640">
            <v>0</v>
          </cell>
        </row>
        <row r="641">
          <cell r="B641">
            <v>0</v>
          </cell>
        </row>
        <row r="642">
          <cell r="B642">
            <v>0</v>
          </cell>
        </row>
        <row r="643">
          <cell r="B643">
            <v>0</v>
          </cell>
        </row>
        <row r="644">
          <cell r="B644">
            <v>0</v>
          </cell>
        </row>
        <row r="645">
          <cell r="B645">
            <v>0</v>
          </cell>
        </row>
        <row r="646">
          <cell r="B646">
            <v>0</v>
          </cell>
        </row>
        <row r="647">
          <cell r="B647">
            <v>0</v>
          </cell>
        </row>
        <row r="648">
          <cell r="B648">
            <v>0</v>
          </cell>
        </row>
        <row r="649">
          <cell r="B649">
            <v>0</v>
          </cell>
        </row>
        <row r="650">
          <cell r="B650">
            <v>0</v>
          </cell>
        </row>
        <row r="651">
          <cell r="B651">
            <v>0</v>
          </cell>
        </row>
        <row r="652">
          <cell r="B652">
            <v>0</v>
          </cell>
        </row>
        <row r="653">
          <cell r="B653">
            <v>0</v>
          </cell>
        </row>
        <row r="654">
          <cell r="B654">
            <v>0</v>
          </cell>
        </row>
        <row r="655">
          <cell r="B655">
            <v>0</v>
          </cell>
        </row>
        <row r="656">
          <cell r="B656">
            <v>0</v>
          </cell>
        </row>
        <row r="657">
          <cell r="B657">
            <v>0</v>
          </cell>
        </row>
        <row r="658">
          <cell r="B658">
            <v>0</v>
          </cell>
        </row>
        <row r="659">
          <cell r="B659">
            <v>0</v>
          </cell>
        </row>
        <row r="660">
          <cell r="B660">
            <v>0</v>
          </cell>
        </row>
        <row r="661">
          <cell r="B661">
            <v>0</v>
          </cell>
        </row>
        <row r="662">
          <cell r="B662">
            <v>0</v>
          </cell>
        </row>
        <row r="663">
          <cell r="B663">
            <v>0</v>
          </cell>
        </row>
        <row r="664">
          <cell r="B664">
            <v>0</v>
          </cell>
        </row>
        <row r="665">
          <cell r="B665">
            <v>0</v>
          </cell>
        </row>
        <row r="666">
          <cell r="B666">
            <v>0</v>
          </cell>
        </row>
        <row r="667">
          <cell r="B667">
            <v>0</v>
          </cell>
        </row>
        <row r="668">
          <cell r="B668">
            <v>0</v>
          </cell>
        </row>
        <row r="669">
          <cell r="B669">
            <v>0</v>
          </cell>
        </row>
        <row r="670">
          <cell r="B670">
            <v>0</v>
          </cell>
        </row>
        <row r="671">
          <cell r="B671">
            <v>0</v>
          </cell>
        </row>
        <row r="672">
          <cell r="B672">
            <v>0</v>
          </cell>
        </row>
        <row r="673">
          <cell r="B673">
            <v>0</v>
          </cell>
        </row>
        <row r="674">
          <cell r="B674">
            <v>0</v>
          </cell>
        </row>
        <row r="675">
          <cell r="B675">
            <v>0</v>
          </cell>
        </row>
        <row r="676">
          <cell r="B676">
            <v>0</v>
          </cell>
        </row>
        <row r="677">
          <cell r="B677">
            <v>0</v>
          </cell>
        </row>
        <row r="678">
          <cell r="B678">
            <v>0</v>
          </cell>
        </row>
        <row r="679">
          <cell r="B679">
            <v>0</v>
          </cell>
        </row>
        <row r="680">
          <cell r="B680">
            <v>0</v>
          </cell>
        </row>
        <row r="681">
          <cell r="B681">
            <v>0</v>
          </cell>
        </row>
        <row r="682">
          <cell r="B682">
            <v>0</v>
          </cell>
        </row>
        <row r="683">
          <cell r="B683">
            <v>0</v>
          </cell>
        </row>
        <row r="684">
          <cell r="B684">
            <v>0</v>
          </cell>
        </row>
        <row r="685">
          <cell r="B685">
            <v>0</v>
          </cell>
        </row>
        <row r="686">
          <cell r="B686">
            <v>0</v>
          </cell>
        </row>
        <row r="687">
          <cell r="B687">
            <v>0</v>
          </cell>
        </row>
        <row r="688">
          <cell r="B688">
            <v>0</v>
          </cell>
        </row>
        <row r="689">
          <cell r="B689">
            <v>0</v>
          </cell>
        </row>
        <row r="690">
          <cell r="B690">
            <v>0</v>
          </cell>
        </row>
        <row r="691">
          <cell r="B691">
            <v>0</v>
          </cell>
        </row>
        <row r="692">
          <cell r="B692">
            <v>0</v>
          </cell>
        </row>
        <row r="693">
          <cell r="B693">
            <v>0</v>
          </cell>
        </row>
        <row r="694">
          <cell r="B694">
            <v>0</v>
          </cell>
        </row>
        <row r="695">
          <cell r="B695">
            <v>0</v>
          </cell>
        </row>
        <row r="696">
          <cell r="B696">
            <v>0</v>
          </cell>
        </row>
        <row r="697">
          <cell r="B697">
            <v>0</v>
          </cell>
        </row>
        <row r="698">
          <cell r="B698">
            <v>0</v>
          </cell>
        </row>
        <row r="699">
          <cell r="B699">
            <v>0</v>
          </cell>
        </row>
        <row r="700">
          <cell r="B700">
            <v>0</v>
          </cell>
        </row>
        <row r="701">
          <cell r="B701">
            <v>0</v>
          </cell>
        </row>
        <row r="702">
          <cell r="B702">
            <v>0</v>
          </cell>
        </row>
        <row r="703">
          <cell r="B703">
            <v>0</v>
          </cell>
        </row>
        <row r="704">
          <cell r="B704">
            <v>0</v>
          </cell>
        </row>
        <row r="705">
          <cell r="B705">
            <v>0</v>
          </cell>
        </row>
        <row r="706">
          <cell r="B706">
            <v>0</v>
          </cell>
        </row>
        <row r="707">
          <cell r="B707">
            <v>0</v>
          </cell>
        </row>
        <row r="708">
          <cell r="B708">
            <v>0</v>
          </cell>
        </row>
        <row r="709">
          <cell r="B709">
            <v>0</v>
          </cell>
        </row>
        <row r="710">
          <cell r="B710">
            <v>0</v>
          </cell>
        </row>
        <row r="711">
          <cell r="B711">
            <v>0</v>
          </cell>
        </row>
        <row r="712">
          <cell r="B712">
            <v>0</v>
          </cell>
        </row>
        <row r="713">
          <cell r="B713">
            <v>0</v>
          </cell>
        </row>
        <row r="714">
          <cell r="B714">
            <v>0</v>
          </cell>
        </row>
        <row r="715">
          <cell r="B715">
            <v>0</v>
          </cell>
        </row>
        <row r="716">
          <cell r="B716">
            <v>0</v>
          </cell>
        </row>
        <row r="717">
          <cell r="B717">
            <v>0</v>
          </cell>
        </row>
        <row r="718">
          <cell r="B718">
            <v>0</v>
          </cell>
        </row>
        <row r="719">
          <cell r="B719">
            <v>0</v>
          </cell>
        </row>
        <row r="720">
          <cell r="B720">
            <v>0</v>
          </cell>
        </row>
        <row r="721">
          <cell r="B721">
            <v>0</v>
          </cell>
        </row>
        <row r="722">
          <cell r="B722">
            <v>0</v>
          </cell>
        </row>
        <row r="723">
          <cell r="B723">
            <v>0</v>
          </cell>
        </row>
        <row r="724">
          <cell r="B724">
            <v>0</v>
          </cell>
        </row>
      </sheetData>
      <sheetData sheetId="14"/>
      <sheetData sheetId="15"/>
      <sheetData sheetId="1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JE"/>
      <sheetName val="summary"/>
      <sheetName val="P&amp;L"/>
      <sheetName val="BS"/>
      <sheetName val="CF"/>
      <sheetName val="Quarterly P&amp;L"/>
      <sheetName val="Quarterly BS"/>
      <sheetName val="Quarterly CF"/>
      <sheetName val="P&amp;L Ltd Solo"/>
      <sheetName val="BS Ltd Solo"/>
      <sheetName val="BP&amp;L"/>
      <sheetName val="BBS "/>
      <sheetName val="general ledger"/>
      <sheetName val="TB-Feb"/>
      <sheetName val="TB 1-14"/>
      <sheetName val="TB-12.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6">
          <cell r="B16" t="str">
            <v>10005</v>
          </cell>
        </row>
        <row r="17">
          <cell r="B17" t="str">
            <v>10006</v>
          </cell>
        </row>
        <row r="18">
          <cell r="B18" t="str">
            <v>10007</v>
          </cell>
        </row>
        <row r="19">
          <cell r="B19" t="str">
            <v>10008</v>
          </cell>
        </row>
        <row r="20">
          <cell r="B20" t="str">
            <v>10017</v>
          </cell>
        </row>
        <row r="21">
          <cell r="B21" t="str">
            <v>10020</v>
          </cell>
        </row>
        <row r="22">
          <cell r="B22" t="str">
            <v>11000</v>
          </cell>
        </row>
        <row r="23">
          <cell r="B23" t="str">
            <v>10200</v>
          </cell>
        </row>
        <row r="24">
          <cell r="B24">
            <v>10204</v>
          </cell>
        </row>
        <row r="25">
          <cell r="B25">
            <v>10205</v>
          </cell>
        </row>
        <row r="26">
          <cell r="B26" t="str">
            <v>11022</v>
          </cell>
        </row>
        <row r="27">
          <cell r="B27" t="str">
            <v>11025</v>
          </cell>
        </row>
        <row r="28">
          <cell r="B28" t="str">
            <v>11026</v>
          </cell>
        </row>
        <row r="29">
          <cell r="B29" t="str">
            <v>11027</v>
          </cell>
        </row>
        <row r="30">
          <cell r="B30" t="str">
            <v>10700</v>
          </cell>
        </row>
        <row r="31">
          <cell r="B31" t="str">
            <v>12000</v>
          </cell>
        </row>
        <row r="32">
          <cell r="B32" t="str">
            <v>12501</v>
          </cell>
        </row>
        <row r="33">
          <cell r="B33">
            <v>16000</v>
          </cell>
        </row>
        <row r="34">
          <cell r="B34" t="str">
            <v>25000</v>
          </cell>
        </row>
        <row r="35">
          <cell r="B35">
            <v>25001</v>
          </cell>
        </row>
        <row r="36">
          <cell r="B36" t="str">
            <v>25002</v>
          </cell>
        </row>
        <row r="37">
          <cell r="B37" t="str">
            <v>25003</v>
          </cell>
        </row>
        <row r="38">
          <cell r="B38" t="str">
            <v>25006</v>
          </cell>
        </row>
        <row r="39">
          <cell r="B39" t="str">
            <v>25008</v>
          </cell>
        </row>
        <row r="40">
          <cell r="B40" t="str">
            <v>25011</v>
          </cell>
        </row>
        <row r="41">
          <cell r="B41">
            <v>25012</v>
          </cell>
        </row>
        <row r="42">
          <cell r="B42" t="str">
            <v>25014</v>
          </cell>
        </row>
        <row r="43">
          <cell r="B43" t="str">
            <v>25016</v>
          </cell>
        </row>
        <row r="44">
          <cell r="B44" t="str">
            <v>25017</v>
          </cell>
        </row>
        <row r="45">
          <cell r="B45" t="str">
            <v>18000</v>
          </cell>
        </row>
        <row r="46">
          <cell r="B46">
            <v>18001</v>
          </cell>
        </row>
        <row r="47">
          <cell r="B47" t="str">
            <v>18004</v>
          </cell>
        </row>
        <row r="48">
          <cell r="B48" t="str">
            <v>18005</v>
          </cell>
        </row>
        <row r="49">
          <cell r="B49">
            <v>18500</v>
          </cell>
        </row>
        <row r="50">
          <cell r="B50">
            <v>18501</v>
          </cell>
        </row>
        <row r="51">
          <cell r="B51" t="str">
            <v>18504</v>
          </cell>
        </row>
        <row r="52">
          <cell r="B52" t="str">
            <v>18505</v>
          </cell>
        </row>
        <row r="53">
          <cell r="B53">
            <v>20000</v>
          </cell>
        </row>
        <row r="54">
          <cell r="B54">
            <v>20001</v>
          </cell>
        </row>
        <row r="55">
          <cell r="B55">
            <v>20002</v>
          </cell>
        </row>
        <row r="56">
          <cell r="B56" t="str">
            <v>20003</v>
          </cell>
        </row>
        <row r="57">
          <cell r="B57" t="str">
            <v>20004</v>
          </cell>
        </row>
        <row r="58">
          <cell r="B58" t="str">
            <v>20006</v>
          </cell>
        </row>
        <row r="59">
          <cell r="B59" t="str">
            <v>20007</v>
          </cell>
        </row>
        <row r="60">
          <cell r="B60" t="str">
            <v>20008</v>
          </cell>
        </row>
        <row r="61">
          <cell r="B61" t="str">
            <v>20010</v>
          </cell>
        </row>
        <row r="62">
          <cell r="B62">
            <v>20011</v>
          </cell>
        </row>
        <row r="63">
          <cell r="B63">
            <v>20012</v>
          </cell>
        </row>
        <row r="64">
          <cell r="B64" t="str">
            <v>20016</v>
          </cell>
        </row>
        <row r="65">
          <cell r="B65">
            <v>20017</v>
          </cell>
        </row>
        <row r="66">
          <cell r="B66" t="str">
            <v>20019</v>
          </cell>
        </row>
        <row r="67">
          <cell r="B67" t="str">
            <v>20020</v>
          </cell>
        </row>
        <row r="68">
          <cell r="B68" t="str">
            <v>20021</v>
          </cell>
        </row>
        <row r="69">
          <cell r="B69" t="str">
            <v>20024</v>
          </cell>
        </row>
        <row r="70">
          <cell r="B70" t="str">
            <v>20025</v>
          </cell>
        </row>
        <row r="71">
          <cell r="B71">
            <v>20026</v>
          </cell>
        </row>
        <row r="72">
          <cell r="B72" t="str">
            <v>20027</v>
          </cell>
        </row>
        <row r="73">
          <cell r="B73">
            <v>20028</v>
          </cell>
        </row>
        <row r="74">
          <cell r="B74">
            <v>20030</v>
          </cell>
        </row>
        <row r="75">
          <cell r="B75">
            <v>20031</v>
          </cell>
        </row>
        <row r="76">
          <cell r="B76" t="str">
            <v>20032</v>
          </cell>
        </row>
        <row r="77">
          <cell r="B77" t="str">
            <v>20034</v>
          </cell>
        </row>
        <row r="78">
          <cell r="B78">
            <v>20035</v>
          </cell>
        </row>
        <row r="79">
          <cell r="B79">
            <v>20036</v>
          </cell>
        </row>
        <row r="80">
          <cell r="B80" t="str">
            <v>20037</v>
          </cell>
        </row>
        <row r="81">
          <cell r="B81">
            <v>20038</v>
          </cell>
        </row>
        <row r="82">
          <cell r="B82">
            <v>20039</v>
          </cell>
        </row>
        <row r="83">
          <cell r="B83" t="str">
            <v>20040</v>
          </cell>
        </row>
        <row r="84">
          <cell r="B84" t="str">
            <v>20042</v>
          </cell>
        </row>
        <row r="85">
          <cell r="B85" t="str">
            <v>20043</v>
          </cell>
        </row>
        <row r="86">
          <cell r="B86" t="str">
            <v>20046</v>
          </cell>
        </row>
        <row r="87">
          <cell r="B87" t="str">
            <v>20047</v>
          </cell>
        </row>
        <row r="88">
          <cell r="B88" t="str">
            <v>20048</v>
          </cell>
        </row>
        <row r="89">
          <cell r="B89" t="str">
            <v>20049</v>
          </cell>
        </row>
        <row r="90">
          <cell r="B90">
            <v>20050</v>
          </cell>
        </row>
        <row r="91">
          <cell r="B91" t="str">
            <v>20052</v>
          </cell>
        </row>
        <row r="92">
          <cell r="B92" t="str">
            <v>20053</v>
          </cell>
        </row>
        <row r="93">
          <cell r="B93" t="str">
            <v>20054</v>
          </cell>
        </row>
        <row r="94">
          <cell r="B94" t="str">
            <v>20055</v>
          </cell>
        </row>
        <row r="95">
          <cell r="B95" t="str">
            <v>20056</v>
          </cell>
        </row>
        <row r="96">
          <cell r="B96" t="str">
            <v>20057</v>
          </cell>
        </row>
        <row r="97">
          <cell r="B97" t="str">
            <v>20058</v>
          </cell>
        </row>
        <row r="98">
          <cell r="B98" t="str">
            <v>20059</v>
          </cell>
        </row>
        <row r="99">
          <cell r="B99" t="str">
            <v>20060</v>
          </cell>
        </row>
        <row r="100">
          <cell r="B100" t="str">
            <v>20061</v>
          </cell>
        </row>
        <row r="101">
          <cell r="B101" t="str">
            <v>20062</v>
          </cell>
        </row>
        <row r="102">
          <cell r="B102" t="str">
            <v>20063</v>
          </cell>
        </row>
        <row r="103">
          <cell r="B103" t="str">
            <v>20064</v>
          </cell>
        </row>
        <row r="104">
          <cell r="B104" t="str">
            <v>20065</v>
          </cell>
        </row>
        <row r="105">
          <cell r="B105" t="str">
            <v>20066</v>
          </cell>
        </row>
        <row r="106">
          <cell r="B106" t="str">
            <v>20067</v>
          </cell>
        </row>
        <row r="107">
          <cell r="B107" t="str">
            <v>20068</v>
          </cell>
        </row>
        <row r="108">
          <cell r="B108" t="str">
            <v>20069</v>
          </cell>
        </row>
        <row r="109">
          <cell r="B109" t="str">
            <v>20070</v>
          </cell>
        </row>
        <row r="110">
          <cell r="B110" t="str">
            <v>20071</v>
          </cell>
        </row>
        <row r="111">
          <cell r="B111" t="str">
            <v>20072</v>
          </cell>
        </row>
        <row r="112">
          <cell r="B112" t="str">
            <v>20073</v>
          </cell>
        </row>
        <row r="113">
          <cell r="B113">
            <v>20075</v>
          </cell>
        </row>
        <row r="114">
          <cell r="B114">
            <v>20079</v>
          </cell>
        </row>
        <row r="115">
          <cell r="B115">
            <v>20083</v>
          </cell>
        </row>
        <row r="116">
          <cell r="B116">
            <v>20084</v>
          </cell>
        </row>
        <row r="117">
          <cell r="B117">
            <v>20085</v>
          </cell>
        </row>
        <row r="118">
          <cell r="B118">
            <v>20100</v>
          </cell>
        </row>
        <row r="119">
          <cell r="B119" t="str">
            <v>20101</v>
          </cell>
        </row>
        <row r="120">
          <cell r="B120" t="str">
            <v>20103</v>
          </cell>
        </row>
        <row r="121">
          <cell r="B121">
            <v>20104</v>
          </cell>
        </row>
        <row r="122">
          <cell r="B122">
            <v>20105</v>
          </cell>
        </row>
        <row r="123">
          <cell r="B123">
            <v>20106</v>
          </cell>
        </row>
        <row r="124">
          <cell r="B124">
            <v>20107</v>
          </cell>
        </row>
        <row r="125">
          <cell r="B125">
            <v>20108</v>
          </cell>
        </row>
        <row r="126">
          <cell r="B126">
            <v>20109</v>
          </cell>
        </row>
        <row r="127">
          <cell r="B127" t="str">
            <v>20501</v>
          </cell>
        </row>
        <row r="128">
          <cell r="B128" t="str">
            <v>20503</v>
          </cell>
        </row>
        <row r="129">
          <cell r="B129" t="str">
            <v>21000</v>
          </cell>
        </row>
        <row r="130">
          <cell r="B130">
            <v>21001</v>
          </cell>
        </row>
        <row r="131">
          <cell r="B131">
            <v>21002</v>
          </cell>
        </row>
        <row r="132">
          <cell r="B132">
            <v>21003</v>
          </cell>
        </row>
        <row r="133">
          <cell r="B133">
            <v>21005</v>
          </cell>
        </row>
        <row r="134">
          <cell r="B134" t="str">
            <v>21006</v>
          </cell>
        </row>
        <row r="135">
          <cell r="B135" t="str">
            <v>21010</v>
          </cell>
        </row>
        <row r="136">
          <cell r="B136" t="str">
            <v>21011</v>
          </cell>
        </row>
        <row r="137">
          <cell r="B137" t="str">
            <v>21012</v>
          </cell>
        </row>
        <row r="138">
          <cell r="B138">
            <v>21014</v>
          </cell>
        </row>
        <row r="139">
          <cell r="B139">
            <v>21015</v>
          </cell>
        </row>
        <row r="140">
          <cell r="B140">
            <v>21016</v>
          </cell>
        </row>
        <row r="141">
          <cell r="B141" t="str">
            <v>23000</v>
          </cell>
        </row>
        <row r="142">
          <cell r="B142" t="str">
            <v>23001</v>
          </cell>
        </row>
        <row r="143">
          <cell r="B143" t="str">
            <v>23002</v>
          </cell>
        </row>
        <row r="144">
          <cell r="B144" t="str">
            <v>23003</v>
          </cell>
        </row>
        <row r="145">
          <cell r="B145" t="str">
            <v>23004</v>
          </cell>
        </row>
        <row r="146">
          <cell r="B146" t="str">
            <v>23007</v>
          </cell>
        </row>
        <row r="147">
          <cell r="B147" t="str">
            <v>23018</v>
          </cell>
        </row>
        <row r="148">
          <cell r="B148" t="str">
            <v>23019</v>
          </cell>
        </row>
        <row r="149">
          <cell r="B149" t="str">
            <v>23020</v>
          </cell>
        </row>
        <row r="150">
          <cell r="B150" t="str">
            <v>23021</v>
          </cell>
        </row>
        <row r="151">
          <cell r="B151" t="str">
            <v>23022</v>
          </cell>
        </row>
        <row r="152">
          <cell r="B152" t="str">
            <v>24000</v>
          </cell>
        </row>
        <row r="153">
          <cell r="B153" t="str">
            <v>24001</v>
          </cell>
        </row>
        <row r="154">
          <cell r="B154" t="str">
            <v>26101</v>
          </cell>
        </row>
        <row r="155">
          <cell r="B155">
            <v>27000</v>
          </cell>
        </row>
        <row r="156">
          <cell r="B156" t="str">
            <v>28001</v>
          </cell>
        </row>
        <row r="157">
          <cell r="B157" t="str">
            <v>29000</v>
          </cell>
        </row>
        <row r="158">
          <cell r="B158">
            <v>36000</v>
          </cell>
        </row>
        <row r="159">
          <cell r="B159">
            <v>36001</v>
          </cell>
        </row>
        <row r="160">
          <cell r="B160" t="str">
            <v>36002</v>
          </cell>
        </row>
        <row r="161">
          <cell r="B161" t="str">
            <v>31000</v>
          </cell>
        </row>
        <row r="162">
          <cell r="B162" t="str">
            <v>31001</v>
          </cell>
        </row>
        <row r="163">
          <cell r="B163" t="str">
            <v>31006</v>
          </cell>
        </row>
        <row r="164">
          <cell r="B164" t="str">
            <v>89000</v>
          </cell>
        </row>
        <row r="165">
          <cell r="B165" t="str">
            <v>40600</v>
          </cell>
        </row>
        <row r="166">
          <cell r="B166" t="str">
            <v>40601</v>
          </cell>
        </row>
        <row r="167">
          <cell r="B167" t="str">
            <v>50000</v>
          </cell>
        </row>
        <row r="168">
          <cell r="B168" t="str">
            <v>50001</v>
          </cell>
        </row>
        <row r="169">
          <cell r="B169" t="str">
            <v>50002</v>
          </cell>
        </row>
        <row r="170">
          <cell r="B170" t="str">
            <v>50004</v>
          </cell>
        </row>
        <row r="171">
          <cell r="B171" t="str">
            <v>50005</v>
          </cell>
        </row>
        <row r="172">
          <cell r="B172" t="str">
            <v>50006</v>
          </cell>
        </row>
        <row r="173">
          <cell r="B173" t="str">
            <v>50007</v>
          </cell>
        </row>
        <row r="174">
          <cell r="B174" t="str">
            <v>50008</v>
          </cell>
        </row>
        <row r="175">
          <cell r="B175" t="str">
            <v>50009</v>
          </cell>
        </row>
        <row r="176">
          <cell r="B176" t="str">
            <v>50010</v>
          </cell>
        </row>
        <row r="177">
          <cell r="B177" t="str">
            <v>50011</v>
          </cell>
        </row>
        <row r="178">
          <cell r="B178" t="str">
            <v>50012</v>
          </cell>
        </row>
        <row r="179">
          <cell r="B179" t="str">
            <v>50013</v>
          </cell>
        </row>
        <row r="180">
          <cell r="B180" t="str">
            <v>50014</v>
          </cell>
        </row>
        <row r="181">
          <cell r="B181">
            <v>50015</v>
          </cell>
        </row>
        <row r="182">
          <cell r="B182" t="str">
            <v>50016</v>
          </cell>
        </row>
        <row r="183">
          <cell r="B183" t="str">
            <v>50017</v>
          </cell>
        </row>
        <row r="184">
          <cell r="B184">
            <v>50018</v>
          </cell>
        </row>
        <row r="185">
          <cell r="B185">
            <v>50020</v>
          </cell>
        </row>
        <row r="186">
          <cell r="B186" t="str">
            <v>50021</v>
          </cell>
        </row>
        <row r="187">
          <cell r="B187" t="str">
            <v>50022</v>
          </cell>
        </row>
        <row r="188">
          <cell r="B188" t="str">
            <v>50023</v>
          </cell>
        </row>
        <row r="189">
          <cell r="B189">
            <v>50024</v>
          </cell>
        </row>
        <row r="190">
          <cell r="B190">
            <v>50025</v>
          </cell>
        </row>
        <row r="191">
          <cell r="B191">
            <v>50026</v>
          </cell>
        </row>
        <row r="192">
          <cell r="B192" t="str">
            <v>50027</v>
          </cell>
        </row>
        <row r="193">
          <cell r="B193" t="str">
            <v>50028</v>
          </cell>
        </row>
        <row r="194">
          <cell r="B194" t="str">
            <v>50029</v>
          </cell>
        </row>
        <row r="195">
          <cell r="B195">
            <v>50030</v>
          </cell>
        </row>
        <row r="196">
          <cell r="B196" t="str">
            <v>50031</v>
          </cell>
        </row>
        <row r="197">
          <cell r="B197">
            <v>50032</v>
          </cell>
        </row>
        <row r="198">
          <cell r="B198" t="str">
            <v>50033</v>
          </cell>
        </row>
        <row r="199">
          <cell r="B199" t="str">
            <v>50035</v>
          </cell>
        </row>
        <row r="200">
          <cell r="B200" t="str">
            <v>50037</v>
          </cell>
        </row>
        <row r="201">
          <cell r="B201" t="str">
            <v>50039</v>
          </cell>
        </row>
        <row r="202">
          <cell r="B202" t="str">
            <v>50041</v>
          </cell>
        </row>
        <row r="203">
          <cell r="B203">
            <v>50043</v>
          </cell>
        </row>
        <row r="204">
          <cell r="B204" t="str">
            <v>50044</v>
          </cell>
        </row>
        <row r="205">
          <cell r="B205">
            <v>50045</v>
          </cell>
        </row>
        <row r="206">
          <cell r="B206" t="str">
            <v>50046</v>
          </cell>
        </row>
        <row r="207">
          <cell r="B207">
            <v>50047</v>
          </cell>
        </row>
        <row r="208">
          <cell r="B208" t="str">
            <v>50052</v>
          </cell>
        </row>
        <row r="209">
          <cell r="B209">
            <v>50051</v>
          </cell>
        </row>
        <row r="210">
          <cell r="B210">
            <v>50055</v>
          </cell>
        </row>
        <row r="211">
          <cell r="B211" t="str">
            <v>50059</v>
          </cell>
        </row>
        <row r="212">
          <cell r="B212" t="str">
            <v>50060</v>
          </cell>
        </row>
        <row r="213">
          <cell r="B213" t="str">
            <v>50061</v>
          </cell>
        </row>
        <row r="214">
          <cell r="B214" t="str">
            <v>50062</v>
          </cell>
        </row>
        <row r="215">
          <cell r="B215">
            <v>50063</v>
          </cell>
        </row>
        <row r="216">
          <cell r="B216" t="str">
            <v>51000</v>
          </cell>
        </row>
        <row r="217">
          <cell r="B217" t="str">
            <v>51001</v>
          </cell>
        </row>
        <row r="218">
          <cell r="B218" t="str">
            <v>51002</v>
          </cell>
        </row>
        <row r="219">
          <cell r="B219">
            <v>51003</v>
          </cell>
        </row>
        <row r="220">
          <cell r="B220" t="str">
            <v>51004</v>
          </cell>
        </row>
        <row r="221">
          <cell r="B221">
            <v>51005</v>
          </cell>
        </row>
        <row r="222">
          <cell r="B222" t="str">
            <v>51006</v>
          </cell>
        </row>
        <row r="223">
          <cell r="B223">
            <v>51007</v>
          </cell>
        </row>
        <row r="224">
          <cell r="B224">
            <v>51009</v>
          </cell>
        </row>
        <row r="225">
          <cell r="B225">
            <v>51014</v>
          </cell>
        </row>
        <row r="226">
          <cell r="B226">
            <v>51017</v>
          </cell>
        </row>
        <row r="227">
          <cell r="B227">
            <v>51019</v>
          </cell>
        </row>
        <row r="228">
          <cell r="B228">
            <v>51020</v>
          </cell>
        </row>
        <row r="229">
          <cell r="B229" t="str">
            <v>51052</v>
          </cell>
        </row>
        <row r="230">
          <cell r="B230" t="str">
            <v>51053</v>
          </cell>
        </row>
        <row r="231">
          <cell r="B231" t="str">
            <v>51054</v>
          </cell>
        </row>
        <row r="232">
          <cell r="B232">
            <v>51100</v>
          </cell>
        </row>
        <row r="233">
          <cell r="B233">
            <v>51101</v>
          </cell>
        </row>
        <row r="234">
          <cell r="B234">
            <v>51102</v>
          </cell>
        </row>
        <row r="235">
          <cell r="B235">
            <v>51103</v>
          </cell>
        </row>
        <row r="236">
          <cell r="B236">
            <v>51104</v>
          </cell>
        </row>
        <row r="237">
          <cell r="B237">
            <v>51105</v>
          </cell>
        </row>
        <row r="238">
          <cell r="B238">
            <v>51106</v>
          </cell>
        </row>
        <row r="239">
          <cell r="B239">
            <v>51107</v>
          </cell>
        </row>
        <row r="240">
          <cell r="B240">
            <v>51108</v>
          </cell>
        </row>
        <row r="241">
          <cell r="B241">
            <v>51109</v>
          </cell>
        </row>
        <row r="242">
          <cell r="B242">
            <v>51110</v>
          </cell>
        </row>
        <row r="243">
          <cell r="B243">
            <v>51111</v>
          </cell>
        </row>
        <row r="244">
          <cell r="B244">
            <v>51112</v>
          </cell>
        </row>
        <row r="245">
          <cell r="B245" t="str">
            <v>51130</v>
          </cell>
        </row>
        <row r="246">
          <cell r="B246" t="str">
            <v>52000</v>
          </cell>
        </row>
        <row r="247">
          <cell r="B247" t="str">
            <v>52001</v>
          </cell>
        </row>
        <row r="248">
          <cell r="B248" t="str">
            <v>52002</v>
          </cell>
        </row>
        <row r="249">
          <cell r="B249" t="str">
            <v>52003</v>
          </cell>
        </row>
        <row r="250">
          <cell r="B250" t="str">
            <v>52004</v>
          </cell>
        </row>
        <row r="251">
          <cell r="B251" t="str">
            <v>52005</v>
          </cell>
        </row>
        <row r="252">
          <cell r="B252">
            <v>52006</v>
          </cell>
        </row>
        <row r="253">
          <cell r="B253">
            <v>52007</v>
          </cell>
        </row>
        <row r="254">
          <cell r="B254">
            <v>52008</v>
          </cell>
        </row>
        <row r="255">
          <cell r="B255">
            <v>52009</v>
          </cell>
        </row>
        <row r="256">
          <cell r="B256">
            <v>52010</v>
          </cell>
        </row>
        <row r="257">
          <cell r="B257">
            <v>52011</v>
          </cell>
        </row>
        <row r="258">
          <cell r="B258">
            <v>52099</v>
          </cell>
        </row>
        <row r="259">
          <cell r="B259" t="str">
            <v>53099</v>
          </cell>
        </row>
        <row r="260">
          <cell r="B260" t="str">
            <v>60000</v>
          </cell>
        </row>
        <row r="261">
          <cell r="B261">
            <v>60003</v>
          </cell>
        </row>
        <row r="262">
          <cell r="B262" t="str">
            <v>60004</v>
          </cell>
        </row>
        <row r="263">
          <cell r="B263">
            <v>60005</v>
          </cell>
        </row>
        <row r="264">
          <cell r="B264" t="str">
            <v>60009</v>
          </cell>
        </row>
        <row r="265">
          <cell r="B265">
            <v>60017</v>
          </cell>
        </row>
        <row r="266">
          <cell r="B266" t="str">
            <v>61000</v>
          </cell>
        </row>
        <row r="267">
          <cell r="B267" t="str">
            <v>61001</v>
          </cell>
        </row>
        <row r="268">
          <cell r="B268" t="str">
            <v>61002</v>
          </cell>
        </row>
        <row r="269">
          <cell r="B269">
            <v>61003</v>
          </cell>
        </row>
        <row r="270">
          <cell r="B270" t="str">
            <v>61004</v>
          </cell>
        </row>
        <row r="271">
          <cell r="B271">
            <v>61005</v>
          </cell>
        </row>
        <row r="272">
          <cell r="B272" t="str">
            <v>61006</v>
          </cell>
        </row>
        <row r="273">
          <cell r="B273">
            <v>61007</v>
          </cell>
        </row>
        <row r="274">
          <cell r="B274">
            <v>61009</v>
          </cell>
        </row>
        <row r="275">
          <cell r="B275">
            <v>61014</v>
          </cell>
        </row>
        <row r="276">
          <cell r="B276">
            <v>61020</v>
          </cell>
        </row>
        <row r="277">
          <cell r="B277" t="str">
            <v>61053</v>
          </cell>
        </row>
        <row r="278">
          <cell r="B278" t="str">
            <v>61054</v>
          </cell>
        </row>
        <row r="279">
          <cell r="B279" t="str">
            <v>61055</v>
          </cell>
        </row>
        <row r="280">
          <cell r="B280" t="str">
            <v>61056</v>
          </cell>
        </row>
        <row r="281">
          <cell r="B281">
            <v>61057</v>
          </cell>
        </row>
        <row r="282">
          <cell r="B282">
            <v>61058</v>
          </cell>
        </row>
        <row r="283">
          <cell r="B283" t="str">
            <v>60013</v>
          </cell>
        </row>
        <row r="284">
          <cell r="B284" t="str">
            <v>60014</v>
          </cell>
        </row>
        <row r="285">
          <cell r="B285" t="str">
            <v>60015</v>
          </cell>
        </row>
        <row r="286">
          <cell r="B286" t="str">
            <v>60016</v>
          </cell>
        </row>
        <row r="287">
          <cell r="B287">
            <v>61101</v>
          </cell>
        </row>
        <row r="288">
          <cell r="B288">
            <v>61102</v>
          </cell>
        </row>
        <row r="289">
          <cell r="B289">
            <v>61103</v>
          </cell>
        </row>
        <row r="290">
          <cell r="B290">
            <v>61104</v>
          </cell>
        </row>
        <row r="291">
          <cell r="B291">
            <v>61105</v>
          </cell>
        </row>
        <row r="292">
          <cell r="B292">
            <v>61106</v>
          </cell>
        </row>
        <row r="293">
          <cell r="B293">
            <v>61107</v>
          </cell>
        </row>
        <row r="294">
          <cell r="B294">
            <v>61108</v>
          </cell>
        </row>
        <row r="295">
          <cell r="B295">
            <v>61109</v>
          </cell>
        </row>
        <row r="296">
          <cell r="B296">
            <v>61120</v>
          </cell>
        </row>
        <row r="297">
          <cell r="B297">
            <v>61111</v>
          </cell>
        </row>
        <row r="298">
          <cell r="B298">
            <v>61201</v>
          </cell>
        </row>
        <row r="299">
          <cell r="B299" t="str">
            <v>70001</v>
          </cell>
        </row>
        <row r="300">
          <cell r="B300" t="str">
            <v>70003</v>
          </cell>
        </row>
        <row r="301">
          <cell r="B301" t="str">
            <v>70006</v>
          </cell>
        </row>
        <row r="302">
          <cell r="B302">
            <v>70009</v>
          </cell>
        </row>
        <row r="303">
          <cell r="B303" t="str">
            <v>70010</v>
          </cell>
        </row>
        <row r="304">
          <cell r="B304" t="str">
            <v>70013</v>
          </cell>
        </row>
        <row r="305">
          <cell r="B305" t="str">
            <v>71000</v>
          </cell>
        </row>
        <row r="306">
          <cell r="B306" t="str">
            <v>71001</v>
          </cell>
        </row>
        <row r="307">
          <cell r="B307" t="str">
            <v>71002</v>
          </cell>
        </row>
        <row r="308">
          <cell r="B308" t="str">
            <v>71003</v>
          </cell>
        </row>
        <row r="309">
          <cell r="B309" t="str">
            <v>71004</v>
          </cell>
        </row>
        <row r="310">
          <cell r="B310">
            <v>71005</v>
          </cell>
        </row>
        <row r="311">
          <cell r="B311" t="str">
            <v>71006</v>
          </cell>
        </row>
        <row r="312">
          <cell r="B312">
            <v>71007</v>
          </cell>
        </row>
        <row r="313">
          <cell r="B313">
            <v>71009</v>
          </cell>
        </row>
        <row r="314">
          <cell r="B314">
            <v>71012</v>
          </cell>
        </row>
        <row r="315">
          <cell r="B315">
            <v>71014</v>
          </cell>
        </row>
        <row r="316">
          <cell r="B316">
            <v>71015</v>
          </cell>
        </row>
        <row r="317">
          <cell r="B317" t="str">
            <v>71016</v>
          </cell>
        </row>
        <row r="318">
          <cell r="B318" t="str">
            <v>71017</v>
          </cell>
        </row>
        <row r="319">
          <cell r="B319" t="str">
            <v>71020</v>
          </cell>
        </row>
        <row r="320">
          <cell r="B320" t="str">
            <v>71053</v>
          </cell>
        </row>
        <row r="321">
          <cell r="B321" t="str">
            <v>71054</v>
          </cell>
        </row>
        <row r="322">
          <cell r="B322" t="str">
            <v>71055</v>
          </cell>
        </row>
        <row r="323">
          <cell r="B323">
            <v>71056</v>
          </cell>
        </row>
        <row r="324">
          <cell r="B324">
            <v>71057</v>
          </cell>
        </row>
        <row r="325">
          <cell r="B325">
            <v>71058</v>
          </cell>
        </row>
        <row r="326">
          <cell r="B326">
            <v>71059</v>
          </cell>
        </row>
        <row r="327">
          <cell r="B327">
            <v>71060</v>
          </cell>
        </row>
        <row r="328">
          <cell r="B328">
            <v>73000</v>
          </cell>
        </row>
        <row r="329">
          <cell r="B329" t="str">
            <v>73099</v>
          </cell>
        </row>
        <row r="330">
          <cell r="B330" t="str">
            <v>81000</v>
          </cell>
        </row>
        <row r="331">
          <cell r="B331" t="str">
            <v>81001</v>
          </cell>
        </row>
        <row r="332">
          <cell r="B332" t="str">
            <v>81002</v>
          </cell>
        </row>
        <row r="333">
          <cell r="B333" t="str">
            <v>81004</v>
          </cell>
        </row>
        <row r="334">
          <cell r="B334" t="str">
            <v>81018</v>
          </cell>
        </row>
        <row r="335">
          <cell r="B335" t="str">
            <v>81052</v>
          </cell>
        </row>
        <row r="336">
          <cell r="B336" t="str">
            <v>81053</v>
          </cell>
        </row>
        <row r="337">
          <cell r="B337" t="str">
            <v>81054</v>
          </cell>
        </row>
        <row r="338">
          <cell r="B338" t="str">
            <v>90000</v>
          </cell>
        </row>
        <row r="339">
          <cell r="B339" t="str">
            <v>90001</v>
          </cell>
        </row>
        <row r="340">
          <cell r="B340" t="str">
            <v>90002</v>
          </cell>
        </row>
        <row r="341">
          <cell r="B341" t="str">
            <v>90003</v>
          </cell>
        </row>
        <row r="342">
          <cell r="B342" t="str">
            <v>90017</v>
          </cell>
        </row>
        <row r="343">
          <cell r="B343" t="str">
            <v>90004</v>
          </cell>
        </row>
        <row r="344">
          <cell r="B344" t="str">
            <v>90005</v>
          </cell>
        </row>
        <row r="345">
          <cell r="B345">
            <v>90010</v>
          </cell>
        </row>
        <row r="346">
          <cell r="B346">
            <v>90016</v>
          </cell>
        </row>
        <row r="347">
          <cell r="B347" t="str">
            <v>חדש 1</v>
          </cell>
        </row>
        <row r="348">
          <cell r="B348" t="str">
            <v>חדש 2</v>
          </cell>
        </row>
        <row r="349">
          <cell r="B349" t="str">
            <v>חדש 3</v>
          </cell>
        </row>
        <row r="350">
          <cell r="B350" t="str">
            <v>חדש 4</v>
          </cell>
        </row>
        <row r="351">
          <cell r="B351" t="str">
            <v>חדש 5</v>
          </cell>
        </row>
        <row r="352">
          <cell r="B352" t="str">
            <v>חדש 6</v>
          </cell>
        </row>
        <row r="353">
          <cell r="B353" t="str">
            <v>חדש 7</v>
          </cell>
        </row>
        <row r="354">
          <cell r="B354" t="str">
            <v>חדש 8</v>
          </cell>
        </row>
        <row r="355">
          <cell r="B355" t="str">
            <v>חדש 9</v>
          </cell>
        </row>
        <row r="356">
          <cell r="B356" t="str">
            <v>חדש 10</v>
          </cell>
        </row>
        <row r="357">
          <cell r="B357">
            <v>0</v>
          </cell>
        </row>
        <row r="358">
          <cell r="B358">
            <v>0</v>
          </cell>
        </row>
        <row r="359">
          <cell r="B359">
            <v>0</v>
          </cell>
        </row>
        <row r="360">
          <cell r="B360">
            <v>0</v>
          </cell>
        </row>
        <row r="361">
          <cell r="B361">
            <v>0</v>
          </cell>
        </row>
        <row r="362">
          <cell r="B362">
            <v>0</v>
          </cell>
        </row>
        <row r="363">
          <cell r="B363">
            <v>0</v>
          </cell>
        </row>
        <row r="364">
          <cell r="B364">
            <v>0</v>
          </cell>
        </row>
        <row r="365">
          <cell r="B365">
            <v>0</v>
          </cell>
        </row>
        <row r="366">
          <cell r="B366">
            <v>0</v>
          </cell>
        </row>
        <row r="367">
          <cell r="B367">
            <v>0</v>
          </cell>
        </row>
        <row r="368">
          <cell r="B368">
            <v>0</v>
          </cell>
        </row>
        <row r="369">
          <cell r="B369">
            <v>0</v>
          </cell>
        </row>
        <row r="370">
          <cell r="B370">
            <v>0</v>
          </cell>
        </row>
        <row r="371">
          <cell r="B371">
            <v>0</v>
          </cell>
        </row>
        <row r="372">
          <cell r="B372">
            <v>0</v>
          </cell>
        </row>
        <row r="373">
          <cell r="B373">
            <v>0</v>
          </cell>
        </row>
        <row r="374">
          <cell r="B374">
            <v>0</v>
          </cell>
        </row>
        <row r="375">
          <cell r="B375">
            <v>0</v>
          </cell>
        </row>
        <row r="376">
          <cell r="B376">
            <v>0</v>
          </cell>
        </row>
        <row r="377">
          <cell r="B377">
            <v>0</v>
          </cell>
        </row>
        <row r="378">
          <cell r="B378">
            <v>0</v>
          </cell>
        </row>
        <row r="379">
          <cell r="B379">
            <v>0</v>
          </cell>
        </row>
        <row r="380">
          <cell r="B380">
            <v>0</v>
          </cell>
        </row>
        <row r="381">
          <cell r="B381">
            <v>0</v>
          </cell>
        </row>
        <row r="382">
          <cell r="B382">
            <v>0</v>
          </cell>
        </row>
        <row r="383">
          <cell r="B383">
            <v>0</v>
          </cell>
        </row>
        <row r="384">
          <cell r="B384">
            <v>0</v>
          </cell>
        </row>
        <row r="385">
          <cell r="B385">
            <v>0</v>
          </cell>
        </row>
        <row r="386">
          <cell r="B386">
            <v>0</v>
          </cell>
        </row>
        <row r="387">
          <cell r="B387">
            <v>0</v>
          </cell>
        </row>
        <row r="388">
          <cell r="B388">
            <v>0</v>
          </cell>
        </row>
        <row r="389">
          <cell r="B389">
            <v>0</v>
          </cell>
        </row>
        <row r="390">
          <cell r="B390">
            <v>0</v>
          </cell>
        </row>
        <row r="391">
          <cell r="B391">
            <v>0</v>
          </cell>
        </row>
        <row r="392">
          <cell r="B392">
            <v>0</v>
          </cell>
        </row>
        <row r="393">
          <cell r="B393">
            <v>0</v>
          </cell>
        </row>
        <row r="394">
          <cell r="B394">
            <v>0</v>
          </cell>
        </row>
        <row r="395">
          <cell r="B395">
            <v>0</v>
          </cell>
        </row>
        <row r="396">
          <cell r="B396">
            <v>0</v>
          </cell>
        </row>
        <row r="397">
          <cell r="B397">
            <v>0</v>
          </cell>
        </row>
        <row r="398">
          <cell r="B398">
            <v>0</v>
          </cell>
        </row>
        <row r="399">
          <cell r="B399">
            <v>0</v>
          </cell>
        </row>
        <row r="400">
          <cell r="B400">
            <v>0</v>
          </cell>
        </row>
        <row r="401">
          <cell r="B401">
            <v>0</v>
          </cell>
        </row>
        <row r="402">
          <cell r="B402">
            <v>0</v>
          </cell>
        </row>
        <row r="403">
          <cell r="B403">
            <v>0</v>
          </cell>
        </row>
        <row r="404">
          <cell r="B404">
            <v>0</v>
          </cell>
        </row>
        <row r="405">
          <cell r="B405">
            <v>0</v>
          </cell>
        </row>
        <row r="406">
          <cell r="B406">
            <v>0</v>
          </cell>
        </row>
        <row r="407">
          <cell r="B407">
            <v>0</v>
          </cell>
        </row>
        <row r="408">
          <cell r="B408">
            <v>0</v>
          </cell>
        </row>
        <row r="409">
          <cell r="B409">
            <v>0</v>
          </cell>
        </row>
        <row r="410">
          <cell r="B410">
            <v>0</v>
          </cell>
        </row>
        <row r="411">
          <cell r="B411">
            <v>0</v>
          </cell>
        </row>
        <row r="412">
          <cell r="B412">
            <v>0</v>
          </cell>
        </row>
        <row r="413">
          <cell r="B413">
            <v>0</v>
          </cell>
        </row>
        <row r="414">
          <cell r="B414">
            <v>0</v>
          </cell>
        </row>
        <row r="415">
          <cell r="B415">
            <v>0</v>
          </cell>
        </row>
        <row r="416">
          <cell r="B416">
            <v>0</v>
          </cell>
        </row>
        <row r="417">
          <cell r="B417">
            <v>0</v>
          </cell>
        </row>
        <row r="418">
          <cell r="B418">
            <v>0</v>
          </cell>
        </row>
        <row r="419">
          <cell r="B419">
            <v>0</v>
          </cell>
        </row>
        <row r="420">
          <cell r="B420">
            <v>0</v>
          </cell>
        </row>
        <row r="421">
          <cell r="B421">
            <v>0</v>
          </cell>
        </row>
        <row r="422">
          <cell r="B422">
            <v>0</v>
          </cell>
        </row>
        <row r="423">
          <cell r="B423">
            <v>0</v>
          </cell>
        </row>
        <row r="424">
          <cell r="B424">
            <v>0</v>
          </cell>
        </row>
        <row r="425">
          <cell r="B425">
            <v>0</v>
          </cell>
        </row>
        <row r="426">
          <cell r="B426">
            <v>0</v>
          </cell>
        </row>
        <row r="427">
          <cell r="B427">
            <v>0</v>
          </cell>
        </row>
        <row r="428">
          <cell r="B428">
            <v>0</v>
          </cell>
        </row>
        <row r="429">
          <cell r="B429">
            <v>0</v>
          </cell>
        </row>
        <row r="430">
          <cell r="B430">
            <v>0</v>
          </cell>
        </row>
        <row r="431">
          <cell r="B431">
            <v>0</v>
          </cell>
        </row>
        <row r="432">
          <cell r="B432">
            <v>0</v>
          </cell>
        </row>
        <row r="433">
          <cell r="B433">
            <v>0</v>
          </cell>
        </row>
        <row r="434">
          <cell r="B434">
            <v>0</v>
          </cell>
        </row>
        <row r="435">
          <cell r="B435">
            <v>0</v>
          </cell>
        </row>
        <row r="436">
          <cell r="B436">
            <v>0</v>
          </cell>
        </row>
        <row r="437">
          <cell r="B437">
            <v>0</v>
          </cell>
        </row>
        <row r="438">
          <cell r="B438">
            <v>0</v>
          </cell>
        </row>
        <row r="439">
          <cell r="B439">
            <v>0</v>
          </cell>
        </row>
        <row r="440">
          <cell r="B440">
            <v>0</v>
          </cell>
        </row>
        <row r="441">
          <cell r="B441">
            <v>0</v>
          </cell>
        </row>
        <row r="442">
          <cell r="B442">
            <v>0</v>
          </cell>
        </row>
        <row r="443">
          <cell r="B443">
            <v>0</v>
          </cell>
        </row>
        <row r="444">
          <cell r="B444">
            <v>0</v>
          </cell>
        </row>
        <row r="445">
          <cell r="B445">
            <v>0</v>
          </cell>
        </row>
        <row r="446">
          <cell r="B446">
            <v>0</v>
          </cell>
        </row>
        <row r="447">
          <cell r="B447">
            <v>0</v>
          </cell>
        </row>
        <row r="448">
          <cell r="B448">
            <v>0</v>
          </cell>
        </row>
        <row r="449">
          <cell r="B449">
            <v>0</v>
          </cell>
        </row>
        <row r="450">
          <cell r="B450">
            <v>0</v>
          </cell>
        </row>
        <row r="451">
          <cell r="B451">
            <v>0</v>
          </cell>
        </row>
        <row r="452">
          <cell r="B452">
            <v>0</v>
          </cell>
        </row>
        <row r="453">
          <cell r="B453">
            <v>0</v>
          </cell>
        </row>
        <row r="454">
          <cell r="B454">
            <v>0</v>
          </cell>
        </row>
        <row r="455">
          <cell r="B455">
            <v>0</v>
          </cell>
        </row>
        <row r="456">
          <cell r="B456">
            <v>0</v>
          </cell>
        </row>
        <row r="457">
          <cell r="B457">
            <v>0</v>
          </cell>
        </row>
        <row r="458">
          <cell r="B458">
            <v>0</v>
          </cell>
        </row>
        <row r="459">
          <cell r="B459">
            <v>0</v>
          </cell>
        </row>
        <row r="460">
          <cell r="B460">
            <v>0</v>
          </cell>
        </row>
        <row r="461">
          <cell r="B461">
            <v>0</v>
          </cell>
        </row>
        <row r="462">
          <cell r="B462">
            <v>0</v>
          </cell>
        </row>
        <row r="463">
          <cell r="B463">
            <v>0</v>
          </cell>
        </row>
        <row r="464">
          <cell r="B464">
            <v>0</v>
          </cell>
        </row>
        <row r="465">
          <cell r="B465">
            <v>0</v>
          </cell>
        </row>
        <row r="466">
          <cell r="B466">
            <v>0</v>
          </cell>
        </row>
        <row r="467">
          <cell r="B467">
            <v>0</v>
          </cell>
        </row>
        <row r="468">
          <cell r="B468">
            <v>0</v>
          </cell>
        </row>
        <row r="469">
          <cell r="B469">
            <v>0</v>
          </cell>
        </row>
        <row r="470">
          <cell r="B470">
            <v>0</v>
          </cell>
        </row>
        <row r="471">
          <cell r="B471">
            <v>0</v>
          </cell>
        </row>
        <row r="472">
          <cell r="B472">
            <v>0</v>
          </cell>
        </row>
        <row r="473">
          <cell r="B473">
            <v>0</v>
          </cell>
        </row>
        <row r="474">
          <cell r="B474">
            <v>0</v>
          </cell>
        </row>
        <row r="475">
          <cell r="B475">
            <v>0</v>
          </cell>
        </row>
        <row r="476">
          <cell r="B476">
            <v>0</v>
          </cell>
        </row>
        <row r="477">
          <cell r="B477">
            <v>0</v>
          </cell>
        </row>
        <row r="478">
          <cell r="B478">
            <v>0</v>
          </cell>
        </row>
        <row r="479">
          <cell r="B479">
            <v>0</v>
          </cell>
        </row>
        <row r="480">
          <cell r="B480">
            <v>0</v>
          </cell>
        </row>
        <row r="481">
          <cell r="B481">
            <v>0</v>
          </cell>
        </row>
        <row r="482">
          <cell r="B482">
            <v>0</v>
          </cell>
        </row>
        <row r="483">
          <cell r="B483">
            <v>0</v>
          </cell>
        </row>
        <row r="484">
          <cell r="B484">
            <v>0</v>
          </cell>
        </row>
        <row r="485">
          <cell r="B485">
            <v>0</v>
          </cell>
        </row>
        <row r="486">
          <cell r="B486">
            <v>0</v>
          </cell>
        </row>
        <row r="487">
          <cell r="B487">
            <v>0</v>
          </cell>
        </row>
        <row r="488">
          <cell r="B488">
            <v>0</v>
          </cell>
        </row>
        <row r="489">
          <cell r="B489">
            <v>0</v>
          </cell>
        </row>
        <row r="490">
          <cell r="B490">
            <v>0</v>
          </cell>
        </row>
        <row r="491">
          <cell r="B491">
            <v>0</v>
          </cell>
        </row>
        <row r="492">
          <cell r="B492">
            <v>0</v>
          </cell>
        </row>
        <row r="493">
          <cell r="B493">
            <v>0</v>
          </cell>
        </row>
        <row r="494">
          <cell r="B494">
            <v>0</v>
          </cell>
        </row>
        <row r="495">
          <cell r="B495">
            <v>0</v>
          </cell>
        </row>
        <row r="496">
          <cell r="B496">
            <v>0</v>
          </cell>
        </row>
        <row r="497">
          <cell r="B497">
            <v>0</v>
          </cell>
        </row>
        <row r="498">
          <cell r="B498">
            <v>0</v>
          </cell>
        </row>
        <row r="499">
          <cell r="B499">
            <v>0</v>
          </cell>
        </row>
        <row r="500">
          <cell r="B500">
            <v>0</v>
          </cell>
        </row>
        <row r="501">
          <cell r="B501">
            <v>0</v>
          </cell>
        </row>
        <row r="502">
          <cell r="B502">
            <v>0</v>
          </cell>
        </row>
        <row r="503">
          <cell r="B503">
            <v>0</v>
          </cell>
        </row>
        <row r="504">
          <cell r="B504">
            <v>0</v>
          </cell>
        </row>
        <row r="505">
          <cell r="B505">
            <v>0</v>
          </cell>
        </row>
        <row r="506">
          <cell r="B506">
            <v>0</v>
          </cell>
        </row>
        <row r="507">
          <cell r="B507">
            <v>0</v>
          </cell>
        </row>
        <row r="508">
          <cell r="B508">
            <v>0</v>
          </cell>
        </row>
        <row r="509">
          <cell r="B509">
            <v>0</v>
          </cell>
        </row>
        <row r="510">
          <cell r="B510">
            <v>0</v>
          </cell>
        </row>
        <row r="511">
          <cell r="B511">
            <v>0</v>
          </cell>
        </row>
        <row r="512">
          <cell r="B512">
            <v>0</v>
          </cell>
        </row>
        <row r="513">
          <cell r="B513">
            <v>0</v>
          </cell>
        </row>
        <row r="514">
          <cell r="B514">
            <v>0</v>
          </cell>
        </row>
        <row r="515">
          <cell r="B515">
            <v>0</v>
          </cell>
        </row>
        <row r="516">
          <cell r="B516">
            <v>0</v>
          </cell>
        </row>
        <row r="517">
          <cell r="B517">
            <v>0</v>
          </cell>
        </row>
        <row r="518">
          <cell r="B518">
            <v>0</v>
          </cell>
        </row>
        <row r="519">
          <cell r="B519">
            <v>0</v>
          </cell>
        </row>
        <row r="520">
          <cell r="B520">
            <v>0</v>
          </cell>
        </row>
        <row r="521">
          <cell r="B521">
            <v>0</v>
          </cell>
        </row>
        <row r="522">
          <cell r="B522">
            <v>0</v>
          </cell>
        </row>
        <row r="523">
          <cell r="B523">
            <v>0</v>
          </cell>
        </row>
        <row r="524">
          <cell r="B524">
            <v>0</v>
          </cell>
        </row>
        <row r="525">
          <cell r="B525">
            <v>0</v>
          </cell>
        </row>
        <row r="526">
          <cell r="B526">
            <v>0</v>
          </cell>
        </row>
        <row r="527">
          <cell r="B527">
            <v>0</v>
          </cell>
        </row>
        <row r="528">
          <cell r="B528">
            <v>0</v>
          </cell>
        </row>
        <row r="529">
          <cell r="B529">
            <v>0</v>
          </cell>
        </row>
        <row r="530">
          <cell r="B530">
            <v>0</v>
          </cell>
        </row>
        <row r="531">
          <cell r="B531">
            <v>0</v>
          </cell>
        </row>
        <row r="532">
          <cell r="B532">
            <v>0</v>
          </cell>
        </row>
        <row r="533">
          <cell r="B533">
            <v>0</v>
          </cell>
        </row>
        <row r="534">
          <cell r="B534">
            <v>0</v>
          </cell>
        </row>
        <row r="535">
          <cell r="B535">
            <v>0</v>
          </cell>
        </row>
        <row r="536">
          <cell r="B536">
            <v>0</v>
          </cell>
        </row>
        <row r="537">
          <cell r="B537">
            <v>0</v>
          </cell>
        </row>
        <row r="538">
          <cell r="B538">
            <v>0</v>
          </cell>
        </row>
        <row r="539">
          <cell r="B539">
            <v>0</v>
          </cell>
        </row>
        <row r="540">
          <cell r="B540">
            <v>0</v>
          </cell>
        </row>
        <row r="541">
          <cell r="B541">
            <v>0</v>
          </cell>
        </row>
        <row r="542">
          <cell r="B542">
            <v>0</v>
          </cell>
        </row>
        <row r="543">
          <cell r="B543">
            <v>0</v>
          </cell>
        </row>
        <row r="544">
          <cell r="B544">
            <v>0</v>
          </cell>
        </row>
        <row r="545">
          <cell r="B545">
            <v>0</v>
          </cell>
        </row>
        <row r="546">
          <cell r="B546">
            <v>0</v>
          </cell>
        </row>
        <row r="547">
          <cell r="B547">
            <v>0</v>
          </cell>
        </row>
        <row r="548">
          <cell r="B548">
            <v>0</v>
          </cell>
        </row>
        <row r="549">
          <cell r="B549">
            <v>0</v>
          </cell>
        </row>
        <row r="550">
          <cell r="B550">
            <v>0</v>
          </cell>
        </row>
        <row r="551">
          <cell r="B551">
            <v>0</v>
          </cell>
        </row>
        <row r="552">
          <cell r="B552">
            <v>0</v>
          </cell>
        </row>
        <row r="553">
          <cell r="B553">
            <v>0</v>
          </cell>
        </row>
        <row r="554">
          <cell r="B554">
            <v>0</v>
          </cell>
        </row>
        <row r="555">
          <cell r="B555">
            <v>0</v>
          </cell>
        </row>
        <row r="556">
          <cell r="B556">
            <v>0</v>
          </cell>
        </row>
        <row r="557">
          <cell r="B557">
            <v>0</v>
          </cell>
        </row>
        <row r="558">
          <cell r="B558">
            <v>0</v>
          </cell>
        </row>
        <row r="559">
          <cell r="B559">
            <v>0</v>
          </cell>
        </row>
        <row r="560">
          <cell r="B560">
            <v>0</v>
          </cell>
        </row>
        <row r="561">
          <cell r="B561">
            <v>0</v>
          </cell>
        </row>
        <row r="562">
          <cell r="B562">
            <v>0</v>
          </cell>
        </row>
        <row r="563">
          <cell r="B563">
            <v>0</v>
          </cell>
        </row>
        <row r="564">
          <cell r="B564">
            <v>0</v>
          </cell>
        </row>
        <row r="565">
          <cell r="B565">
            <v>0</v>
          </cell>
        </row>
        <row r="566">
          <cell r="B566">
            <v>0</v>
          </cell>
        </row>
        <row r="567">
          <cell r="B567">
            <v>0</v>
          </cell>
        </row>
        <row r="568">
          <cell r="B568">
            <v>0</v>
          </cell>
        </row>
        <row r="569">
          <cell r="B569">
            <v>0</v>
          </cell>
        </row>
        <row r="570">
          <cell r="B570">
            <v>0</v>
          </cell>
        </row>
        <row r="571">
          <cell r="B571">
            <v>0</v>
          </cell>
        </row>
        <row r="572">
          <cell r="B572">
            <v>0</v>
          </cell>
        </row>
        <row r="573">
          <cell r="B573">
            <v>0</v>
          </cell>
        </row>
        <row r="574">
          <cell r="B574">
            <v>0</v>
          </cell>
        </row>
        <row r="575">
          <cell r="B575">
            <v>0</v>
          </cell>
        </row>
        <row r="576">
          <cell r="B576">
            <v>0</v>
          </cell>
        </row>
        <row r="577">
          <cell r="B577">
            <v>0</v>
          </cell>
        </row>
        <row r="578">
          <cell r="B578">
            <v>0</v>
          </cell>
        </row>
        <row r="579">
          <cell r="B579">
            <v>0</v>
          </cell>
        </row>
        <row r="580">
          <cell r="B580">
            <v>0</v>
          </cell>
        </row>
        <row r="581">
          <cell r="B581">
            <v>0</v>
          </cell>
        </row>
        <row r="582">
          <cell r="B582">
            <v>0</v>
          </cell>
        </row>
        <row r="583">
          <cell r="B583">
            <v>0</v>
          </cell>
        </row>
        <row r="584">
          <cell r="B584">
            <v>0</v>
          </cell>
        </row>
        <row r="585">
          <cell r="B585">
            <v>0</v>
          </cell>
        </row>
        <row r="586">
          <cell r="B586">
            <v>0</v>
          </cell>
        </row>
        <row r="587">
          <cell r="B587">
            <v>0</v>
          </cell>
        </row>
        <row r="588">
          <cell r="B588">
            <v>0</v>
          </cell>
        </row>
        <row r="589">
          <cell r="B589">
            <v>0</v>
          </cell>
        </row>
        <row r="590">
          <cell r="B590">
            <v>0</v>
          </cell>
        </row>
        <row r="591">
          <cell r="B591">
            <v>0</v>
          </cell>
        </row>
        <row r="592">
          <cell r="B592">
            <v>0</v>
          </cell>
        </row>
        <row r="593">
          <cell r="B593">
            <v>0</v>
          </cell>
        </row>
        <row r="594">
          <cell r="B594">
            <v>0</v>
          </cell>
        </row>
        <row r="595">
          <cell r="B595">
            <v>0</v>
          </cell>
        </row>
        <row r="596">
          <cell r="B596">
            <v>0</v>
          </cell>
        </row>
        <row r="597">
          <cell r="B597">
            <v>0</v>
          </cell>
        </row>
        <row r="598">
          <cell r="B598">
            <v>0</v>
          </cell>
        </row>
        <row r="599">
          <cell r="B599">
            <v>0</v>
          </cell>
        </row>
        <row r="600">
          <cell r="B600">
            <v>0</v>
          </cell>
        </row>
        <row r="601">
          <cell r="B601">
            <v>0</v>
          </cell>
        </row>
        <row r="602">
          <cell r="B602">
            <v>0</v>
          </cell>
        </row>
        <row r="603">
          <cell r="B603">
            <v>0</v>
          </cell>
        </row>
        <row r="604">
          <cell r="B604">
            <v>0</v>
          </cell>
        </row>
        <row r="605">
          <cell r="B605">
            <v>0</v>
          </cell>
        </row>
        <row r="606">
          <cell r="B606">
            <v>0</v>
          </cell>
        </row>
        <row r="607">
          <cell r="B607">
            <v>0</v>
          </cell>
        </row>
        <row r="608">
          <cell r="B608">
            <v>0</v>
          </cell>
        </row>
        <row r="609">
          <cell r="B609">
            <v>0</v>
          </cell>
        </row>
        <row r="610">
          <cell r="B610">
            <v>0</v>
          </cell>
        </row>
        <row r="611">
          <cell r="B611">
            <v>0</v>
          </cell>
        </row>
        <row r="612">
          <cell r="B612">
            <v>0</v>
          </cell>
        </row>
        <row r="613">
          <cell r="B613">
            <v>0</v>
          </cell>
        </row>
        <row r="614">
          <cell r="B614">
            <v>0</v>
          </cell>
        </row>
        <row r="615">
          <cell r="B615">
            <v>0</v>
          </cell>
        </row>
        <row r="616">
          <cell r="B616">
            <v>0</v>
          </cell>
        </row>
        <row r="617">
          <cell r="B617">
            <v>0</v>
          </cell>
        </row>
        <row r="618">
          <cell r="B618">
            <v>0</v>
          </cell>
        </row>
        <row r="619">
          <cell r="B619">
            <v>0</v>
          </cell>
        </row>
        <row r="620">
          <cell r="B620">
            <v>0</v>
          </cell>
        </row>
        <row r="621">
          <cell r="B621">
            <v>0</v>
          </cell>
        </row>
        <row r="622">
          <cell r="B622">
            <v>0</v>
          </cell>
        </row>
        <row r="623">
          <cell r="B623">
            <v>0</v>
          </cell>
        </row>
        <row r="624">
          <cell r="B624">
            <v>0</v>
          </cell>
        </row>
        <row r="625">
          <cell r="B625">
            <v>0</v>
          </cell>
        </row>
        <row r="626">
          <cell r="B626">
            <v>0</v>
          </cell>
        </row>
        <row r="627">
          <cell r="B627">
            <v>0</v>
          </cell>
        </row>
        <row r="628">
          <cell r="B628">
            <v>0</v>
          </cell>
        </row>
        <row r="629">
          <cell r="B629">
            <v>0</v>
          </cell>
        </row>
        <row r="630">
          <cell r="B630">
            <v>0</v>
          </cell>
        </row>
        <row r="631">
          <cell r="B631">
            <v>0</v>
          </cell>
        </row>
        <row r="632">
          <cell r="B632">
            <v>0</v>
          </cell>
        </row>
        <row r="633">
          <cell r="B633">
            <v>0</v>
          </cell>
        </row>
        <row r="634">
          <cell r="B634">
            <v>0</v>
          </cell>
        </row>
        <row r="635">
          <cell r="B635">
            <v>0</v>
          </cell>
        </row>
        <row r="636">
          <cell r="B636">
            <v>0</v>
          </cell>
        </row>
        <row r="637">
          <cell r="B637">
            <v>0</v>
          </cell>
        </row>
        <row r="638">
          <cell r="B638">
            <v>0</v>
          </cell>
        </row>
        <row r="639">
          <cell r="B639">
            <v>0</v>
          </cell>
        </row>
        <row r="640">
          <cell r="B640">
            <v>0</v>
          </cell>
        </row>
        <row r="641">
          <cell r="B641">
            <v>0</v>
          </cell>
        </row>
        <row r="642">
          <cell r="B642">
            <v>0</v>
          </cell>
        </row>
        <row r="643">
          <cell r="B643">
            <v>0</v>
          </cell>
        </row>
        <row r="644">
          <cell r="B644">
            <v>0</v>
          </cell>
        </row>
        <row r="645">
          <cell r="B645">
            <v>0</v>
          </cell>
        </row>
        <row r="646">
          <cell r="B646">
            <v>0</v>
          </cell>
        </row>
        <row r="647">
          <cell r="B647">
            <v>0</v>
          </cell>
        </row>
        <row r="648">
          <cell r="B648">
            <v>0</v>
          </cell>
        </row>
        <row r="649">
          <cell r="B649">
            <v>0</v>
          </cell>
        </row>
        <row r="650">
          <cell r="B650">
            <v>0</v>
          </cell>
        </row>
        <row r="651">
          <cell r="B651">
            <v>0</v>
          </cell>
        </row>
        <row r="652">
          <cell r="B652">
            <v>0</v>
          </cell>
        </row>
        <row r="653">
          <cell r="B653">
            <v>0</v>
          </cell>
        </row>
        <row r="654">
          <cell r="B654">
            <v>0</v>
          </cell>
        </row>
        <row r="655">
          <cell r="B655">
            <v>0</v>
          </cell>
        </row>
        <row r="656">
          <cell r="B656">
            <v>0</v>
          </cell>
        </row>
        <row r="657">
          <cell r="B657">
            <v>0</v>
          </cell>
        </row>
        <row r="658">
          <cell r="B658">
            <v>0</v>
          </cell>
        </row>
        <row r="659">
          <cell r="B659">
            <v>0</v>
          </cell>
        </row>
        <row r="660">
          <cell r="B660">
            <v>0</v>
          </cell>
        </row>
        <row r="661">
          <cell r="B661">
            <v>0</v>
          </cell>
        </row>
        <row r="662">
          <cell r="B662">
            <v>0</v>
          </cell>
        </row>
        <row r="663">
          <cell r="B663">
            <v>0</v>
          </cell>
        </row>
        <row r="664">
          <cell r="B664">
            <v>0</v>
          </cell>
        </row>
        <row r="665">
          <cell r="B665">
            <v>0</v>
          </cell>
        </row>
        <row r="666">
          <cell r="B666">
            <v>0</v>
          </cell>
        </row>
        <row r="667">
          <cell r="B667">
            <v>0</v>
          </cell>
        </row>
        <row r="668">
          <cell r="B668">
            <v>0</v>
          </cell>
        </row>
        <row r="669">
          <cell r="B669">
            <v>0</v>
          </cell>
        </row>
        <row r="670">
          <cell r="B670">
            <v>0</v>
          </cell>
        </row>
        <row r="671">
          <cell r="B671">
            <v>0</v>
          </cell>
        </row>
        <row r="672">
          <cell r="B672">
            <v>0</v>
          </cell>
        </row>
        <row r="673">
          <cell r="B673">
            <v>0</v>
          </cell>
        </row>
        <row r="674">
          <cell r="B674">
            <v>0</v>
          </cell>
        </row>
        <row r="675">
          <cell r="B675">
            <v>0</v>
          </cell>
        </row>
        <row r="676">
          <cell r="B676">
            <v>0</v>
          </cell>
        </row>
        <row r="677">
          <cell r="B677">
            <v>0</v>
          </cell>
        </row>
        <row r="678">
          <cell r="B678">
            <v>0</v>
          </cell>
        </row>
        <row r="679">
          <cell r="B679">
            <v>0</v>
          </cell>
        </row>
        <row r="680">
          <cell r="B680">
            <v>0</v>
          </cell>
        </row>
        <row r="681">
          <cell r="B681">
            <v>0</v>
          </cell>
        </row>
        <row r="682">
          <cell r="B682">
            <v>0</v>
          </cell>
        </row>
        <row r="683">
          <cell r="B683">
            <v>0</v>
          </cell>
        </row>
        <row r="684">
          <cell r="B684">
            <v>0</v>
          </cell>
        </row>
        <row r="685">
          <cell r="B685">
            <v>0</v>
          </cell>
        </row>
        <row r="686">
          <cell r="B686">
            <v>0</v>
          </cell>
        </row>
        <row r="687">
          <cell r="B687">
            <v>0</v>
          </cell>
        </row>
        <row r="688">
          <cell r="B688">
            <v>0</v>
          </cell>
        </row>
        <row r="689">
          <cell r="B689">
            <v>0</v>
          </cell>
        </row>
        <row r="690">
          <cell r="B690">
            <v>0</v>
          </cell>
        </row>
        <row r="691">
          <cell r="B691">
            <v>0</v>
          </cell>
        </row>
        <row r="692">
          <cell r="B692">
            <v>0</v>
          </cell>
        </row>
        <row r="693">
          <cell r="B693">
            <v>0</v>
          </cell>
        </row>
        <row r="694">
          <cell r="B694">
            <v>0</v>
          </cell>
        </row>
        <row r="695">
          <cell r="B695">
            <v>0</v>
          </cell>
        </row>
        <row r="696">
          <cell r="B696">
            <v>0</v>
          </cell>
        </row>
        <row r="697">
          <cell r="B697">
            <v>0</v>
          </cell>
        </row>
        <row r="698">
          <cell r="B698">
            <v>0</v>
          </cell>
        </row>
        <row r="699">
          <cell r="B699">
            <v>0</v>
          </cell>
        </row>
        <row r="700">
          <cell r="B700">
            <v>0</v>
          </cell>
        </row>
        <row r="701">
          <cell r="B701">
            <v>0</v>
          </cell>
        </row>
        <row r="702">
          <cell r="B702">
            <v>0</v>
          </cell>
        </row>
        <row r="703">
          <cell r="B703">
            <v>0</v>
          </cell>
        </row>
        <row r="704">
          <cell r="B704">
            <v>0</v>
          </cell>
        </row>
        <row r="705">
          <cell r="B705">
            <v>0</v>
          </cell>
        </row>
        <row r="706">
          <cell r="B706">
            <v>0</v>
          </cell>
        </row>
        <row r="707">
          <cell r="B707">
            <v>0</v>
          </cell>
        </row>
        <row r="708">
          <cell r="B708">
            <v>0</v>
          </cell>
        </row>
        <row r="709">
          <cell r="B709">
            <v>0</v>
          </cell>
        </row>
        <row r="710">
          <cell r="B710">
            <v>0</v>
          </cell>
        </row>
        <row r="711">
          <cell r="B711">
            <v>0</v>
          </cell>
        </row>
        <row r="712">
          <cell r="B712">
            <v>0</v>
          </cell>
        </row>
        <row r="713">
          <cell r="B713">
            <v>0</v>
          </cell>
        </row>
        <row r="714">
          <cell r="B714">
            <v>0</v>
          </cell>
        </row>
        <row r="715">
          <cell r="B715">
            <v>0</v>
          </cell>
        </row>
        <row r="716">
          <cell r="B716">
            <v>0</v>
          </cell>
        </row>
        <row r="717">
          <cell r="B717">
            <v>0</v>
          </cell>
        </row>
        <row r="718">
          <cell r="B718">
            <v>0</v>
          </cell>
        </row>
        <row r="719">
          <cell r="B719">
            <v>0</v>
          </cell>
        </row>
        <row r="720">
          <cell r="B720">
            <v>0</v>
          </cell>
        </row>
        <row r="721">
          <cell r="B721">
            <v>0</v>
          </cell>
        </row>
        <row r="722">
          <cell r="B722">
            <v>0</v>
          </cell>
        </row>
        <row r="723">
          <cell r="B723">
            <v>0</v>
          </cell>
        </row>
        <row r="724">
          <cell r="B724">
            <v>0</v>
          </cell>
        </row>
      </sheetData>
      <sheetData sheetId="14"/>
      <sheetData sheetId="15"/>
      <sheetData sheetId="1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ial Balance"/>
      <sheetName val="Bank Recon  "/>
      <sheetName val="Detail Report "/>
      <sheetName val="Interco Account Reconciliation"/>
      <sheetName val="Accounts Reconciliation "/>
      <sheetName val="Invoice "/>
      <sheetName val="Journal - Exp "/>
      <sheetName val="Journal - Funding "/>
      <sheetName val="Chart of Accounts"/>
      <sheetName val="Account Value"/>
      <sheetName val="Trial_Balance4"/>
      <sheetName val="Bank_Recon__4"/>
      <sheetName val="Detail_Report_4"/>
      <sheetName val="Interco_Account_Reconciliation4"/>
      <sheetName val="Accounts_Reconciliation_4"/>
      <sheetName val="Invoice_4"/>
      <sheetName val="Journal_-_Exp_4"/>
      <sheetName val="Journal_-_Funding_4"/>
      <sheetName val="Chart_of_Accounts4"/>
      <sheetName val="Account_Value4"/>
      <sheetName val="Trial_Balance"/>
      <sheetName val="Bank_Recon__"/>
      <sheetName val="Detail_Report_"/>
      <sheetName val="Interco_Account_Reconciliation"/>
      <sheetName val="Accounts_Reconciliation_"/>
      <sheetName val="Invoice_"/>
      <sheetName val="Journal_-_Exp_"/>
      <sheetName val="Journal_-_Funding_"/>
      <sheetName val="Chart_of_Accounts"/>
      <sheetName val="Account_Value"/>
      <sheetName val="Trial_Balance1"/>
      <sheetName val="Bank_Recon__1"/>
      <sheetName val="Detail_Report_1"/>
      <sheetName val="Interco_Account_Reconciliation1"/>
      <sheetName val="Accounts_Reconciliation_1"/>
      <sheetName val="Invoice_1"/>
      <sheetName val="Journal_-_Exp_1"/>
      <sheetName val="Journal_-_Funding_1"/>
      <sheetName val="Chart_of_Accounts1"/>
      <sheetName val="Account_Value1"/>
      <sheetName val="Trial_Balance2"/>
      <sheetName val="Bank_Recon__2"/>
      <sheetName val="Detail_Report_2"/>
      <sheetName val="Interco_Account_Reconciliation2"/>
      <sheetName val="Accounts_Reconciliation_2"/>
      <sheetName val="Invoice_2"/>
      <sheetName val="Journal_-_Exp_2"/>
      <sheetName val="Journal_-_Funding_2"/>
      <sheetName val="Chart_of_Accounts2"/>
      <sheetName val="Account_Value2"/>
      <sheetName val="Trial_Balance3"/>
      <sheetName val="Bank_Recon__3"/>
      <sheetName val="Detail_Report_3"/>
      <sheetName val="Interco_Account_Reconciliation3"/>
      <sheetName val="Accounts_Reconciliation_3"/>
      <sheetName val="Invoice_3"/>
      <sheetName val="Journal_-_Exp_3"/>
      <sheetName val="Journal_-_Funding_3"/>
      <sheetName val="Chart_of_Accounts3"/>
      <sheetName val="Account_Value3"/>
    </sheetNames>
    <sheetDataSet>
      <sheetData sheetId="0"/>
      <sheetData sheetId="1"/>
      <sheetData sheetId="2"/>
      <sheetData sheetId="3"/>
      <sheetData sheetId="4"/>
      <sheetData sheetId="5"/>
      <sheetData sheetId="6"/>
      <sheetData sheetId="7"/>
      <sheetData sheetId="8"/>
      <sheetData sheetId="9">
        <row r="4">
          <cell r="B4">
            <v>1105</v>
          </cell>
          <cell r="C4" t="str">
            <v>Petty Cash</v>
          </cell>
        </row>
        <row r="5">
          <cell r="B5">
            <v>1113</v>
          </cell>
          <cell r="C5" t="str">
            <v>SVB Money Market Account</v>
          </cell>
        </row>
        <row r="6">
          <cell r="B6">
            <v>1117</v>
          </cell>
          <cell r="C6" t="str">
            <v>SVB Cash Reserve Account</v>
          </cell>
        </row>
        <row r="7">
          <cell r="B7">
            <v>1118</v>
          </cell>
          <cell r="C7" t="str">
            <v>WFB Concentration Account</v>
          </cell>
        </row>
        <row r="8">
          <cell r="B8">
            <v>1119</v>
          </cell>
          <cell r="C8" t="str">
            <v>WFB A/P Clearing Account</v>
          </cell>
        </row>
        <row r="9">
          <cell r="B9">
            <v>1125</v>
          </cell>
          <cell r="C9" t="str">
            <v>Investments - Wells Capital</v>
          </cell>
        </row>
        <row r="10">
          <cell r="B10">
            <v>1127</v>
          </cell>
          <cell r="C10" t="str">
            <v>Investments - Piper Jaffray</v>
          </cell>
        </row>
        <row r="11">
          <cell r="B11">
            <v>1140</v>
          </cell>
          <cell r="C11" t="str">
            <v>Cash - Australia</v>
          </cell>
        </row>
        <row r="12">
          <cell r="B12">
            <v>1142</v>
          </cell>
          <cell r="C12" t="str">
            <v>Cash - Belgium</v>
          </cell>
        </row>
        <row r="13">
          <cell r="B13">
            <v>1144</v>
          </cell>
          <cell r="C13" t="str">
            <v>Cash - Canada</v>
          </cell>
        </row>
        <row r="14">
          <cell r="B14">
            <v>1148</v>
          </cell>
          <cell r="C14" t="str">
            <v>Cash - China</v>
          </cell>
        </row>
        <row r="15">
          <cell r="B15">
            <v>1149</v>
          </cell>
          <cell r="C15" t="str">
            <v>Cash - Latvia</v>
          </cell>
        </row>
        <row r="16">
          <cell r="B16">
            <v>1152</v>
          </cell>
          <cell r="C16" t="str">
            <v>Cash - Dubai</v>
          </cell>
        </row>
        <row r="17">
          <cell r="B17">
            <v>1156</v>
          </cell>
          <cell r="C17" t="str">
            <v>Cash - France</v>
          </cell>
        </row>
        <row r="18">
          <cell r="B18">
            <v>1160</v>
          </cell>
          <cell r="C18" t="str">
            <v>Cash - Germany</v>
          </cell>
        </row>
        <row r="19">
          <cell r="B19">
            <v>1162</v>
          </cell>
          <cell r="C19" t="str">
            <v>Cash - Hong Kong</v>
          </cell>
        </row>
        <row r="20">
          <cell r="B20">
            <v>1163</v>
          </cell>
          <cell r="C20" t="str">
            <v>Cash - Italy</v>
          </cell>
        </row>
        <row r="21">
          <cell r="B21">
            <v>1164</v>
          </cell>
          <cell r="C21" t="str">
            <v>Cash - Japan</v>
          </cell>
        </row>
        <row r="22">
          <cell r="B22">
            <v>1167</v>
          </cell>
          <cell r="C22" t="str">
            <v>Cash - Malaysia</v>
          </cell>
        </row>
        <row r="23">
          <cell r="B23">
            <v>1168</v>
          </cell>
          <cell r="C23" t="str">
            <v>Cash - Korea</v>
          </cell>
        </row>
        <row r="24">
          <cell r="B24">
            <v>1170</v>
          </cell>
          <cell r="C24" t="str">
            <v>Cash - Netherlands</v>
          </cell>
        </row>
        <row r="25">
          <cell r="B25">
            <v>1172</v>
          </cell>
          <cell r="C25" t="str">
            <v>Cash - Singapore</v>
          </cell>
        </row>
        <row r="26">
          <cell r="B26">
            <v>1174</v>
          </cell>
          <cell r="C26" t="str">
            <v>Cash - South Africa</v>
          </cell>
        </row>
        <row r="27">
          <cell r="B27">
            <v>1176</v>
          </cell>
          <cell r="C27" t="str">
            <v>Cash - Sweden</v>
          </cell>
        </row>
        <row r="28">
          <cell r="B28">
            <v>1180</v>
          </cell>
          <cell r="C28" t="str">
            <v>Cash - Taiwan</v>
          </cell>
        </row>
        <row r="29">
          <cell r="B29">
            <v>1184</v>
          </cell>
          <cell r="C29" t="str">
            <v>Cash - UK</v>
          </cell>
        </row>
        <row r="30">
          <cell r="B30">
            <v>1185</v>
          </cell>
          <cell r="C30" t="str">
            <v>Cash - HSBC Direct Debit Accou</v>
          </cell>
        </row>
        <row r="31">
          <cell r="B31">
            <v>1187</v>
          </cell>
          <cell r="C31" t="str">
            <v>Zions Bank Account</v>
          </cell>
        </row>
        <row r="32">
          <cell r="B32">
            <v>1191</v>
          </cell>
          <cell r="C32" t="str">
            <v>Investments ST - Wells Capital</v>
          </cell>
        </row>
        <row r="33">
          <cell r="B33">
            <v>1192</v>
          </cell>
          <cell r="C33" t="str">
            <v>Investments ST - Piper Jaffray</v>
          </cell>
        </row>
        <row r="34">
          <cell r="B34">
            <v>1193</v>
          </cell>
          <cell r="C34" t="str">
            <v>Investments ST - Other</v>
          </cell>
        </row>
        <row r="35">
          <cell r="B35">
            <v>1195</v>
          </cell>
          <cell r="C35" t="str">
            <v>Restricted Investments - ST (S</v>
          </cell>
        </row>
        <row r="36">
          <cell r="B36">
            <v>1205</v>
          </cell>
          <cell r="C36" t="str">
            <v>Trade Accounts Receivable</v>
          </cell>
        </row>
        <row r="37">
          <cell r="B37">
            <v>1206</v>
          </cell>
          <cell r="C37" t="str">
            <v>Trade A/R - Unapplied Receipts</v>
          </cell>
        </row>
        <row r="38">
          <cell r="B38">
            <v>1207</v>
          </cell>
          <cell r="C38" t="str">
            <v>Trade A/R - Unidentified Recei</v>
          </cell>
        </row>
        <row r="39">
          <cell r="B39">
            <v>1208</v>
          </cell>
          <cell r="C39" t="str">
            <v>Trade A/R - On Account Receipt</v>
          </cell>
        </row>
        <row r="40">
          <cell r="B40">
            <v>1209</v>
          </cell>
          <cell r="C40" t="str">
            <v>Accrued Trade Accts Receivable</v>
          </cell>
        </row>
        <row r="41">
          <cell r="B41">
            <v>1210</v>
          </cell>
          <cell r="C41" t="str">
            <v>Non-system Trade Accts Receiva</v>
          </cell>
        </row>
        <row r="42">
          <cell r="B42">
            <v>1217</v>
          </cell>
          <cell r="C42" t="str">
            <v>Bad Debt Reserve</v>
          </cell>
        </row>
        <row r="43">
          <cell r="B43">
            <v>1221</v>
          </cell>
          <cell r="C43" t="str">
            <v>Deferred Revenue Reserve</v>
          </cell>
        </row>
        <row r="44">
          <cell r="B44">
            <v>1225</v>
          </cell>
          <cell r="C44" t="str">
            <v>Intercompany Accts Receivable</v>
          </cell>
        </row>
        <row r="45">
          <cell r="B45">
            <v>1229</v>
          </cell>
          <cell r="C45" t="str">
            <v>Intercompany Loans Receivable</v>
          </cell>
        </row>
        <row r="46">
          <cell r="B46">
            <v>1231</v>
          </cell>
          <cell r="C46" t="str">
            <v>VAT Receivable on Sales/Purcha</v>
          </cell>
        </row>
        <row r="47">
          <cell r="B47">
            <v>1232</v>
          </cell>
          <cell r="C47" t="str">
            <v>Element5 Receivables</v>
          </cell>
        </row>
        <row r="48">
          <cell r="B48">
            <v>1305</v>
          </cell>
          <cell r="C48" t="str">
            <v>RM-Inventory Raw Materials</v>
          </cell>
        </row>
        <row r="49">
          <cell r="B49">
            <v>1313</v>
          </cell>
          <cell r="C49" t="str">
            <v>RM-Inventory Resrve-Obsolete</v>
          </cell>
        </row>
        <row r="50">
          <cell r="B50">
            <v>1317</v>
          </cell>
          <cell r="C50" t="str">
            <v>WIP-Inventory WIP</v>
          </cell>
        </row>
        <row r="51">
          <cell r="B51">
            <v>1333</v>
          </cell>
          <cell r="C51" t="str">
            <v>FG-Inventory Finished Goods</v>
          </cell>
        </row>
        <row r="52">
          <cell r="B52">
            <v>1341</v>
          </cell>
          <cell r="C52" t="str">
            <v>FG-Inventory Sales Evals/Demos</v>
          </cell>
        </row>
        <row r="53">
          <cell r="B53">
            <v>1345</v>
          </cell>
          <cell r="C53" t="str">
            <v>FG-Inventory Rental Units</v>
          </cell>
        </row>
        <row r="54">
          <cell r="B54">
            <v>1349</v>
          </cell>
          <cell r="C54" t="str">
            <v>FG-Inventory Offsite</v>
          </cell>
        </row>
        <row r="55">
          <cell r="B55">
            <v>1353</v>
          </cell>
          <cell r="C55" t="str">
            <v>FG-Inventory Customer Svcs Shi</v>
          </cell>
        </row>
        <row r="56">
          <cell r="B56">
            <v>1355</v>
          </cell>
          <cell r="C56" t="str">
            <v>FG-Inv Customer Svcs in Field</v>
          </cell>
        </row>
        <row r="57">
          <cell r="B57">
            <v>1357</v>
          </cell>
          <cell r="C57" t="str">
            <v>FG-Inv Customer Svcs Reserve</v>
          </cell>
        </row>
        <row r="58">
          <cell r="B58">
            <v>1361</v>
          </cell>
          <cell r="C58" t="str">
            <v>FG-Deferred COGS Reserve</v>
          </cell>
        </row>
        <row r="59">
          <cell r="B59">
            <v>1365</v>
          </cell>
          <cell r="C59" t="str">
            <v>FG-Deferred Installation COGS</v>
          </cell>
        </row>
        <row r="60">
          <cell r="B60">
            <v>1367</v>
          </cell>
          <cell r="C60" t="str">
            <v>FG-Deferred Distributor COGS</v>
          </cell>
        </row>
        <row r="61">
          <cell r="B61">
            <v>1405</v>
          </cell>
          <cell r="C61" t="str">
            <v>Prepaid Insurance</v>
          </cell>
        </row>
        <row r="62">
          <cell r="B62">
            <v>1406</v>
          </cell>
          <cell r="C62" t="str">
            <v>Prepaid Employee Benefits</v>
          </cell>
        </row>
        <row r="63">
          <cell r="B63">
            <v>1409</v>
          </cell>
          <cell r="C63" t="str">
            <v>Prepaid Rent/Lease</v>
          </cell>
        </row>
        <row r="64">
          <cell r="B64">
            <v>1415</v>
          </cell>
          <cell r="C64" t="str">
            <v>Prepaid Reimbursable Expense</v>
          </cell>
        </row>
        <row r="65">
          <cell r="B65">
            <v>1417</v>
          </cell>
          <cell r="C65" t="str">
            <v>Prepaid Expenses</v>
          </cell>
        </row>
        <row r="66">
          <cell r="B66">
            <v>1419</v>
          </cell>
          <cell r="C66" t="str">
            <v>Prepaid Annex Expense</v>
          </cell>
        </row>
        <row r="67">
          <cell r="B67">
            <v>1421</v>
          </cell>
          <cell r="C67" t="str">
            <v>Prepaid Royalties</v>
          </cell>
        </row>
        <row r="68">
          <cell r="B68">
            <v>1423</v>
          </cell>
          <cell r="C68" t="str">
            <v>Prepaid Service Royalties</v>
          </cell>
        </row>
        <row r="69">
          <cell r="B69">
            <v>1429</v>
          </cell>
          <cell r="C69" t="str">
            <v>Prepaid Income Taxes</v>
          </cell>
        </row>
        <row r="70">
          <cell r="B70">
            <v>1433</v>
          </cell>
          <cell r="C70" t="str">
            <v>Accounts Payable Advances</v>
          </cell>
        </row>
        <row r="71">
          <cell r="B71">
            <v>1505</v>
          </cell>
          <cell r="C71" t="str">
            <v>Employee Loans Receivable-ST</v>
          </cell>
        </row>
        <row r="72">
          <cell r="B72">
            <v>1509</v>
          </cell>
          <cell r="C72" t="str">
            <v>Refundable Deposits - ST</v>
          </cell>
        </row>
        <row r="73">
          <cell r="B73">
            <v>1511</v>
          </cell>
          <cell r="C73" t="str">
            <v>Other Non-Trade Receivable - S</v>
          </cell>
        </row>
        <row r="74">
          <cell r="B74">
            <v>1513</v>
          </cell>
          <cell r="C74" t="str">
            <v>Employees Advances</v>
          </cell>
        </row>
        <row r="75">
          <cell r="B75">
            <v>1515</v>
          </cell>
          <cell r="C75" t="str">
            <v>Options Receivable</v>
          </cell>
        </row>
        <row r="76">
          <cell r="B76">
            <v>1520</v>
          </cell>
          <cell r="C76" t="str">
            <v>Interco Clearing Account</v>
          </cell>
        </row>
        <row r="77">
          <cell r="B77">
            <v>1578</v>
          </cell>
          <cell r="C77" t="str">
            <v>Restricted Investments - LT (B</v>
          </cell>
        </row>
        <row r="78">
          <cell r="B78">
            <v>1605</v>
          </cell>
          <cell r="C78" t="str">
            <v>Construction In Progress</v>
          </cell>
        </row>
        <row r="79">
          <cell r="B79">
            <v>1609</v>
          </cell>
          <cell r="C79" t="str">
            <v>Machinery &amp; Office Equipment</v>
          </cell>
        </row>
        <row r="80">
          <cell r="B80">
            <v>1613</v>
          </cell>
          <cell r="C80" t="str">
            <v>Computer Hardware</v>
          </cell>
        </row>
        <row r="81">
          <cell r="B81">
            <v>1615</v>
          </cell>
          <cell r="C81" t="str">
            <v>Book to Net Comp.H/W Cerberian</v>
          </cell>
        </row>
        <row r="82">
          <cell r="B82">
            <v>1617</v>
          </cell>
          <cell r="C82" t="str">
            <v>Computer Software</v>
          </cell>
        </row>
        <row r="83">
          <cell r="B83">
            <v>1619</v>
          </cell>
          <cell r="C83" t="str">
            <v>Book to Net Comp.S/W Cerberian</v>
          </cell>
        </row>
        <row r="84">
          <cell r="B84">
            <v>1651</v>
          </cell>
          <cell r="C84" t="str">
            <v>Furniture &amp; Fixtures</v>
          </cell>
        </row>
        <row r="85">
          <cell r="B85">
            <v>1653</v>
          </cell>
          <cell r="C85" t="str">
            <v>Book to Net Furn &amp; Fixtures Ce</v>
          </cell>
        </row>
        <row r="86">
          <cell r="B86">
            <v>1655</v>
          </cell>
          <cell r="C86" t="str">
            <v>Leasehold Improvements</v>
          </cell>
        </row>
        <row r="87">
          <cell r="B87">
            <v>1656</v>
          </cell>
          <cell r="C87" t="str">
            <v>Book to Net Leasehold Improve</v>
          </cell>
        </row>
        <row r="88">
          <cell r="B88">
            <v>1659</v>
          </cell>
          <cell r="C88" t="str">
            <v>Acc. Dep-Machnry &amp; Offce Equip</v>
          </cell>
        </row>
        <row r="89">
          <cell r="B89">
            <v>1673</v>
          </cell>
          <cell r="C89" t="str">
            <v>Acc. Dep-Computer Hardware</v>
          </cell>
        </row>
        <row r="90">
          <cell r="B90">
            <v>1674</v>
          </cell>
          <cell r="C90" t="str">
            <v>Book to Net Acc.Dep.Comp.H/W C</v>
          </cell>
        </row>
        <row r="91">
          <cell r="B91">
            <v>1677</v>
          </cell>
          <cell r="C91" t="str">
            <v>Acc. Dep-Computer Software</v>
          </cell>
        </row>
        <row r="92">
          <cell r="B92">
            <v>1678</v>
          </cell>
          <cell r="C92" t="str">
            <v>Book to Net Acc.Dep. Comp.S/W</v>
          </cell>
        </row>
        <row r="93">
          <cell r="B93">
            <v>1681</v>
          </cell>
          <cell r="C93" t="str">
            <v>Acc. Dep-Furniture &amp; Fixtures</v>
          </cell>
        </row>
        <row r="94">
          <cell r="B94">
            <v>1682</v>
          </cell>
          <cell r="C94" t="str">
            <v>Book to Net Acc.Dep.Furn&amp;Fixtu</v>
          </cell>
        </row>
        <row r="95">
          <cell r="B95">
            <v>1685</v>
          </cell>
          <cell r="C95" t="str">
            <v>Acc. Dep-Leasehold Improvement</v>
          </cell>
        </row>
        <row r="96">
          <cell r="B96">
            <v>1686</v>
          </cell>
          <cell r="C96" t="str">
            <v>Book to Net Acc.Dep.L/hold Imp</v>
          </cell>
        </row>
        <row r="97">
          <cell r="B97">
            <v>1710</v>
          </cell>
          <cell r="C97" t="str">
            <v>Capital Assets Clearing</v>
          </cell>
        </row>
        <row r="98">
          <cell r="B98">
            <v>1805</v>
          </cell>
          <cell r="C98" t="str">
            <v>Goodwill - Entera</v>
          </cell>
        </row>
        <row r="99">
          <cell r="B99">
            <v>1809</v>
          </cell>
          <cell r="C99" t="str">
            <v>Acc. Amort - Entera Goodwill</v>
          </cell>
        </row>
        <row r="100">
          <cell r="B100">
            <v>1821</v>
          </cell>
          <cell r="C100" t="str">
            <v>Other Intangible Assets - Spri</v>
          </cell>
        </row>
        <row r="101">
          <cell r="B101">
            <v>1825</v>
          </cell>
          <cell r="C101" t="str">
            <v>Acc. Amort - Springbank Other</v>
          </cell>
        </row>
        <row r="102">
          <cell r="B102">
            <v>1827</v>
          </cell>
          <cell r="C102" t="str">
            <v>Goodwill - Ositis</v>
          </cell>
        </row>
        <row r="103">
          <cell r="B103">
            <v>1829</v>
          </cell>
          <cell r="C103" t="str">
            <v>Other Intangible Assets - Osit</v>
          </cell>
        </row>
        <row r="104">
          <cell r="B104">
            <v>1830</v>
          </cell>
          <cell r="C104" t="str">
            <v>Acc. Amort - Ositis Other Inta</v>
          </cell>
        </row>
        <row r="105">
          <cell r="B105">
            <v>1831</v>
          </cell>
          <cell r="C105" t="str">
            <v>Other Intangible Assets - Cerb</v>
          </cell>
        </row>
        <row r="106">
          <cell r="B106">
            <v>1832</v>
          </cell>
          <cell r="C106" t="str">
            <v>Acc.Amort - Other Intangible A</v>
          </cell>
        </row>
        <row r="107">
          <cell r="B107">
            <v>1834</v>
          </cell>
          <cell r="C107" t="str">
            <v>Goodwill - Cerberian</v>
          </cell>
        </row>
        <row r="108">
          <cell r="B108">
            <v>1840</v>
          </cell>
          <cell r="C108" t="str">
            <v>Capitalized Software</v>
          </cell>
        </row>
        <row r="109">
          <cell r="B109">
            <v>1841</v>
          </cell>
          <cell r="C109" t="str">
            <v>Acc. Amort - Capitalized Softw</v>
          </cell>
        </row>
        <row r="110">
          <cell r="B110">
            <v>1905</v>
          </cell>
          <cell r="C110" t="str">
            <v>Intercompany Investments</v>
          </cell>
        </row>
        <row r="111">
          <cell r="B111">
            <v>1907</v>
          </cell>
          <cell r="C111" t="str">
            <v>Prepaid Expenses - Long-Term</v>
          </cell>
        </row>
        <row r="112">
          <cell r="B112">
            <v>1917</v>
          </cell>
          <cell r="C112" t="str">
            <v>Refundable Deposits-LT</v>
          </cell>
        </row>
        <row r="113">
          <cell r="B113">
            <v>2105</v>
          </cell>
          <cell r="C113" t="str">
            <v>Vouchered Accounts Payable</v>
          </cell>
        </row>
        <row r="114">
          <cell r="B114">
            <v>2107</v>
          </cell>
          <cell r="C114" t="str">
            <v>Accrued Accounts Payable Invoi</v>
          </cell>
        </row>
        <row r="115">
          <cell r="B115">
            <v>2109</v>
          </cell>
          <cell r="C115" t="str">
            <v>Unvouchered AP-Inventory</v>
          </cell>
        </row>
        <row r="116">
          <cell r="B116">
            <v>2113</v>
          </cell>
          <cell r="C116" t="str">
            <v>Unvouchered AP-Expense Items</v>
          </cell>
        </row>
        <row r="117">
          <cell r="B117">
            <v>2121</v>
          </cell>
          <cell r="C117" t="str">
            <v>Sales Taxes Clearing Account</v>
          </cell>
        </row>
        <row r="118">
          <cell r="B118">
            <v>2122</v>
          </cell>
          <cell r="C118" t="str">
            <v>Use Taxes Payable</v>
          </cell>
        </row>
        <row r="119">
          <cell r="B119">
            <v>2125</v>
          </cell>
          <cell r="C119" t="str">
            <v>VAT Payable on Sales/Purchases</v>
          </cell>
        </row>
        <row r="120">
          <cell r="B120">
            <v>2129</v>
          </cell>
          <cell r="C120" t="str">
            <v>Intercompany Accounts Payable</v>
          </cell>
        </row>
        <row r="121">
          <cell r="B121">
            <v>2137</v>
          </cell>
          <cell r="C121" t="str">
            <v>Intercompany Loans Payable</v>
          </cell>
        </row>
        <row r="122">
          <cell r="B122">
            <v>2146</v>
          </cell>
          <cell r="C122" t="str">
            <v>Sales Tax Payable - Alabama</v>
          </cell>
        </row>
        <row r="123">
          <cell r="B123">
            <v>2148</v>
          </cell>
          <cell r="C123" t="str">
            <v>Sales Tax Payable - Arizona</v>
          </cell>
        </row>
        <row r="124">
          <cell r="B124">
            <v>2150</v>
          </cell>
          <cell r="C124" t="str">
            <v>Sales Tax Payable - California</v>
          </cell>
        </row>
        <row r="125">
          <cell r="B125">
            <v>2151</v>
          </cell>
          <cell r="C125" t="str">
            <v>Sales Tax Payable - Colorado</v>
          </cell>
        </row>
        <row r="126">
          <cell r="B126">
            <v>2154</v>
          </cell>
          <cell r="C126" t="str">
            <v>Sales Tax Payable - Florida</v>
          </cell>
        </row>
        <row r="127">
          <cell r="B127">
            <v>2155</v>
          </cell>
          <cell r="C127" t="str">
            <v>Sales Tax Payable - Georgia</v>
          </cell>
        </row>
        <row r="128">
          <cell r="B128">
            <v>2158</v>
          </cell>
          <cell r="C128" t="str">
            <v>Sales Tax Payable - Illinois</v>
          </cell>
        </row>
        <row r="129">
          <cell r="B129">
            <v>2162</v>
          </cell>
          <cell r="C129" t="str">
            <v>Sales Tax Payable - Louisiana</v>
          </cell>
        </row>
        <row r="130">
          <cell r="B130">
            <v>2165</v>
          </cell>
          <cell r="C130" t="str">
            <v>Sales Tax Payable - Maryland</v>
          </cell>
        </row>
        <row r="131">
          <cell r="B131">
            <v>2166</v>
          </cell>
          <cell r="C131" t="str">
            <v>Sales Tax Payable - Massachuse</v>
          </cell>
        </row>
        <row r="132">
          <cell r="B132">
            <v>2169</v>
          </cell>
          <cell r="C132" t="str">
            <v>Sales Tax Payable - Michigan</v>
          </cell>
        </row>
        <row r="133">
          <cell r="B133">
            <v>2171</v>
          </cell>
          <cell r="C133" t="str">
            <v>Sales Tax Payable - Mississipp</v>
          </cell>
        </row>
        <row r="134">
          <cell r="B134">
            <v>2172</v>
          </cell>
          <cell r="C134" t="str">
            <v>Sales Tax Payable - Missouri</v>
          </cell>
        </row>
        <row r="135">
          <cell r="B135">
            <v>2175</v>
          </cell>
          <cell r="C135" t="str">
            <v>Sales Tax Payable - New Jersey</v>
          </cell>
        </row>
        <row r="136">
          <cell r="B136">
            <v>2177</v>
          </cell>
          <cell r="C136" t="str">
            <v>Sales Tax Payable - New York</v>
          </cell>
        </row>
        <row r="137">
          <cell r="B137">
            <v>2179</v>
          </cell>
          <cell r="C137" t="str">
            <v>Sales Tax Payable - North Caro</v>
          </cell>
        </row>
        <row r="138">
          <cell r="B138">
            <v>2180</v>
          </cell>
          <cell r="C138" t="str">
            <v>Sales Tax Payable - Ohio</v>
          </cell>
        </row>
        <row r="139">
          <cell r="B139">
            <v>2183</v>
          </cell>
          <cell r="C139" t="str">
            <v>Sales Tax Payable - Pennysylva</v>
          </cell>
        </row>
        <row r="140">
          <cell r="B140">
            <v>2187</v>
          </cell>
          <cell r="C140" t="str">
            <v>Sales Tax Payable - Tennessee</v>
          </cell>
        </row>
        <row r="141">
          <cell r="B141">
            <v>2188</v>
          </cell>
          <cell r="C141" t="str">
            <v>Sales Tax Payable - Texas</v>
          </cell>
        </row>
        <row r="142">
          <cell r="B142">
            <v>2189</v>
          </cell>
          <cell r="C142" t="str">
            <v>Sales Tax Payable - Utah</v>
          </cell>
        </row>
        <row r="143">
          <cell r="B143">
            <v>2191</v>
          </cell>
          <cell r="C143" t="str">
            <v>Sales Tax Payable - Virginia</v>
          </cell>
        </row>
        <row r="144">
          <cell r="B144">
            <v>2192</v>
          </cell>
          <cell r="C144" t="str">
            <v>Sales Tax Payable - Washington</v>
          </cell>
        </row>
        <row r="145">
          <cell r="B145">
            <v>2205</v>
          </cell>
          <cell r="C145" t="str">
            <v>Accrued Salary &amp; Wages</v>
          </cell>
        </row>
        <row r="146">
          <cell r="B146">
            <v>2207</v>
          </cell>
          <cell r="C146" t="str">
            <v>Accrued Payroll Taxes</v>
          </cell>
        </row>
        <row r="147">
          <cell r="B147">
            <v>2209</v>
          </cell>
          <cell r="C147" t="str">
            <v>Accrued Commissions</v>
          </cell>
        </row>
        <row r="148">
          <cell r="B148">
            <v>2213</v>
          </cell>
          <cell r="C148" t="str">
            <v>Accrued Vacation</v>
          </cell>
        </row>
        <row r="149">
          <cell r="B149">
            <v>2215</v>
          </cell>
          <cell r="C149" t="str">
            <v>Acrrued Int'l Payroll Withhold</v>
          </cell>
        </row>
        <row r="150">
          <cell r="B150">
            <v>2217</v>
          </cell>
          <cell r="C150" t="str">
            <v>Accrued Bonus Liability</v>
          </cell>
        </row>
        <row r="151">
          <cell r="B151">
            <v>2218</v>
          </cell>
          <cell r="C151" t="str">
            <v>Accrued Profit Sharing</v>
          </cell>
        </row>
        <row r="152">
          <cell r="B152">
            <v>2221</v>
          </cell>
          <cell r="C152" t="str">
            <v>Accrued ESPP Liability</v>
          </cell>
        </row>
        <row r="153">
          <cell r="B153">
            <v>2225</v>
          </cell>
          <cell r="C153" t="str">
            <v>Accrued 401(k) Liability</v>
          </cell>
        </row>
        <row r="154">
          <cell r="B154">
            <v>2229</v>
          </cell>
          <cell r="C154" t="str">
            <v>Accrued Flexible Benefits Liab</v>
          </cell>
        </row>
        <row r="155">
          <cell r="B155">
            <v>2309</v>
          </cell>
          <cell r="C155" t="str">
            <v>Accrued Expenses</v>
          </cell>
        </row>
        <row r="156">
          <cell r="B156">
            <v>2311</v>
          </cell>
          <cell r="C156" t="str">
            <v>Accrued Coop Marketing Expense</v>
          </cell>
        </row>
        <row r="157">
          <cell r="B157">
            <v>2313</v>
          </cell>
          <cell r="C157" t="str">
            <v>Other Accrued Liability</v>
          </cell>
        </row>
        <row r="158">
          <cell r="B158">
            <v>2317</v>
          </cell>
          <cell r="C158" t="str">
            <v>Accrued Accounting/Legal</v>
          </cell>
        </row>
        <row r="159">
          <cell r="B159">
            <v>2318</v>
          </cell>
          <cell r="C159" t="str">
            <v>Accrued Restructuring &amp; Impair</v>
          </cell>
        </row>
        <row r="160">
          <cell r="B160">
            <v>2319</v>
          </cell>
          <cell r="C160" t="str">
            <v>Deferred Rent - Short-term</v>
          </cell>
        </row>
        <row r="161">
          <cell r="B161">
            <v>2329</v>
          </cell>
          <cell r="C161" t="str">
            <v>Accrued Warranty Reserve</v>
          </cell>
        </row>
        <row r="162">
          <cell r="B162">
            <v>2331</v>
          </cell>
          <cell r="C162" t="str">
            <v>Accrued Royalty Expense</v>
          </cell>
        </row>
        <row r="163">
          <cell r="B163">
            <v>2351</v>
          </cell>
          <cell r="C163" t="str">
            <v>Income Taxes Payable</v>
          </cell>
        </row>
        <row r="164">
          <cell r="B164">
            <v>2404</v>
          </cell>
          <cell r="C164" t="str">
            <v>Deferred Revenue - Royalties</v>
          </cell>
        </row>
        <row r="165">
          <cell r="B165">
            <v>2405</v>
          </cell>
          <cell r="C165" t="str">
            <v>Deferred Revenue Maintenance</v>
          </cell>
        </row>
        <row r="166">
          <cell r="B166">
            <v>2407</v>
          </cell>
          <cell r="C166" t="str">
            <v>Deferred Distributor Revenue</v>
          </cell>
        </row>
        <row r="167">
          <cell r="B167">
            <v>2408</v>
          </cell>
          <cell r="C167" t="str">
            <v>Deferred Cost of Revenue</v>
          </cell>
        </row>
        <row r="168">
          <cell r="B168">
            <v>2409</v>
          </cell>
          <cell r="C168" t="str">
            <v>Deferred Revenue Product</v>
          </cell>
        </row>
        <row r="169">
          <cell r="B169">
            <v>2411</v>
          </cell>
          <cell r="C169" t="str">
            <v>Deferred Revenue - Subscriptio</v>
          </cell>
        </row>
        <row r="170">
          <cell r="B170">
            <v>2413</v>
          </cell>
          <cell r="C170" t="str">
            <v>Deferred Revenue Prof. Svcs.</v>
          </cell>
        </row>
        <row r="171">
          <cell r="B171">
            <v>2716</v>
          </cell>
          <cell r="C171" t="str">
            <v>Other LT Liabilities Subscript</v>
          </cell>
        </row>
        <row r="172">
          <cell r="B172">
            <v>2717</v>
          </cell>
          <cell r="C172" t="str">
            <v>Other Long-Term Liabilities</v>
          </cell>
        </row>
        <row r="173">
          <cell r="B173">
            <v>2718</v>
          </cell>
          <cell r="C173" t="str">
            <v>LT Restructuring Reserve</v>
          </cell>
        </row>
        <row r="174">
          <cell r="B174">
            <v>2719</v>
          </cell>
          <cell r="C174" t="str">
            <v>LT Deferred Rent</v>
          </cell>
        </row>
        <row r="175">
          <cell r="B175">
            <v>3105</v>
          </cell>
          <cell r="C175" t="str">
            <v>Common Stock</v>
          </cell>
        </row>
        <row r="176">
          <cell r="B176">
            <v>3109</v>
          </cell>
          <cell r="C176" t="str">
            <v>Additional Paid-In Capital</v>
          </cell>
        </row>
        <row r="177">
          <cell r="B177">
            <v>3129</v>
          </cell>
          <cell r="C177" t="str">
            <v>Deferred Stock Compensation</v>
          </cell>
        </row>
        <row r="178">
          <cell r="B178">
            <v>3133</v>
          </cell>
          <cell r="C178" t="str">
            <v>Common Stock - Intercompany</v>
          </cell>
        </row>
        <row r="179">
          <cell r="B179">
            <v>3137</v>
          </cell>
          <cell r="C179" t="str">
            <v>Retained Earnings Beg Balance</v>
          </cell>
        </row>
        <row r="180">
          <cell r="B180">
            <v>3141</v>
          </cell>
          <cell r="C180" t="str">
            <v>Retained Earnings Current Yr</v>
          </cell>
        </row>
        <row r="181">
          <cell r="B181">
            <v>3149</v>
          </cell>
          <cell r="C181" t="str">
            <v>Foreign Currency Translation</v>
          </cell>
        </row>
        <row r="182">
          <cell r="B182">
            <v>3153</v>
          </cell>
          <cell r="C182" t="str">
            <v>Marketble Securits-Unreal Gain</v>
          </cell>
        </row>
        <row r="183">
          <cell r="B183">
            <v>3157</v>
          </cell>
          <cell r="C183" t="str">
            <v>Treasury Stock</v>
          </cell>
        </row>
        <row r="184">
          <cell r="B184">
            <v>4005</v>
          </cell>
          <cell r="C184" t="str">
            <v>Sales</v>
          </cell>
        </row>
        <row r="185">
          <cell r="B185">
            <v>4013</v>
          </cell>
          <cell r="C185" t="str">
            <v>Service Charges Received</v>
          </cell>
        </row>
        <row r="186">
          <cell r="B186">
            <v>4017</v>
          </cell>
          <cell r="C186" t="str">
            <v>Discounts Allowed</v>
          </cell>
        </row>
        <row r="187">
          <cell r="B187">
            <v>4021</v>
          </cell>
          <cell r="C187" t="str">
            <v>Deferred Revenue</v>
          </cell>
        </row>
        <row r="188">
          <cell r="B188">
            <v>4025</v>
          </cell>
          <cell r="C188" t="str">
            <v>Bad Debt Expense</v>
          </cell>
        </row>
        <row r="189">
          <cell r="B189">
            <v>4029</v>
          </cell>
          <cell r="C189" t="str">
            <v>Sales Returns</v>
          </cell>
        </row>
        <row r="190">
          <cell r="B190">
            <v>4033</v>
          </cell>
          <cell r="C190" t="str">
            <v>Royalties Revenue</v>
          </cell>
        </row>
        <row r="191">
          <cell r="B191">
            <v>4037</v>
          </cell>
          <cell r="C191" t="str">
            <v>Sales Adj-Product Returns</v>
          </cell>
        </row>
        <row r="192">
          <cell r="B192">
            <v>4041</v>
          </cell>
          <cell r="C192" t="str">
            <v>Sales Adj-Price List Discounts</v>
          </cell>
        </row>
        <row r="193">
          <cell r="B193">
            <v>4045</v>
          </cell>
          <cell r="C193" t="str">
            <v>Sales Adj-Cash Discounts</v>
          </cell>
        </row>
        <row r="194">
          <cell r="B194">
            <v>4048</v>
          </cell>
          <cell r="C194" t="str">
            <v>Sales Adj-MDF</v>
          </cell>
        </row>
        <row r="195">
          <cell r="B195">
            <v>4049</v>
          </cell>
          <cell r="C195" t="str">
            <v>Sales Adj-Other</v>
          </cell>
        </row>
        <row r="196">
          <cell r="B196">
            <v>4050</v>
          </cell>
          <cell r="C196" t="str">
            <v>Freight Billed to Customers</v>
          </cell>
        </row>
        <row r="197">
          <cell r="B197">
            <v>4053</v>
          </cell>
          <cell r="C197" t="str">
            <v>Intercompany Sales</v>
          </cell>
        </row>
        <row r="198">
          <cell r="B198">
            <v>5105</v>
          </cell>
          <cell r="C198" t="str">
            <v>Cost of Goods Sold</v>
          </cell>
        </row>
        <row r="199">
          <cell r="B199">
            <v>5109</v>
          </cell>
          <cell r="C199" t="str">
            <v>Deferred Cost of Goods Sold</v>
          </cell>
        </row>
        <row r="200">
          <cell r="B200">
            <v>5111</v>
          </cell>
          <cell r="C200" t="str">
            <v>Deferred Costs</v>
          </cell>
        </row>
        <row r="201">
          <cell r="B201">
            <v>5113</v>
          </cell>
          <cell r="C201" t="str">
            <v>Cost of Goods Sold - Royalty</v>
          </cell>
        </row>
        <row r="202">
          <cell r="B202">
            <v>5115</v>
          </cell>
          <cell r="C202" t="str">
            <v>Cost of Goods Sold - Service R</v>
          </cell>
        </row>
        <row r="203">
          <cell r="B203">
            <v>5117</v>
          </cell>
          <cell r="C203" t="str">
            <v>Interco Standard Cost of Sales</v>
          </cell>
        </row>
        <row r="204">
          <cell r="B204">
            <v>5150</v>
          </cell>
          <cell r="C204" t="str">
            <v>COGS - Credit Cards</v>
          </cell>
        </row>
        <row r="205">
          <cell r="B205">
            <v>5208</v>
          </cell>
          <cell r="C205" t="str">
            <v>Standard Cost Variance</v>
          </cell>
        </row>
        <row r="206">
          <cell r="B206">
            <v>5211</v>
          </cell>
          <cell r="C206" t="str">
            <v>Overhead Variance</v>
          </cell>
        </row>
        <row r="207">
          <cell r="B207">
            <v>5214</v>
          </cell>
          <cell r="C207" t="str">
            <v>Cycle Count Variance</v>
          </cell>
        </row>
        <row r="208">
          <cell r="B208">
            <v>5217</v>
          </cell>
          <cell r="C208" t="str">
            <v>Material Usage Variance</v>
          </cell>
        </row>
        <row r="209">
          <cell r="B209">
            <v>5220</v>
          </cell>
          <cell r="C209" t="str">
            <v>Custom Product Variance</v>
          </cell>
        </row>
        <row r="210">
          <cell r="B210">
            <v>5223</v>
          </cell>
          <cell r="C210" t="str">
            <v>Purchase Price Variance</v>
          </cell>
        </row>
        <row r="211">
          <cell r="B211">
            <v>5226</v>
          </cell>
          <cell r="C211" t="str">
            <v>PO/Inv Variance</v>
          </cell>
        </row>
        <row r="212">
          <cell r="B212">
            <v>5229</v>
          </cell>
          <cell r="C212" t="str">
            <v>PO Issuance Variance</v>
          </cell>
        </row>
        <row r="213">
          <cell r="B213">
            <v>5232</v>
          </cell>
          <cell r="C213" t="str">
            <v>Miscellaneous Order Variance</v>
          </cell>
        </row>
        <row r="214">
          <cell r="B214">
            <v>5235</v>
          </cell>
          <cell r="C214" t="str">
            <v>Variance Capitalization</v>
          </cell>
        </row>
        <row r="215">
          <cell r="B215">
            <v>5238</v>
          </cell>
          <cell r="C215" t="str">
            <v>Manufacturing Expense</v>
          </cell>
        </row>
        <row r="216">
          <cell r="B216">
            <v>5240</v>
          </cell>
          <cell r="C216" t="str">
            <v>Scrap Sales</v>
          </cell>
        </row>
        <row r="217">
          <cell r="B217">
            <v>5241</v>
          </cell>
          <cell r="C217" t="str">
            <v>Production Order Scrap</v>
          </cell>
        </row>
        <row r="218">
          <cell r="B218">
            <v>5244</v>
          </cell>
          <cell r="C218" t="str">
            <v>Intercompany Freight-Out</v>
          </cell>
        </row>
        <row r="219">
          <cell r="B219">
            <v>5247</v>
          </cell>
          <cell r="C219" t="str">
            <v>Freight-In</v>
          </cell>
        </row>
        <row r="220">
          <cell r="B220">
            <v>5249</v>
          </cell>
          <cell r="C220" t="str">
            <v>Freight-Out</v>
          </cell>
        </row>
        <row r="221">
          <cell r="B221">
            <v>5250</v>
          </cell>
          <cell r="C221" t="str">
            <v>Inventory Book to Phys Adj</v>
          </cell>
        </row>
        <row r="222">
          <cell r="B222">
            <v>5253</v>
          </cell>
          <cell r="C222" t="str">
            <v>Warranty Expense</v>
          </cell>
        </row>
        <row r="223">
          <cell r="B223">
            <v>5256</v>
          </cell>
          <cell r="C223" t="str">
            <v>Product Liability Expense</v>
          </cell>
        </row>
        <row r="224">
          <cell r="B224">
            <v>5259</v>
          </cell>
          <cell r="C224" t="str">
            <v>Standard Cost Changes</v>
          </cell>
        </row>
        <row r="225">
          <cell r="B225">
            <v>5262</v>
          </cell>
          <cell r="C225" t="str">
            <v>Inventory Obsolescence Expense</v>
          </cell>
        </row>
        <row r="226">
          <cell r="B226">
            <v>5263</v>
          </cell>
          <cell r="C226" t="str">
            <v>Inventory Write-off</v>
          </cell>
        </row>
        <row r="227">
          <cell r="B227">
            <v>5266</v>
          </cell>
          <cell r="C227" t="str">
            <v>Amort-Comptr SW, Purchs or Dev</v>
          </cell>
        </row>
        <row r="228">
          <cell r="B228">
            <v>5270</v>
          </cell>
          <cell r="C228" t="str">
            <v>Subscription Service Costs</v>
          </cell>
        </row>
        <row r="229">
          <cell r="B229">
            <v>5275</v>
          </cell>
          <cell r="C229" t="str">
            <v>CM Administrative Fees</v>
          </cell>
        </row>
        <row r="230">
          <cell r="B230">
            <v>6105</v>
          </cell>
          <cell r="C230" t="str">
            <v>Salaries</v>
          </cell>
        </row>
        <row r="231">
          <cell r="B231">
            <v>6109</v>
          </cell>
          <cell r="C231" t="str">
            <v>Commission Expenses</v>
          </cell>
        </row>
        <row r="232">
          <cell r="B232">
            <v>6113</v>
          </cell>
          <cell r="C232" t="str">
            <v>Payroll Taxes</v>
          </cell>
        </row>
        <row r="233">
          <cell r="B233">
            <v>6117</v>
          </cell>
          <cell r="C233" t="str">
            <v>Employees Benefits</v>
          </cell>
        </row>
        <row r="234">
          <cell r="B234">
            <v>6180</v>
          </cell>
          <cell r="C234" t="str">
            <v>Full-time Temporary Services</v>
          </cell>
        </row>
        <row r="235">
          <cell r="B235">
            <v>6199</v>
          </cell>
          <cell r="C235" t="str">
            <v>Employee Benefits Allocation (</v>
          </cell>
        </row>
        <row r="236">
          <cell r="B236">
            <v>6205</v>
          </cell>
          <cell r="C236" t="str">
            <v>Training&amp;Professional Meetings</v>
          </cell>
        </row>
        <row r="237">
          <cell r="B237">
            <v>6209</v>
          </cell>
          <cell r="C237" t="str">
            <v>Dues, Mambership&amp;Subscriptions</v>
          </cell>
        </row>
        <row r="238">
          <cell r="B238">
            <v>6213</v>
          </cell>
          <cell r="C238" t="str">
            <v>Employee Relocation Expenses</v>
          </cell>
        </row>
        <row r="239">
          <cell r="B239">
            <v>6217</v>
          </cell>
          <cell r="C239" t="str">
            <v>Recruiting</v>
          </cell>
        </row>
        <row r="240">
          <cell r="B240">
            <v>6221</v>
          </cell>
          <cell r="C240" t="str">
            <v>Other Personnel Expenses</v>
          </cell>
        </row>
        <row r="241">
          <cell r="B241">
            <v>6305</v>
          </cell>
          <cell r="C241" t="str">
            <v>Travel</v>
          </cell>
        </row>
        <row r="242">
          <cell r="B242">
            <v>6309</v>
          </cell>
          <cell r="C242" t="str">
            <v>Lodging</v>
          </cell>
        </row>
        <row r="243">
          <cell r="B243">
            <v>6313</v>
          </cell>
          <cell r="C243" t="str">
            <v>Auto Expenses</v>
          </cell>
        </row>
        <row r="244">
          <cell r="B244">
            <v>6317</v>
          </cell>
          <cell r="C244" t="str">
            <v>Business Meals/Entertainment</v>
          </cell>
        </row>
        <row r="245">
          <cell r="B245">
            <v>6405</v>
          </cell>
          <cell r="C245" t="str">
            <v>Consulting</v>
          </cell>
        </row>
        <row r="246">
          <cell r="B246">
            <v>6409</v>
          </cell>
          <cell r="C246" t="str">
            <v>Insurance</v>
          </cell>
        </row>
        <row r="247">
          <cell r="B247">
            <v>6413</v>
          </cell>
          <cell r="C247" t="str">
            <v>Legal Fees</v>
          </cell>
        </row>
        <row r="248">
          <cell r="B248">
            <v>6415</v>
          </cell>
          <cell r="C248" t="str">
            <v>Legal Settlement Fees</v>
          </cell>
        </row>
        <row r="249">
          <cell r="B249">
            <v>6417</v>
          </cell>
          <cell r="C249" t="str">
            <v>Accounting Fees</v>
          </cell>
        </row>
        <row r="250">
          <cell r="B250">
            <v>6421</v>
          </cell>
          <cell r="C250" t="str">
            <v>Audit Fees</v>
          </cell>
        </row>
        <row r="251">
          <cell r="B251">
            <v>6425</v>
          </cell>
          <cell r="C251" t="str">
            <v>Patent Fees</v>
          </cell>
        </row>
        <row r="252">
          <cell r="B252">
            <v>6429</v>
          </cell>
          <cell r="C252" t="str">
            <v>Oth Professionl Servcs&amp;Fees</v>
          </cell>
        </row>
        <row r="253">
          <cell r="B253">
            <v>6433</v>
          </cell>
          <cell r="C253" t="str">
            <v>Business Tax/Fee</v>
          </cell>
        </row>
        <row r="254">
          <cell r="B254">
            <v>6440</v>
          </cell>
          <cell r="C254" t="str">
            <v>Bank Fees</v>
          </cell>
        </row>
        <row r="255">
          <cell r="B255">
            <v>6505</v>
          </cell>
          <cell r="C255" t="str">
            <v>Trade Shows</v>
          </cell>
        </row>
        <row r="256">
          <cell r="B256">
            <v>6509</v>
          </cell>
          <cell r="C256" t="str">
            <v>Advertising</v>
          </cell>
        </row>
        <row r="257">
          <cell r="B257">
            <v>6513</v>
          </cell>
          <cell r="C257" t="str">
            <v>Direct Mail</v>
          </cell>
        </row>
        <row r="258">
          <cell r="B258">
            <v>6517</v>
          </cell>
          <cell r="C258" t="str">
            <v>Collateral</v>
          </cell>
        </row>
        <row r="259">
          <cell r="B259">
            <v>6521</v>
          </cell>
          <cell r="C259" t="str">
            <v>Public Relations</v>
          </cell>
        </row>
        <row r="260">
          <cell r="B260">
            <v>6525</v>
          </cell>
          <cell r="C260" t="str">
            <v>Marketing Website</v>
          </cell>
        </row>
        <row r="261">
          <cell r="B261">
            <v>6529</v>
          </cell>
          <cell r="C261" t="str">
            <v>Telemarketing</v>
          </cell>
        </row>
        <row r="262">
          <cell r="B262">
            <v>6531</v>
          </cell>
          <cell r="C262" t="str">
            <v>Lead Generation</v>
          </cell>
        </row>
        <row r="263">
          <cell r="B263">
            <v>6533</v>
          </cell>
          <cell r="C263" t="str">
            <v>Market Research</v>
          </cell>
        </row>
        <row r="264">
          <cell r="B264">
            <v>6537</v>
          </cell>
          <cell r="C264" t="str">
            <v>Coop Marketing</v>
          </cell>
        </row>
        <row r="265">
          <cell r="B265">
            <v>6541</v>
          </cell>
          <cell r="C265" t="str">
            <v>Printing/Reproduction</v>
          </cell>
        </row>
        <row r="266">
          <cell r="B266">
            <v>6543</v>
          </cell>
          <cell r="C266" t="str">
            <v>Charitable Contributions</v>
          </cell>
        </row>
        <row r="267">
          <cell r="B267">
            <v>6545</v>
          </cell>
          <cell r="C267" t="str">
            <v>Corporate Identity</v>
          </cell>
        </row>
        <row r="268">
          <cell r="B268">
            <v>6549</v>
          </cell>
          <cell r="C268" t="str">
            <v>Samples</v>
          </cell>
        </row>
        <row r="269">
          <cell r="B269">
            <v>6554</v>
          </cell>
          <cell r="C269" t="str">
            <v>Oth Sales&amp;Marketing Expenses</v>
          </cell>
        </row>
        <row r="270">
          <cell r="B270">
            <v>6605</v>
          </cell>
          <cell r="C270" t="str">
            <v>Equipment Rental</v>
          </cell>
        </row>
        <row r="271">
          <cell r="B271">
            <v>6609</v>
          </cell>
          <cell r="C271" t="str">
            <v>Freight Charges</v>
          </cell>
        </row>
        <row r="272">
          <cell r="B272">
            <v>6611</v>
          </cell>
          <cell r="C272" t="str">
            <v>RMA - Depo</v>
          </cell>
        </row>
        <row r="273">
          <cell r="B273">
            <v>6612</v>
          </cell>
          <cell r="C273" t="str">
            <v>RMA - Repairs</v>
          </cell>
        </row>
        <row r="274">
          <cell r="B274">
            <v>6613</v>
          </cell>
          <cell r="C274" t="str">
            <v>RMA - Parts/Units</v>
          </cell>
        </row>
        <row r="275">
          <cell r="B275">
            <v>6614</v>
          </cell>
          <cell r="C275" t="str">
            <v>DOA Replacement Units</v>
          </cell>
        </row>
        <row r="276">
          <cell r="B276">
            <v>6615</v>
          </cell>
          <cell r="C276" t="str">
            <v>Spares/Evaluation</v>
          </cell>
        </row>
        <row r="277">
          <cell r="B277">
            <v>6617</v>
          </cell>
          <cell r="C277" t="str">
            <v>Expensed HW &amp; SW Purchases (Ol</v>
          </cell>
        </row>
        <row r="278">
          <cell r="B278">
            <v>6618</v>
          </cell>
          <cell r="C278" t="str">
            <v>Expensed HW Purchases</v>
          </cell>
        </row>
        <row r="279">
          <cell r="B279">
            <v>6619</v>
          </cell>
          <cell r="C279" t="str">
            <v>Expensed SW Purchases</v>
          </cell>
        </row>
        <row r="280">
          <cell r="B280">
            <v>6621</v>
          </cell>
          <cell r="C280" t="str">
            <v>Prototype Equipment</v>
          </cell>
        </row>
        <row r="281">
          <cell r="B281">
            <v>6623</v>
          </cell>
          <cell r="C281" t="str">
            <v>HW Maintenance</v>
          </cell>
        </row>
        <row r="282">
          <cell r="B282">
            <v>6624</v>
          </cell>
          <cell r="C282" t="str">
            <v>SW Maintenance</v>
          </cell>
        </row>
        <row r="283">
          <cell r="B283">
            <v>6625</v>
          </cell>
          <cell r="C283" t="str">
            <v>Repair/Maintenance Equip</v>
          </cell>
        </row>
        <row r="284">
          <cell r="B284">
            <v>6629</v>
          </cell>
          <cell r="C284" t="str">
            <v>Rework Materials</v>
          </cell>
        </row>
        <row r="285">
          <cell r="B285">
            <v>6633</v>
          </cell>
          <cell r="C285" t="str">
            <v>Tools</v>
          </cell>
        </row>
        <row r="286">
          <cell r="B286">
            <v>6637</v>
          </cell>
          <cell r="C286" t="str">
            <v>Demo Units</v>
          </cell>
        </row>
        <row r="287">
          <cell r="B287">
            <v>6641</v>
          </cell>
          <cell r="C287" t="str">
            <v>RMA Shipahead</v>
          </cell>
        </row>
        <row r="288">
          <cell r="B288">
            <v>6645</v>
          </cell>
          <cell r="C288" t="str">
            <v>Lab Testing</v>
          </cell>
        </row>
        <row r="289">
          <cell r="B289">
            <v>6649</v>
          </cell>
          <cell r="C289" t="str">
            <v>Gain/Loss on Dispos of Cap Ass</v>
          </cell>
        </row>
        <row r="290">
          <cell r="B290">
            <v>6653</v>
          </cell>
          <cell r="C290" t="str">
            <v>Environmental Health &amp; Safety</v>
          </cell>
        </row>
        <row r="291">
          <cell r="B291">
            <v>6657</v>
          </cell>
          <cell r="C291" t="str">
            <v>Dep-Machinery&amp;Office Equip</v>
          </cell>
        </row>
        <row r="292">
          <cell r="B292">
            <v>6661</v>
          </cell>
          <cell r="C292" t="str">
            <v>Dep-Computer Hardware</v>
          </cell>
        </row>
        <row r="293">
          <cell r="B293">
            <v>6665</v>
          </cell>
          <cell r="C293" t="str">
            <v>Dep-Computer Software</v>
          </cell>
        </row>
        <row r="294">
          <cell r="B294">
            <v>6669</v>
          </cell>
          <cell r="C294" t="str">
            <v>Computer Lease Expense</v>
          </cell>
        </row>
        <row r="295">
          <cell r="B295">
            <v>6673</v>
          </cell>
          <cell r="C295" t="str">
            <v>Data Processing Expenses</v>
          </cell>
        </row>
        <row r="296">
          <cell r="B296">
            <v>6677</v>
          </cell>
          <cell r="C296" t="str">
            <v>Amortization - Goodwill</v>
          </cell>
        </row>
        <row r="297">
          <cell r="B297">
            <v>6681</v>
          </cell>
          <cell r="C297" t="str">
            <v>Amortization - Other Intangibl</v>
          </cell>
        </row>
        <row r="298">
          <cell r="B298">
            <v>6685</v>
          </cell>
          <cell r="C298" t="str">
            <v>Stock-based Compensation Expen</v>
          </cell>
        </row>
        <row r="299">
          <cell r="B299">
            <v>6705</v>
          </cell>
          <cell r="C299" t="str">
            <v>Expense Office Furniture</v>
          </cell>
        </row>
        <row r="300">
          <cell r="B300">
            <v>6706</v>
          </cell>
          <cell r="C300" t="str">
            <v>Expense Office Equipment</v>
          </cell>
        </row>
        <row r="301">
          <cell r="B301">
            <v>6709</v>
          </cell>
          <cell r="C301" t="str">
            <v>Office Supplies</v>
          </cell>
        </row>
        <row r="302">
          <cell r="B302">
            <v>6713</v>
          </cell>
          <cell r="C302" t="str">
            <v>Postage</v>
          </cell>
        </row>
        <row r="303">
          <cell r="B303">
            <v>6717</v>
          </cell>
          <cell r="C303" t="str">
            <v>Dep-Furniture &amp; Fixtures</v>
          </cell>
        </row>
        <row r="304">
          <cell r="B304">
            <v>6721</v>
          </cell>
          <cell r="C304" t="str">
            <v>Other Off Service&amp;Supply Expen</v>
          </cell>
        </row>
        <row r="305">
          <cell r="B305">
            <v>6805</v>
          </cell>
          <cell r="C305" t="str">
            <v>Rent</v>
          </cell>
        </row>
        <row r="306">
          <cell r="B306">
            <v>6809</v>
          </cell>
          <cell r="C306" t="str">
            <v>Utilities</v>
          </cell>
        </row>
        <row r="307">
          <cell r="B307">
            <v>6813</v>
          </cell>
          <cell r="C307" t="str">
            <v>Telephone</v>
          </cell>
        </row>
        <row r="308">
          <cell r="B308">
            <v>6817</v>
          </cell>
          <cell r="C308" t="str">
            <v>Maintenance</v>
          </cell>
        </row>
        <row r="309">
          <cell r="B309">
            <v>6821</v>
          </cell>
          <cell r="C309" t="str">
            <v>Dep-Leasehold Improvements</v>
          </cell>
        </row>
        <row r="310">
          <cell r="B310">
            <v>6825</v>
          </cell>
          <cell r="C310" t="str">
            <v>Other Use &amp; Occupancy Expenses</v>
          </cell>
        </row>
        <row r="311">
          <cell r="B311">
            <v>6905</v>
          </cell>
          <cell r="C311" t="str">
            <v>Bad Debt</v>
          </cell>
        </row>
        <row r="312">
          <cell r="B312">
            <v>7905</v>
          </cell>
          <cell r="C312" t="str">
            <v>ICS Allocation</v>
          </cell>
        </row>
        <row r="313">
          <cell r="B313">
            <v>7909</v>
          </cell>
          <cell r="C313" t="str">
            <v>Facilities Allocation</v>
          </cell>
        </row>
        <row r="314">
          <cell r="B314">
            <v>7911</v>
          </cell>
          <cell r="C314" t="str">
            <v>Employee Benefits Allocation</v>
          </cell>
        </row>
        <row r="315">
          <cell r="B315">
            <v>8005</v>
          </cell>
          <cell r="C315" t="str">
            <v>Exch Gain/Loss-Realized</v>
          </cell>
        </row>
        <row r="316">
          <cell r="B316">
            <v>8009</v>
          </cell>
          <cell r="C316" t="str">
            <v>Exch Gain/Loss-Unrealized</v>
          </cell>
        </row>
        <row r="317">
          <cell r="B317">
            <v>8013</v>
          </cell>
          <cell r="C317" t="str">
            <v>Exch Gain/Loss-Translation</v>
          </cell>
        </row>
        <row r="318">
          <cell r="B318">
            <v>8017</v>
          </cell>
          <cell r="C318" t="str">
            <v>Investment Fees</v>
          </cell>
        </row>
        <row r="319">
          <cell r="B319">
            <v>8019</v>
          </cell>
          <cell r="C319" t="str">
            <v>Penalties</v>
          </cell>
        </row>
        <row r="320">
          <cell r="B320">
            <v>8021</v>
          </cell>
          <cell r="C320" t="str">
            <v>Interest Income</v>
          </cell>
        </row>
        <row r="321">
          <cell r="B321">
            <v>8025</v>
          </cell>
          <cell r="C321" t="str">
            <v>Interest Expense</v>
          </cell>
        </row>
        <row r="322">
          <cell r="B322">
            <v>8027</v>
          </cell>
          <cell r="C322" t="str">
            <v>Discounts Taken</v>
          </cell>
        </row>
        <row r="323">
          <cell r="B323">
            <v>8029</v>
          </cell>
          <cell r="C323" t="str">
            <v>Oth Non-Operating Income</v>
          </cell>
        </row>
        <row r="324">
          <cell r="B324">
            <v>8033</v>
          </cell>
          <cell r="C324" t="str">
            <v>Other Non-Operating Expense</v>
          </cell>
        </row>
        <row r="325">
          <cell r="B325">
            <v>8035</v>
          </cell>
          <cell r="C325" t="str">
            <v>Other Income - Closure</v>
          </cell>
        </row>
        <row r="326">
          <cell r="B326">
            <v>8037</v>
          </cell>
          <cell r="C326" t="str">
            <v>Interco Interest Expense</v>
          </cell>
        </row>
        <row r="327">
          <cell r="B327">
            <v>8041</v>
          </cell>
          <cell r="C327" t="str">
            <v>Interco Interest Income</v>
          </cell>
        </row>
        <row r="328">
          <cell r="B328">
            <v>8045</v>
          </cell>
          <cell r="C328" t="str">
            <v>Interco Service Chrge-Expense</v>
          </cell>
        </row>
        <row r="329">
          <cell r="B329">
            <v>8049</v>
          </cell>
          <cell r="C329" t="str">
            <v>Interco Service Chrge-Income</v>
          </cell>
        </row>
        <row r="330">
          <cell r="B330">
            <v>8053</v>
          </cell>
          <cell r="C330" t="str">
            <v>Interco Oth Non-Oper Expense</v>
          </cell>
        </row>
        <row r="331">
          <cell r="B331">
            <v>8057</v>
          </cell>
          <cell r="C331" t="str">
            <v>Interco Othr Non-Oper Income</v>
          </cell>
        </row>
        <row r="332">
          <cell r="B332">
            <v>8061</v>
          </cell>
          <cell r="C332" t="str">
            <v>Interco Dividends Received</v>
          </cell>
        </row>
        <row r="333">
          <cell r="B333">
            <v>8065</v>
          </cell>
          <cell r="C333" t="str">
            <v>Stock Compensation Expense</v>
          </cell>
        </row>
        <row r="334">
          <cell r="B334">
            <v>8067</v>
          </cell>
          <cell r="C334" t="str">
            <v>Goodwill Amortization</v>
          </cell>
        </row>
        <row r="335">
          <cell r="B335">
            <v>8069</v>
          </cell>
          <cell r="C335" t="str">
            <v>Acquired In-Progress Technolog</v>
          </cell>
        </row>
        <row r="336">
          <cell r="B336">
            <v>8071</v>
          </cell>
          <cell r="C336" t="str">
            <v>Restructuring Costs</v>
          </cell>
        </row>
        <row r="337">
          <cell r="B337">
            <v>8072</v>
          </cell>
          <cell r="C337" t="str">
            <v>Asset Impairment Loss</v>
          </cell>
        </row>
        <row r="338">
          <cell r="B338">
            <v>9005</v>
          </cell>
          <cell r="C338" t="str">
            <v>Income Taxes - Current</v>
          </cell>
        </row>
        <row r="339">
          <cell r="B339">
            <v>9009</v>
          </cell>
          <cell r="C339" t="str">
            <v>Income Taxes - Deferred</v>
          </cell>
        </row>
        <row r="340">
          <cell r="B340">
            <v>9015</v>
          </cell>
          <cell r="C340" t="str">
            <v>Foreign Withholding Taxes</v>
          </cell>
        </row>
        <row r="341">
          <cell r="B341">
            <v>9998</v>
          </cell>
          <cell r="C341" t="str">
            <v>Suspense</v>
          </cell>
        </row>
        <row r="342">
          <cell r="B342" t="str">
            <v>CORP</v>
          </cell>
          <cell r="C342" t="str">
            <v>Headcount for Corporate depart</v>
          </cell>
        </row>
        <row r="343">
          <cell r="B343" t="str">
            <v>FACC</v>
          </cell>
          <cell r="C343" t="str">
            <v>Facilities Cerberian</v>
          </cell>
        </row>
        <row r="344">
          <cell r="B344" t="str">
            <v>FACL</v>
          </cell>
          <cell r="C344" t="str">
            <v>Facilities square feet</v>
          </cell>
        </row>
        <row r="345">
          <cell r="B345" t="str">
            <v>HDCT</v>
          </cell>
          <cell r="C345" t="str">
            <v>Headcount for nationwide</v>
          </cell>
        </row>
        <row r="346">
          <cell r="B346" t="str">
            <v>HDQQ</v>
          </cell>
          <cell r="C346" t="str">
            <v>Headcount for quarterly worldw</v>
          </cell>
        </row>
        <row r="347">
          <cell r="B347" t="str">
            <v>HDSU</v>
          </cell>
          <cell r="C347" t="str">
            <v>Headcount for SUSP department</v>
          </cell>
        </row>
        <row r="348">
          <cell r="B348" t="str">
            <v>HDWW</v>
          </cell>
          <cell r="C348" t="str">
            <v>Headcount for worldwide</v>
          </cell>
        </row>
        <row r="349">
          <cell r="B349" t="str">
            <v>ICSC</v>
          </cell>
          <cell r="C349" t="str">
            <v>ICS Cerberian Allocation</v>
          </cell>
        </row>
      </sheetData>
      <sheetData sheetId="10"/>
      <sheetData sheetId="11"/>
      <sheetData sheetId="12"/>
      <sheetData sheetId="13"/>
      <sheetData sheetId="14"/>
      <sheetData sheetId="15"/>
      <sheetData sheetId="16"/>
      <sheetData sheetId="17"/>
      <sheetData sheetId="18"/>
      <sheetData sheetId="19">
        <row r="4">
          <cell r="B4">
            <v>1105</v>
          </cell>
        </row>
      </sheetData>
      <sheetData sheetId="20"/>
      <sheetData sheetId="21"/>
      <sheetData sheetId="22"/>
      <sheetData sheetId="23"/>
      <sheetData sheetId="24"/>
      <sheetData sheetId="25"/>
      <sheetData sheetId="26"/>
      <sheetData sheetId="27"/>
      <sheetData sheetId="28"/>
      <sheetData sheetId="29">
        <row r="4">
          <cell r="B4">
            <v>1105</v>
          </cell>
        </row>
      </sheetData>
      <sheetData sheetId="30"/>
      <sheetData sheetId="31"/>
      <sheetData sheetId="32"/>
      <sheetData sheetId="33"/>
      <sheetData sheetId="34"/>
      <sheetData sheetId="35"/>
      <sheetData sheetId="36"/>
      <sheetData sheetId="37"/>
      <sheetData sheetId="38"/>
      <sheetData sheetId="39">
        <row r="4">
          <cell r="B4">
            <v>1105</v>
          </cell>
        </row>
      </sheetData>
      <sheetData sheetId="40"/>
      <sheetData sheetId="41"/>
      <sheetData sheetId="42"/>
      <sheetData sheetId="43"/>
      <sheetData sheetId="44"/>
      <sheetData sheetId="45"/>
      <sheetData sheetId="46"/>
      <sheetData sheetId="47"/>
      <sheetData sheetId="48"/>
      <sheetData sheetId="49">
        <row r="4">
          <cell r="B4">
            <v>1105</v>
          </cell>
        </row>
      </sheetData>
      <sheetData sheetId="50"/>
      <sheetData sheetId="51"/>
      <sheetData sheetId="52"/>
      <sheetData sheetId="53"/>
      <sheetData sheetId="54"/>
      <sheetData sheetId="55"/>
      <sheetData sheetId="56"/>
      <sheetData sheetId="57"/>
      <sheetData sheetId="58"/>
      <sheetData sheetId="59">
        <row r="4">
          <cell r="B4">
            <v>1105</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Ls_XLB_WorkbookFile"/>
      <sheetName val="Sheet1"/>
      <sheetName val="Header Sheet"/>
      <sheetName val="Trial Balance"/>
      <sheetName val="Profit And Loss"/>
      <sheetName val="Balance Sheet"/>
      <sheetName val="Balance Sheet Analysis"/>
      <sheetName val="Lloyds USD Bank Account"/>
      <sheetName val="Lloyds GBP Bank Account"/>
      <sheetName val="Bank Reconciliation 3"/>
      <sheetName val="Bank Reconciliation 4"/>
      <sheetName val="Bank Reconciliation 5"/>
      <sheetName val="Bank Reconciliation 6"/>
      <sheetName val="Bank Reconciliation 7"/>
      <sheetName val="Bank Reconciliation 8"/>
      <sheetName val="Bank Reconciliation 9"/>
      <sheetName val="Bank Reconciliation 10"/>
      <sheetName val="Assets Analysis"/>
      <sheetName val="InterCo Invoice"/>
      <sheetName val="Client Acc Listing Dept"/>
      <sheetName val="Sheet3"/>
      <sheetName val="Ls_AgXLB_WorkbookFile"/>
    </sheetNames>
    <sheetDataSet>
      <sheetData sheetId="0">
        <row r="10">
          <cell r="F10" t="str">
            <v>Ooyala Inc. UK</v>
          </cell>
        </row>
        <row r="12">
          <cell r="E12" t="str">
            <v>2010/007</v>
          </cell>
          <cell r="G12" t="str">
            <v>2010/008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100000"/>
      <sheetName val="200000"/>
      <sheetName val="דמי ניהול  (2)"/>
      <sheetName val="גיליון1"/>
      <sheetName val="הסברים "/>
      <sheetName val="מאזני הרכבה(לא לשמוש)"/>
      <sheetName val="תזרים  הרכבה+מעגלים"/>
      <sheetName val="השתתפות בהוצאות "/>
      <sheetName val="גיליון ההרכבה "/>
      <sheetName val="ח-ן השקעה "/>
      <sheetName val="הוצאותמראש לשלם "/>
      <sheetName val="פנ (לא לשמוש)"/>
      <sheetName val="הון מניות ודיבידנד"/>
      <sheetName val="מדדים ושע&quot;ח"/>
      <sheetName val="השקעה בחברה בת"/>
      <sheetName val="רכוש קבוע"/>
      <sheetName val="רווח הון"/>
      <sheetName val="מס צפוי2000"/>
      <sheetName val="חוזים בינחברתיים "/>
      <sheetName val="עסקאות בינחברתיות "/>
      <sheetName val="סבירות מימון"/>
      <sheetName val="דמי ניהול-2"/>
      <sheetName val="Modul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A1" t="str">
            <v>הערכת הוצאות המס לשנת 2000</v>
          </cell>
        </row>
        <row r="3">
          <cell r="C3" t="str">
            <v>דוח התאמה לצורכי מס הכנסה</v>
          </cell>
        </row>
        <row r="5">
          <cell r="D5" t="str">
            <v>אש"ח</v>
          </cell>
          <cell r="F5" t="str">
            <v>אש"ח</v>
          </cell>
        </row>
        <row r="7">
          <cell r="A7" t="str">
            <v>רווח לפי רווח והפסד</v>
          </cell>
        </row>
        <row r="9">
          <cell r="A9" t="str">
            <v>נוסף</v>
          </cell>
          <cell r="H9" t="str">
            <v>יתרת פתיחה</v>
          </cell>
          <cell r="I9" t="str">
            <v>יתרת סגירה</v>
          </cell>
        </row>
        <row r="11">
          <cell r="A11" t="str">
            <v>גידול בעתודה לפיצויים</v>
          </cell>
          <cell r="F11">
            <v>15527</v>
          </cell>
          <cell r="I11">
            <v>-15527</v>
          </cell>
        </row>
        <row r="12">
          <cell r="A12" t="str">
            <v>גידול  בחופשה והבראה</v>
          </cell>
          <cell r="F12">
            <v>4088</v>
          </cell>
          <cell r="I12">
            <v>-4088</v>
          </cell>
        </row>
        <row r="13">
          <cell r="A13" t="str">
            <v>גידול בהפרשה לחומ"ס</v>
          </cell>
          <cell r="F13">
            <v>-22310</v>
          </cell>
          <cell r="I13">
            <v>22310</v>
          </cell>
        </row>
        <row r="14">
          <cell r="A14" t="str">
            <v>אחזקת רכב כולל פחת</v>
          </cell>
          <cell r="E14" t="str">
            <v>הערכה</v>
          </cell>
        </row>
        <row r="15">
          <cell r="A15" t="str">
            <v xml:space="preserve">נסיעות לחו"ל </v>
          </cell>
          <cell r="E15" t="str">
            <v>הערכה</v>
          </cell>
        </row>
        <row r="16">
          <cell r="A16" t="str">
            <v>ארוחות</v>
          </cell>
          <cell r="E16" t="str">
            <v>הערכה</v>
          </cell>
        </row>
        <row r="17">
          <cell r="A17" t="str">
            <v>ארוח ומתנות</v>
          </cell>
          <cell r="E17" t="str">
            <v>הערכה</v>
          </cell>
        </row>
        <row r="18">
          <cell r="A18" t="str">
            <v>תרומות</v>
          </cell>
        </row>
        <row r="19">
          <cell r="A19" t="str">
            <v>ביטוח מנהלים לבעלי שליטה</v>
          </cell>
        </row>
        <row r="20">
          <cell r="D20">
            <v>-2695</v>
          </cell>
        </row>
        <row r="22">
          <cell r="A22" t="str">
            <v>פחת בספרים</v>
          </cell>
        </row>
        <row r="24">
          <cell r="A24" t="str">
            <v>פחות</v>
          </cell>
          <cell r="B24" t="str">
            <v>פחת למ"ה</v>
          </cell>
        </row>
        <row r="26">
          <cell r="A26" t="str">
            <v>רווח הון</v>
          </cell>
          <cell r="D26">
            <v>0</v>
          </cell>
        </row>
        <row r="28">
          <cell r="A28" t="str">
            <v>רווח לפני חוק התאומים</v>
          </cell>
          <cell r="D28">
            <v>-2695</v>
          </cell>
          <cell r="I28" t="str">
            <v>מדד י.פ.</v>
          </cell>
        </row>
        <row r="29">
          <cell r="I29" t="str">
            <v>מדד י.ס.</v>
          </cell>
        </row>
        <row r="30">
          <cell r="C30" t="str">
            <v>נספח לחישוב ההכנסה החיבת</v>
          </cell>
        </row>
        <row r="32">
          <cell r="J32" t="str">
            <v>הערכת נב"א</v>
          </cell>
        </row>
        <row r="33">
          <cell r="D33" t="str">
            <v>סה"כ</v>
          </cell>
          <cell r="E33" t="str">
            <v>מאושר-חלופי</v>
          </cell>
          <cell r="F33" t="str">
            <v>רגיל</v>
          </cell>
          <cell r="I33" t="str">
            <v xml:space="preserve">ש"ח </v>
          </cell>
          <cell r="J33" t="str">
            <v xml:space="preserve"> </v>
          </cell>
          <cell r="K33" t="str">
            <v xml:space="preserve"> </v>
          </cell>
        </row>
        <row r="34">
          <cell r="D34" t="str">
            <v>ש"ח</v>
          </cell>
          <cell r="E34" t="str">
            <v>ש"ח</v>
          </cell>
          <cell r="F34" t="str">
            <v>ש"ח</v>
          </cell>
          <cell r="I34" t="str">
            <v>נב"א</v>
          </cell>
          <cell r="J34" t="str">
            <v>אינפלציה</v>
          </cell>
        </row>
        <row r="35">
          <cell r="J35" t="str">
            <v xml:space="preserve"> </v>
          </cell>
          <cell r="K35" t="e">
            <v>#REF!</v>
          </cell>
          <cell r="L35" t="str">
            <v>הון י"פ</v>
          </cell>
        </row>
        <row r="36">
          <cell r="A36" t="str">
            <v>רווח לפני חוק התאומים</v>
          </cell>
          <cell r="D36">
            <v>-2695</v>
          </cell>
          <cell r="E36" t="e">
            <v>#REF!</v>
          </cell>
          <cell r="F36" t="e">
            <v>#DIV/0!</v>
          </cell>
          <cell r="K36">
            <v>0</v>
          </cell>
          <cell r="L36" t="str">
            <v>עתודה לפיצויים</v>
          </cell>
        </row>
        <row r="37">
          <cell r="K37">
            <v>0</v>
          </cell>
          <cell r="L37" t="str">
            <v>הפרשה לחופשה</v>
          </cell>
        </row>
        <row r="38">
          <cell r="A38" t="str">
            <v xml:space="preserve">  פחת</v>
          </cell>
          <cell r="D38">
            <v>0</v>
          </cell>
          <cell r="F38">
            <v>0</v>
          </cell>
          <cell r="K38">
            <v>0</v>
          </cell>
          <cell r="L38" t="str">
            <v>הפרשה לחו"מס</v>
          </cell>
        </row>
        <row r="39">
          <cell r="L39" t="str">
            <v>מסים נדחים</v>
          </cell>
        </row>
        <row r="40">
          <cell r="A40" t="str">
            <v>ניכוי בשל פחת</v>
          </cell>
          <cell r="L40" t="str">
            <v>ר"ק י"פ</v>
          </cell>
        </row>
        <row r="41">
          <cell r="I41" t="e">
            <v>#REF!</v>
          </cell>
          <cell r="K41" t="e">
            <v>#REF!</v>
          </cell>
        </row>
        <row r="42">
          <cell r="A42" t="str">
            <v>ניכוי בשל אינפלציה</v>
          </cell>
          <cell r="D42" t="e">
            <v>#REF!</v>
          </cell>
          <cell r="E42">
            <v>0</v>
          </cell>
          <cell r="F42" t="e">
            <v>#REF!</v>
          </cell>
          <cell r="I42">
            <v>0</v>
          </cell>
          <cell r="L42" t="str">
            <v>הנפקת מניות</v>
          </cell>
        </row>
        <row r="43">
          <cell r="I43">
            <v>0</v>
          </cell>
          <cell r="K43">
            <v>0</v>
          </cell>
          <cell r="L43" t="str">
            <v>רכישת ומכירת ר"ק</v>
          </cell>
        </row>
        <row r="44">
          <cell r="I44">
            <v>0</v>
          </cell>
          <cell r="L44" t="str">
            <v>דיבידנד ששולם</v>
          </cell>
        </row>
        <row r="45">
          <cell r="A45" t="str">
            <v>סה"כ הכנסה חייבת</v>
          </cell>
          <cell r="D45" t="e">
            <v>#REF!</v>
          </cell>
          <cell r="E45" t="e">
            <v>#REF!</v>
          </cell>
          <cell r="F45" t="e">
            <v>#DIV/0!</v>
          </cell>
          <cell r="I45">
            <v>0</v>
          </cell>
          <cell r="L45" t="str">
            <v>השקעה בחברה בת</v>
          </cell>
        </row>
        <row r="46">
          <cell r="I46" t="e">
            <v>#REF!</v>
          </cell>
          <cell r="K46">
            <v>0</v>
          </cell>
        </row>
        <row r="47">
          <cell r="A47" t="str">
            <v>% המס</v>
          </cell>
          <cell r="E47">
            <v>0</v>
          </cell>
          <cell r="F47">
            <v>0.36</v>
          </cell>
        </row>
        <row r="49">
          <cell r="A49" t="str">
            <v>חבות מס נוספת בגין חלוקת דיבידנד מרווחים פטורים</v>
          </cell>
        </row>
        <row r="51">
          <cell r="A51" t="str">
            <v>חבות המס</v>
          </cell>
          <cell r="D51" t="e">
            <v>#REF!</v>
          </cell>
          <cell r="E51" t="e">
            <v>#REF!</v>
          </cell>
          <cell r="F51" t="e">
            <v>#DIV/0!</v>
          </cell>
          <cell r="G51" t="e">
            <v>#DIV/0!</v>
          </cell>
        </row>
        <row r="53">
          <cell r="A53" t="str">
            <v>ניכוי במקור</v>
          </cell>
        </row>
        <row r="54">
          <cell r="A54" t="str">
            <v>מקדמות ששולמו</v>
          </cell>
        </row>
        <row r="55">
          <cell r="A55" t="str">
            <v>עודפות ששולמו</v>
          </cell>
        </row>
        <row r="57">
          <cell r="D57">
            <v>0</v>
          </cell>
        </row>
        <row r="59">
          <cell r="A59" t="str">
            <v>הפרש לתשלום (החזר)</v>
          </cell>
          <cell r="D59" t="e">
            <v>#REF!</v>
          </cell>
        </row>
        <row r="62">
          <cell r="C62" t="str">
            <v>נספח לחישוב אחוזי חלוקת ההכנסה</v>
          </cell>
        </row>
        <row r="64">
          <cell r="G64" t="str">
            <v>מדד מחירים סיטונאיים</v>
          </cell>
        </row>
        <row r="65">
          <cell r="D65" t="str">
            <v>בסיס</v>
          </cell>
          <cell r="G65" t="str">
            <v>של תפוקת התעשיה (בסיס 1977 מחולק ב-100)</v>
          </cell>
        </row>
        <row r="67">
          <cell r="A67" t="str">
            <v>תוכנית מספר 1</v>
          </cell>
          <cell r="E67" t="str">
            <v>X</v>
          </cell>
          <cell r="H67" t="e">
            <v>#DIV/0!</v>
          </cell>
        </row>
        <row r="71">
          <cell r="A71" t="str">
            <v>מחזור</v>
          </cell>
          <cell r="D71" t="str">
            <v xml:space="preserve"> </v>
          </cell>
          <cell r="G71" t="str">
            <v>ש"ח</v>
          </cell>
          <cell r="H71" t="str">
            <v>%</v>
          </cell>
        </row>
        <row r="72">
          <cell r="D72" t="str">
            <v xml:space="preserve"> </v>
          </cell>
        </row>
        <row r="73">
          <cell r="A73" t="str">
            <v>תעשיתי רגיל</v>
          </cell>
          <cell r="D73" t="str">
            <v xml:space="preserve"> </v>
          </cell>
          <cell r="G73" t="e">
            <v>#DIV/0!</v>
          </cell>
          <cell r="H73" t="e">
            <v>#DIV/0!</v>
          </cell>
        </row>
        <row r="74">
          <cell r="A74" t="str">
            <v>מפעל מאושר</v>
          </cell>
          <cell r="G74" t="e">
            <v>#REF!</v>
          </cell>
          <cell r="H74" t="e">
            <v>#REF!</v>
          </cell>
        </row>
        <row r="75">
          <cell r="D75" t="str">
            <v xml:space="preserve"> </v>
          </cell>
        </row>
        <row r="76">
          <cell r="A76" t="str">
            <v xml:space="preserve">סה"כ שנתי </v>
          </cell>
          <cell r="D76" t="str">
            <v xml:space="preserve"> </v>
          </cell>
          <cell r="E76" t="e">
            <v>#REF!</v>
          </cell>
          <cell r="G76" t="e">
            <v>#DIV/0!</v>
          </cell>
          <cell r="H76">
            <v>1</v>
          </cell>
        </row>
      </sheetData>
      <sheetData sheetId="19"/>
      <sheetData sheetId="20"/>
      <sheetData sheetId="21"/>
      <sheetData sheetId="22"/>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ial balance 311202"/>
    </sheetNames>
    <sheetDataSet>
      <sheetData sheetId="0">
        <row r="2">
          <cell r="B2" t="str">
            <v>U S DOLLARS</v>
          </cell>
          <cell r="H2" t="str">
            <v>NIS</v>
          </cell>
        </row>
        <row r="3">
          <cell r="A3" t="str">
            <v>CODE</v>
          </cell>
          <cell r="B3" t="str">
            <v>Account</v>
          </cell>
          <cell r="C3" t="str">
            <v>Description</v>
          </cell>
          <cell r="D3" t="str">
            <v>Ending Balance</v>
          </cell>
          <cell r="G3" t="str">
            <v>CODE</v>
          </cell>
          <cell r="H3" t="str">
            <v>Account</v>
          </cell>
          <cell r="I3" t="str">
            <v>Description</v>
          </cell>
          <cell r="J3" t="str">
            <v>Ending Balance</v>
          </cell>
        </row>
        <row r="4">
          <cell r="A4">
            <v>1</v>
          </cell>
          <cell r="B4">
            <v>100101</v>
          </cell>
          <cell r="C4" t="str">
            <v>BANK ACCOUNT 1</v>
          </cell>
          <cell r="D4">
            <v>-228512.39</v>
          </cell>
          <cell r="G4">
            <v>1</v>
          </cell>
          <cell r="H4">
            <v>100101</v>
          </cell>
          <cell r="I4" t="str">
            <v>BANK ACCOUNT 1</v>
          </cell>
          <cell r="J4">
            <v>-856592.7</v>
          </cell>
        </row>
        <row r="5">
          <cell r="A5">
            <v>1</v>
          </cell>
          <cell r="B5">
            <v>100102</v>
          </cell>
          <cell r="C5" t="str">
            <v>BANK ACCOUNT 2</v>
          </cell>
          <cell r="D5">
            <v>383439.37</v>
          </cell>
          <cell r="G5">
            <v>1</v>
          </cell>
          <cell r="H5">
            <v>100102</v>
          </cell>
          <cell r="I5" t="str">
            <v>BANK ACCOUNT 2</v>
          </cell>
          <cell r="J5">
            <v>312092.5</v>
          </cell>
        </row>
        <row r="6">
          <cell r="A6">
            <v>1</v>
          </cell>
          <cell r="B6">
            <v>100103</v>
          </cell>
          <cell r="C6" t="str">
            <v>BANK ACCOUNT 3</v>
          </cell>
          <cell r="D6">
            <v>1500000</v>
          </cell>
          <cell r="G6">
            <v>1</v>
          </cell>
          <cell r="H6">
            <v>100103</v>
          </cell>
          <cell r="I6" t="str">
            <v>BANK ACCOUNT 3</v>
          </cell>
          <cell r="J6">
            <v>7128700.0300000003</v>
          </cell>
        </row>
        <row r="7">
          <cell r="A7">
            <v>1</v>
          </cell>
          <cell r="B7">
            <v>100104</v>
          </cell>
          <cell r="C7" t="str">
            <v>BANK ACCOUNT 4</v>
          </cell>
          <cell r="D7">
            <v>25795.33</v>
          </cell>
          <cell r="G7">
            <v>1</v>
          </cell>
          <cell r="H7">
            <v>100104</v>
          </cell>
          <cell r="J7">
            <v>0</v>
          </cell>
        </row>
        <row r="8">
          <cell r="A8">
            <v>1</v>
          </cell>
          <cell r="B8">
            <v>100107</v>
          </cell>
          <cell r="C8" t="str">
            <v>BANK ACCOUNT 7</v>
          </cell>
          <cell r="D8">
            <v>6052.54</v>
          </cell>
          <cell r="G8">
            <v>1</v>
          </cell>
          <cell r="H8">
            <v>100107</v>
          </cell>
          <cell r="I8" t="str">
            <v>BANK ACCOUNT 7</v>
          </cell>
          <cell r="J8">
            <v>29634.61</v>
          </cell>
        </row>
        <row r="9">
          <cell r="A9">
            <v>1</v>
          </cell>
          <cell r="B9">
            <v>100401</v>
          </cell>
          <cell r="C9" t="str">
            <v>PETTY CASH ACCOUNT 1</v>
          </cell>
          <cell r="D9">
            <v>992.68</v>
          </cell>
          <cell r="G9">
            <v>1</v>
          </cell>
          <cell r="H9">
            <v>100401</v>
          </cell>
          <cell r="I9" t="str">
            <v>PETTY CASH ACCOUNT 1</v>
          </cell>
          <cell r="J9">
            <v>4375.91</v>
          </cell>
        </row>
        <row r="10">
          <cell r="A10">
            <v>2</v>
          </cell>
          <cell r="B10">
            <v>120101</v>
          </cell>
          <cell r="C10" t="str">
            <v>A/R TRADE</v>
          </cell>
          <cell r="D10">
            <v>-164.08</v>
          </cell>
          <cell r="G10">
            <v>2</v>
          </cell>
          <cell r="H10">
            <v>120109</v>
          </cell>
          <cell r="I10" t="str">
            <v>A/R TRADE - OTHER</v>
          </cell>
          <cell r="J10">
            <v>174885</v>
          </cell>
        </row>
        <row r="11">
          <cell r="A11">
            <v>2</v>
          </cell>
          <cell r="B11">
            <v>120109</v>
          </cell>
          <cell r="C11" t="str">
            <v>A/R TRADE - OTHER</v>
          </cell>
          <cell r="D11">
            <v>37876.51</v>
          </cell>
          <cell r="G11">
            <v>4</v>
          </cell>
          <cell r="H11">
            <v>129202</v>
          </cell>
          <cell r="I11" t="str">
            <v>I/C RECEIVABLE - MIS</v>
          </cell>
          <cell r="J11">
            <v>-1213.8399999999999</v>
          </cell>
        </row>
        <row r="12">
          <cell r="A12">
            <v>2</v>
          </cell>
          <cell r="B12">
            <v>120251</v>
          </cell>
          <cell r="C12" t="str">
            <v>A/R EMPLOYEES - MISC</v>
          </cell>
          <cell r="D12">
            <v>1738.04</v>
          </cell>
          <cell r="G12">
            <v>4</v>
          </cell>
          <cell r="H12">
            <v>129202</v>
          </cell>
          <cell r="I12" t="str">
            <v>I/C RECEIVABLE - MIS</v>
          </cell>
          <cell r="J12">
            <v>-15110272</v>
          </cell>
        </row>
        <row r="13">
          <cell r="A13">
            <v>2</v>
          </cell>
          <cell r="B13">
            <v>120254</v>
          </cell>
          <cell r="C13" t="str">
            <v>A/R EMPLOYEE LOANS</v>
          </cell>
          <cell r="D13">
            <v>133.80000000000001</v>
          </cell>
          <cell r="G13">
            <v>4</v>
          </cell>
          <cell r="H13">
            <v>129202</v>
          </cell>
          <cell r="I13" t="str">
            <v>I/C RECEIVABLE - MIS</v>
          </cell>
          <cell r="J13">
            <v>16377073.18</v>
          </cell>
        </row>
        <row r="14">
          <cell r="A14">
            <v>4</v>
          </cell>
          <cell r="B14">
            <v>129202</v>
          </cell>
          <cell r="C14" t="str">
            <v>I/C RECEIVABLE - MIS</v>
          </cell>
          <cell r="D14">
            <v>0</v>
          </cell>
          <cell r="G14">
            <v>4</v>
          </cell>
          <cell r="H14">
            <v>129202</v>
          </cell>
          <cell r="I14" t="str">
            <v>I/C RECEIVABLE - MIS</v>
          </cell>
          <cell r="J14">
            <v>3061.73</v>
          </cell>
        </row>
        <row r="15">
          <cell r="A15">
            <v>4</v>
          </cell>
          <cell r="B15">
            <v>129202</v>
          </cell>
          <cell r="C15" t="str">
            <v>I/C RECEIVABLE - MIS</v>
          </cell>
          <cell r="D15">
            <v>0</v>
          </cell>
          <cell r="G15">
            <v>3</v>
          </cell>
          <cell r="H15">
            <v>150101</v>
          </cell>
          <cell r="I15" t="str">
            <v>PP - MISCELLANEOUS</v>
          </cell>
          <cell r="J15">
            <v>280085.68</v>
          </cell>
        </row>
        <row r="16">
          <cell r="A16">
            <v>4</v>
          </cell>
          <cell r="B16">
            <v>129202</v>
          </cell>
          <cell r="C16" t="str">
            <v>I/C RECEIVABLE - MIS</v>
          </cell>
          <cell r="D16">
            <v>0</v>
          </cell>
          <cell r="G16">
            <v>3</v>
          </cell>
          <cell r="H16">
            <v>150101</v>
          </cell>
          <cell r="I16" t="str">
            <v>PP - MISCELLANEOUS</v>
          </cell>
          <cell r="J16">
            <v>0</v>
          </cell>
        </row>
        <row r="17">
          <cell r="A17">
            <v>3</v>
          </cell>
          <cell r="B17">
            <v>150101</v>
          </cell>
          <cell r="C17" t="str">
            <v>PP - MISCELLANEOUS</v>
          </cell>
          <cell r="D17">
            <v>58718.95</v>
          </cell>
          <cell r="G17">
            <v>3</v>
          </cell>
          <cell r="H17">
            <v>150101</v>
          </cell>
          <cell r="I17" t="str">
            <v>PP - MISCELLANEOUS</v>
          </cell>
          <cell r="J17">
            <v>-15735.65</v>
          </cell>
        </row>
        <row r="18">
          <cell r="A18">
            <v>3</v>
          </cell>
          <cell r="B18">
            <v>150101</v>
          </cell>
          <cell r="C18" t="str">
            <v>PP - MISCELLANEOUS</v>
          </cell>
          <cell r="D18">
            <v>510.69</v>
          </cell>
          <cell r="G18">
            <v>3</v>
          </cell>
          <cell r="H18">
            <v>150102</v>
          </cell>
          <cell r="I18" t="str">
            <v>PP - REAL ESTATE</v>
          </cell>
          <cell r="J18">
            <v>0.05</v>
          </cell>
        </row>
        <row r="19">
          <cell r="A19">
            <v>3</v>
          </cell>
          <cell r="B19">
            <v>150101</v>
          </cell>
          <cell r="C19" t="str">
            <v>PP - MISCELLANEOUS</v>
          </cell>
          <cell r="D19">
            <v>6157.32</v>
          </cell>
          <cell r="G19">
            <v>3</v>
          </cell>
          <cell r="H19">
            <v>150103</v>
          </cell>
          <cell r="I19" t="str">
            <v>PP - MAINT AGREEMENT</v>
          </cell>
          <cell r="J19">
            <v>0</v>
          </cell>
        </row>
        <row r="20">
          <cell r="A20">
            <v>3</v>
          </cell>
          <cell r="B20">
            <v>150102</v>
          </cell>
          <cell r="C20" t="str">
            <v>PP - REAL ESTATE</v>
          </cell>
          <cell r="D20">
            <v>-3243.59</v>
          </cell>
          <cell r="G20">
            <v>3</v>
          </cell>
          <cell r="H20">
            <v>150105</v>
          </cell>
          <cell r="I20" t="str">
            <v>PP - TRAVEL</v>
          </cell>
          <cell r="J20">
            <v>415.93</v>
          </cell>
        </row>
        <row r="21">
          <cell r="A21">
            <v>3</v>
          </cell>
          <cell r="B21">
            <v>150102</v>
          </cell>
          <cell r="C21" t="str">
            <v>PP - REAL ESTATE</v>
          </cell>
          <cell r="D21">
            <v>-5232.8500000000004</v>
          </cell>
          <cell r="G21">
            <v>3</v>
          </cell>
          <cell r="H21">
            <v>150105</v>
          </cell>
          <cell r="I21" t="str">
            <v>PP - TRAVEL</v>
          </cell>
          <cell r="J21">
            <v>0</v>
          </cell>
        </row>
        <row r="22">
          <cell r="A22">
            <v>3</v>
          </cell>
          <cell r="B22">
            <v>150102</v>
          </cell>
          <cell r="C22" t="str">
            <v>PP - REAL ESTATE</v>
          </cell>
          <cell r="D22">
            <v>3256.95</v>
          </cell>
          <cell r="G22">
            <v>3</v>
          </cell>
          <cell r="H22">
            <v>150107</v>
          </cell>
          <cell r="I22" t="str">
            <v>PP - BUSINESS INSURA</v>
          </cell>
          <cell r="J22">
            <v>37768</v>
          </cell>
        </row>
        <row r="23">
          <cell r="A23">
            <v>3</v>
          </cell>
          <cell r="B23">
            <v>150103</v>
          </cell>
          <cell r="C23" t="str">
            <v>PP - MAINT AGREEMENT</v>
          </cell>
          <cell r="D23">
            <v>-1183.21</v>
          </cell>
          <cell r="G23">
            <v>3</v>
          </cell>
          <cell r="H23">
            <v>150107</v>
          </cell>
          <cell r="I23" t="str">
            <v>PP - BUSINESS INSURA</v>
          </cell>
          <cell r="J23">
            <v>0</v>
          </cell>
        </row>
        <row r="24">
          <cell r="A24">
            <v>3</v>
          </cell>
          <cell r="B24">
            <v>150103</v>
          </cell>
          <cell r="C24" t="str">
            <v>PP - MAINT AGREEMENT</v>
          </cell>
          <cell r="D24">
            <v>-374.87</v>
          </cell>
          <cell r="G24">
            <v>5</v>
          </cell>
          <cell r="H24">
            <v>150117</v>
          </cell>
          <cell r="I24" t="str">
            <v>PP - A/P SUPPLIER AD</v>
          </cell>
          <cell r="J24">
            <v>75882.100000000006</v>
          </cell>
        </row>
        <row r="25">
          <cell r="A25">
            <v>3</v>
          </cell>
          <cell r="B25">
            <v>150103</v>
          </cell>
          <cell r="C25" t="str">
            <v>PP - MAINT AGREEMENT</v>
          </cell>
          <cell r="D25">
            <v>-913.04</v>
          </cell>
          <cell r="G25">
            <v>4</v>
          </cell>
          <cell r="H25">
            <v>150122</v>
          </cell>
          <cell r="I25" t="str">
            <v>PP - 1</v>
          </cell>
          <cell r="J25">
            <v>-14014139.939999999</v>
          </cell>
        </row>
        <row r="26">
          <cell r="A26">
            <v>3</v>
          </cell>
          <cell r="B26">
            <v>150105</v>
          </cell>
          <cell r="C26" t="str">
            <v>PP - TRAVEL</v>
          </cell>
          <cell r="D26">
            <v>83.73</v>
          </cell>
          <cell r="G26">
            <v>4</v>
          </cell>
          <cell r="H26">
            <v>150301</v>
          </cell>
          <cell r="I26" t="str">
            <v>INTER/INTRA COMPANY</v>
          </cell>
          <cell r="J26">
            <v>33</v>
          </cell>
        </row>
        <row r="27">
          <cell r="A27">
            <v>3</v>
          </cell>
          <cell r="B27">
            <v>150105</v>
          </cell>
          <cell r="C27" t="str">
            <v>PP - TRAVEL</v>
          </cell>
          <cell r="D27">
            <v>-35.130000000000003</v>
          </cell>
          <cell r="G27">
            <v>4</v>
          </cell>
          <cell r="H27">
            <v>150326</v>
          </cell>
          <cell r="I27" t="str">
            <v>A/P   I/C BALANCING</v>
          </cell>
          <cell r="J27">
            <v>1744.4</v>
          </cell>
        </row>
        <row r="28">
          <cell r="A28">
            <v>3</v>
          </cell>
          <cell r="B28">
            <v>150105</v>
          </cell>
          <cell r="C28" t="str">
            <v>PP - TRAVEL</v>
          </cell>
          <cell r="D28">
            <v>478.74</v>
          </cell>
          <cell r="G28">
            <v>5</v>
          </cell>
          <cell r="H28">
            <v>150502</v>
          </cell>
          <cell r="I28" t="str">
            <v>VAT ON PURCHASES - 1</v>
          </cell>
          <cell r="J28">
            <v>94481.65</v>
          </cell>
        </row>
        <row r="29">
          <cell r="A29">
            <v>3</v>
          </cell>
          <cell r="B29">
            <v>150107</v>
          </cell>
          <cell r="C29" t="str">
            <v>PP - BUSINESS INSURA</v>
          </cell>
          <cell r="D29">
            <v>8095.47</v>
          </cell>
          <cell r="G29">
            <v>5</v>
          </cell>
          <cell r="H29">
            <v>150503</v>
          </cell>
          <cell r="I29" t="str">
            <v>VAT ON PURCHASES - 2</v>
          </cell>
          <cell r="J29">
            <v>9.4499999999999993</v>
          </cell>
        </row>
        <row r="30">
          <cell r="A30">
            <v>3</v>
          </cell>
          <cell r="B30">
            <v>150107</v>
          </cell>
          <cell r="C30" t="str">
            <v>PP - BUSINESS INSURA</v>
          </cell>
          <cell r="D30">
            <v>159.33000000000001</v>
          </cell>
          <cell r="G30">
            <v>5</v>
          </cell>
          <cell r="H30">
            <v>150504</v>
          </cell>
          <cell r="I30" t="str">
            <v>VAT &amp; DUTY DEFERMENT</v>
          </cell>
          <cell r="J30">
            <v>20136.490000000002</v>
          </cell>
        </row>
        <row r="31">
          <cell r="A31">
            <v>5</v>
          </cell>
          <cell r="B31">
            <v>150117</v>
          </cell>
          <cell r="C31" t="str">
            <v>PP - A/P SUPPLIER AD</v>
          </cell>
          <cell r="D31">
            <v>15772.75</v>
          </cell>
          <cell r="G31">
            <v>5</v>
          </cell>
          <cell r="H31">
            <v>150551</v>
          </cell>
          <cell r="I31" t="str">
            <v>VAT ON PURCHASES CLE</v>
          </cell>
          <cell r="J31">
            <v>0.62</v>
          </cell>
        </row>
        <row r="32">
          <cell r="A32">
            <v>4</v>
          </cell>
          <cell r="B32">
            <v>150122</v>
          </cell>
          <cell r="C32" t="str">
            <v>PP - 1</v>
          </cell>
          <cell r="D32">
            <v>-2956444.38</v>
          </cell>
          <cell r="G32">
            <v>6</v>
          </cell>
          <cell r="H32">
            <v>163102</v>
          </cell>
          <cell r="I32" t="str">
            <v>FURNITURE</v>
          </cell>
          <cell r="J32">
            <v>8109</v>
          </cell>
        </row>
        <row r="33">
          <cell r="A33">
            <v>4</v>
          </cell>
          <cell r="B33">
            <v>150301</v>
          </cell>
          <cell r="C33" t="str">
            <v>INTER/INTRA COMPANY</v>
          </cell>
          <cell r="D33">
            <v>0</v>
          </cell>
          <cell r="G33">
            <v>6</v>
          </cell>
          <cell r="H33">
            <v>163102</v>
          </cell>
          <cell r="I33" t="str">
            <v>FURNITURE</v>
          </cell>
          <cell r="J33">
            <v>802264</v>
          </cell>
        </row>
        <row r="34">
          <cell r="A34">
            <v>4</v>
          </cell>
          <cell r="B34">
            <v>150326</v>
          </cell>
          <cell r="C34" t="str">
            <v>A/P   I/C BALANCING</v>
          </cell>
          <cell r="D34">
            <v>-6425.18</v>
          </cell>
          <cell r="G34">
            <v>6</v>
          </cell>
          <cell r="H34">
            <v>163102</v>
          </cell>
          <cell r="I34" t="str">
            <v>FURNITURE</v>
          </cell>
          <cell r="J34">
            <v>786249</v>
          </cell>
        </row>
        <row r="35">
          <cell r="A35">
            <v>5</v>
          </cell>
          <cell r="B35">
            <v>150502</v>
          </cell>
          <cell r="C35" t="str">
            <v>VAT ON PURCHASES - 1</v>
          </cell>
          <cell r="D35">
            <v>22413.95</v>
          </cell>
          <cell r="G35">
            <v>6</v>
          </cell>
          <cell r="H35">
            <v>163202</v>
          </cell>
          <cell r="I35" t="str">
            <v>CAP INVENTORY</v>
          </cell>
          <cell r="J35">
            <v>29745153</v>
          </cell>
        </row>
        <row r="36">
          <cell r="A36">
            <v>5</v>
          </cell>
          <cell r="B36">
            <v>150503</v>
          </cell>
          <cell r="C36" t="str">
            <v>VAT ON PURCHASES - 2</v>
          </cell>
          <cell r="D36">
            <v>1.84</v>
          </cell>
          <cell r="G36">
            <v>6</v>
          </cell>
          <cell r="H36">
            <v>163202</v>
          </cell>
          <cell r="I36" t="str">
            <v>CAP INVENTORY</v>
          </cell>
          <cell r="J36">
            <v>2316398</v>
          </cell>
        </row>
        <row r="37">
          <cell r="A37">
            <v>5</v>
          </cell>
          <cell r="B37">
            <v>150504</v>
          </cell>
          <cell r="C37" t="str">
            <v>VAT &amp; DUTY DEFERMENT</v>
          </cell>
          <cell r="D37">
            <v>4511.07</v>
          </cell>
          <cell r="G37">
            <v>6</v>
          </cell>
          <cell r="H37">
            <v>163202</v>
          </cell>
          <cell r="I37" t="str">
            <v>CAP INVENTORY</v>
          </cell>
          <cell r="J37">
            <v>145888</v>
          </cell>
        </row>
        <row r="38">
          <cell r="A38">
            <v>5</v>
          </cell>
          <cell r="B38">
            <v>150551</v>
          </cell>
          <cell r="C38" t="str">
            <v>VAT ON PURCHASES CLE</v>
          </cell>
          <cell r="D38">
            <v>-0.13</v>
          </cell>
          <cell r="G38">
            <v>6</v>
          </cell>
          <cell r="H38">
            <v>163221</v>
          </cell>
          <cell r="I38" t="str">
            <v>FA CLEARING - COMP E</v>
          </cell>
          <cell r="J38">
            <v>-41067.519999999997</v>
          </cell>
        </row>
        <row r="39">
          <cell r="A39">
            <v>6</v>
          </cell>
          <cell r="B39">
            <v>163102</v>
          </cell>
          <cell r="C39" t="str">
            <v>FURNITURE</v>
          </cell>
          <cell r="D39">
            <v>196124</v>
          </cell>
          <cell r="G39">
            <v>6</v>
          </cell>
          <cell r="H39">
            <v>163221</v>
          </cell>
          <cell r="I39" t="str">
            <v>FA CLEARING - COMP E</v>
          </cell>
          <cell r="J39">
            <v>-90810.4</v>
          </cell>
        </row>
        <row r="40">
          <cell r="A40">
            <v>6</v>
          </cell>
          <cell r="B40">
            <v>163102</v>
          </cell>
          <cell r="C40" t="str">
            <v>FURNITURE</v>
          </cell>
          <cell r="D40">
            <v>2690</v>
          </cell>
          <cell r="G40">
            <v>6</v>
          </cell>
          <cell r="H40">
            <v>163222</v>
          </cell>
          <cell r="I40" t="str">
            <v>COMP EQUIPMENT</v>
          </cell>
          <cell r="J40">
            <v>734874.05</v>
          </cell>
        </row>
        <row r="41">
          <cell r="A41">
            <v>6</v>
          </cell>
          <cell r="B41">
            <v>163102</v>
          </cell>
          <cell r="C41" t="str">
            <v>FURNITURE</v>
          </cell>
          <cell r="D41">
            <v>264915</v>
          </cell>
          <cell r="G41">
            <v>6</v>
          </cell>
          <cell r="H41">
            <v>163222</v>
          </cell>
          <cell r="I41" t="str">
            <v>COMP EQUIPMENT</v>
          </cell>
          <cell r="J41">
            <v>10706052.890000001</v>
          </cell>
        </row>
        <row r="42">
          <cell r="A42">
            <v>6</v>
          </cell>
          <cell r="B42">
            <v>163202</v>
          </cell>
          <cell r="C42" t="str">
            <v>CAP INVENTORY</v>
          </cell>
          <cell r="D42">
            <v>7404694</v>
          </cell>
          <cell r="G42">
            <v>6</v>
          </cell>
          <cell r="H42">
            <v>163222</v>
          </cell>
          <cell r="I42" t="str">
            <v>COMP EQUIPMENT</v>
          </cell>
          <cell r="J42">
            <v>610346</v>
          </cell>
        </row>
        <row r="43">
          <cell r="A43">
            <v>6</v>
          </cell>
          <cell r="B43">
            <v>163202</v>
          </cell>
          <cell r="C43" t="str">
            <v>CAP INVENTORY</v>
          </cell>
          <cell r="D43">
            <v>738052</v>
          </cell>
          <cell r="G43">
            <v>6</v>
          </cell>
          <cell r="H43">
            <v>163222</v>
          </cell>
          <cell r="I43" t="str">
            <v>COMP EQUIPMENT</v>
          </cell>
          <cell r="J43">
            <v>4435852</v>
          </cell>
        </row>
        <row r="44">
          <cell r="A44">
            <v>6</v>
          </cell>
          <cell r="B44">
            <v>163202</v>
          </cell>
          <cell r="C44" t="str">
            <v>CAP INVENTORY</v>
          </cell>
          <cell r="D44">
            <v>50559</v>
          </cell>
          <cell r="G44">
            <v>6</v>
          </cell>
          <cell r="H44">
            <v>163222</v>
          </cell>
          <cell r="I44" t="str">
            <v>COMP EQUIPMENT</v>
          </cell>
          <cell r="J44">
            <v>1139874.46</v>
          </cell>
        </row>
        <row r="45">
          <cell r="A45">
            <v>6</v>
          </cell>
          <cell r="B45">
            <v>163221</v>
          </cell>
          <cell r="C45" t="str">
            <v>FA CLEARING - COMP E</v>
          </cell>
          <cell r="D45">
            <v>-8923.84</v>
          </cell>
          <cell r="G45">
            <v>6</v>
          </cell>
          <cell r="H45">
            <v>163231</v>
          </cell>
          <cell r="I45" t="str">
            <v>FA CLEARING - EQUIPM</v>
          </cell>
          <cell r="J45">
            <v>0</v>
          </cell>
        </row>
        <row r="46">
          <cell r="A46">
            <v>6</v>
          </cell>
          <cell r="B46">
            <v>163221</v>
          </cell>
          <cell r="C46" t="str">
            <v>FA CLEARING - COMP E</v>
          </cell>
          <cell r="D46">
            <v>-19666.25</v>
          </cell>
          <cell r="G46">
            <v>6</v>
          </cell>
          <cell r="H46">
            <v>163231</v>
          </cell>
          <cell r="I46" t="str">
            <v>FA CLEARING - EQUIPM</v>
          </cell>
          <cell r="J46">
            <v>27359.37</v>
          </cell>
        </row>
        <row r="47">
          <cell r="A47">
            <v>6</v>
          </cell>
          <cell r="B47">
            <v>163222</v>
          </cell>
          <cell r="C47" t="str">
            <v>COMP EQUIPMENT</v>
          </cell>
          <cell r="D47">
            <v>159685.79999999999</v>
          </cell>
          <cell r="G47">
            <v>6</v>
          </cell>
          <cell r="H47">
            <v>163232</v>
          </cell>
          <cell r="I47" t="str">
            <v>EQUIPMENT</v>
          </cell>
          <cell r="J47">
            <v>17146648.75</v>
          </cell>
        </row>
        <row r="48">
          <cell r="A48">
            <v>6</v>
          </cell>
          <cell r="B48">
            <v>163222</v>
          </cell>
          <cell r="C48" t="str">
            <v>COMP EQUIPMENT</v>
          </cell>
          <cell r="D48">
            <v>2716080.38</v>
          </cell>
          <cell r="G48">
            <v>6</v>
          </cell>
          <cell r="H48">
            <v>163232</v>
          </cell>
          <cell r="I48" t="str">
            <v>EQUIPMENT</v>
          </cell>
          <cell r="J48">
            <v>1016061</v>
          </cell>
        </row>
        <row r="49">
          <cell r="A49">
            <v>6</v>
          </cell>
          <cell r="B49">
            <v>163222</v>
          </cell>
          <cell r="C49" t="str">
            <v>COMP EQUIPMENT</v>
          </cell>
          <cell r="D49">
            <v>198215</v>
          </cell>
          <cell r="G49">
            <v>6</v>
          </cell>
          <cell r="H49">
            <v>163232</v>
          </cell>
          <cell r="I49" t="str">
            <v>EQUIPMENT</v>
          </cell>
          <cell r="J49">
            <v>4914646</v>
          </cell>
        </row>
        <row r="50">
          <cell r="A50">
            <v>6</v>
          </cell>
          <cell r="B50">
            <v>163222</v>
          </cell>
          <cell r="C50" t="str">
            <v>COMP EQUIPMENT</v>
          </cell>
          <cell r="D50">
            <v>1469506</v>
          </cell>
          <cell r="G50">
            <v>6</v>
          </cell>
          <cell r="H50">
            <v>163232</v>
          </cell>
          <cell r="I50" t="str">
            <v>EQUIPMENT</v>
          </cell>
          <cell r="J50">
            <v>59582.75</v>
          </cell>
        </row>
        <row r="51">
          <cell r="A51">
            <v>6</v>
          </cell>
          <cell r="B51">
            <v>163222</v>
          </cell>
          <cell r="C51" t="str">
            <v>COMP EQUIPMENT</v>
          </cell>
          <cell r="D51">
            <v>237356.82</v>
          </cell>
          <cell r="G51">
            <v>6</v>
          </cell>
          <cell r="H51">
            <v>163241</v>
          </cell>
          <cell r="I51" t="str">
            <v>FA CLEARING - SOFTWA</v>
          </cell>
          <cell r="J51">
            <v>0</v>
          </cell>
        </row>
        <row r="52">
          <cell r="A52">
            <v>6</v>
          </cell>
          <cell r="B52">
            <v>163231</v>
          </cell>
          <cell r="C52" t="str">
            <v>FA CLEARING - EQUIPM</v>
          </cell>
          <cell r="D52">
            <v>0</v>
          </cell>
          <cell r="G52">
            <v>6</v>
          </cell>
          <cell r="H52">
            <v>163241</v>
          </cell>
          <cell r="I52" t="str">
            <v>FA CLEARING - SOFTWA</v>
          </cell>
          <cell r="J52">
            <v>54491.53</v>
          </cell>
        </row>
        <row r="53">
          <cell r="A53">
            <v>6</v>
          </cell>
          <cell r="B53">
            <v>163231</v>
          </cell>
          <cell r="C53" t="str">
            <v>FA CLEARING - EQUIPM</v>
          </cell>
          <cell r="D53">
            <v>5764.72</v>
          </cell>
          <cell r="G53">
            <v>6</v>
          </cell>
          <cell r="H53">
            <v>163242</v>
          </cell>
          <cell r="I53" t="str">
            <v>SOFTWARE</v>
          </cell>
          <cell r="J53">
            <v>1411552.54</v>
          </cell>
        </row>
        <row r="54">
          <cell r="A54">
            <v>6</v>
          </cell>
          <cell r="B54">
            <v>163232</v>
          </cell>
          <cell r="C54" t="str">
            <v>EQUIPMENT</v>
          </cell>
          <cell r="D54">
            <v>4248116.58</v>
          </cell>
          <cell r="G54">
            <v>6</v>
          </cell>
          <cell r="H54">
            <v>163242</v>
          </cell>
          <cell r="I54" t="str">
            <v>SOFTWARE</v>
          </cell>
          <cell r="J54">
            <v>9356</v>
          </cell>
        </row>
        <row r="55">
          <cell r="A55">
            <v>6</v>
          </cell>
          <cell r="B55">
            <v>163232</v>
          </cell>
          <cell r="C55" t="str">
            <v>EQUIPMENT</v>
          </cell>
          <cell r="D55">
            <v>326246</v>
          </cell>
          <cell r="G55">
            <v>6</v>
          </cell>
          <cell r="H55">
            <v>163242</v>
          </cell>
          <cell r="I55" t="str">
            <v>SOFTWARE</v>
          </cell>
          <cell r="J55">
            <v>1209936</v>
          </cell>
        </row>
        <row r="56">
          <cell r="A56">
            <v>6</v>
          </cell>
          <cell r="B56">
            <v>163232</v>
          </cell>
          <cell r="C56" t="str">
            <v>EQUIPMENT</v>
          </cell>
          <cell r="D56">
            <v>1666006</v>
          </cell>
          <cell r="G56">
            <v>6</v>
          </cell>
          <cell r="H56">
            <v>163242</v>
          </cell>
          <cell r="I56" t="str">
            <v>SOFTWARE</v>
          </cell>
          <cell r="J56">
            <v>269109.90999999997</v>
          </cell>
        </row>
        <row r="57">
          <cell r="A57">
            <v>6</v>
          </cell>
          <cell r="B57">
            <v>163232</v>
          </cell>
          <cell r="C57" t="str">
            <v>EQUIPMENT</v>
          </cell>
          <cell r="D57">
            <v>12115.24</v>
          </cell>
          <cell r="G57">
            <v>6</v>
          </cell>
          <cell r="H57">
            <v>163302</v>
          </cell>
          <cell r="I57" t="str">
            <v>VEHICLES</v>
          </cell>
          <cell r="J57">
            <v>0.11</v>
          </cell>
        </row>
        <row r="58">
          <cell r="A58">
            <v>6</v>
          </cell>
          <cell r="B58">
            <v>163241</v>
          </cell>
          <cell r="C58" t="str">
            <v>FA CLEARING - SOFTWA</v>
          </cell>
          <cell r="D58">
            <v>0</v>
          </cell>
          <cell r="G58">
            <v>6</v>
          </cell>
          <cell r="H58">
            <v>163302</v>
          </cell>
          <cell r="I58" t="str">
            <v>VEHICLES</v>
          </cell>
          <cell r="J58">
            <v>219325</v>
          </cell>
        </row>
        <row r="59">
          <cell r="A59">
            <v>6</v>
          </cell>
          <cell r="B59">
            <v>163241</v>
          </cell>
          <cell r="C59" t="str">
            <v>FA CLEARING - SOFTWA</v>
          </cell>
          <cell r="D59">
            <v>11617.76</v>
          </cell>
          <cell r="G59">
            <v>6</v>
          </cell>
          <cell r="H59">
            <v>165601</v>
          </cell>
          <cell r="I59" t="str">
            <v>FA CLEARING - LEASEH</v>
          </cell>
          <cell r="J59">
            <v>39614.39</v>
          </cell>
        </row>
        <row r="60">
          <cell r="A60">
            <v>6</v>
          </cell>
          <cell r="B60">
            <v>163242</v>
          </cell>
          <cell r="C60" t="str">
            <v>SOFTWARE</v>
          </cell>
          <cell r="D60">
            <v>355440.3</v>
          </cell>
          <cell r="G60">
            <v>6</v>
          </cell>
          <cell r="H60">
            <v>165602</v>
          </cell>
          <cell r="I60" t="str">
            <v>LEASEHOLD</v>
          </cell>
          <cell r="J60">
            <v>-40000</v>
          </cell>
        </row>
        <row r="61">
          <cell r="A61">
            <v>6</v>
          </cell>
          <cell r="B61">
            <v>163242</v>
          </cell>
          <cell r="C61" t="str">
            <v>SOFTWARE</v>
          </cell>
          <cell r="D61">
            <v>3112</v>
          </cell>
          <cell r="G61">
            <v>6</v>
          </cell>
          <cell r="H61">
            <v>165602</v>
          </cell>
          <cell r="I61" t="str">
            <v>LEASEHOLD</v>
          </cell>
          <cell r="J61">
            <v>7270663.2800000003</v>
          </cell>
        </row>
        <row r="62">
          <cell r="A62">
            <v>6</v>
          </cell>
          <cell r="B62">
            <v>163242</v>
          </cell>
          <cell r="C62" t="str">
            <v>SOFTWARE</v>
          </cell>
          <cell r="D62">
            <v>406437</v>
          </cell>
          <cell r="G62">
            <v>6</v>
          </cell>
          <cell r="H62">
            <v>165602</v>
          </cell>
          <cell r="I62" t="str">
            <v>LEASEHOLD</v>
          </cell>
          <cell r="J62">
            <v>89031.6</v>
          </cell>
        </row>
        <row r="63">
          <cell r="A63">
            <v>6</v>
          </cell>
          <cell r="B63">
            <v>163242</v>
          </cell>
          <cell r="C63" t="str">
            <v>SOFTWARE</v>
          </cell>
          <cell r="D63">
            <v>55371.25</v>
          </cell>
          <cell r="G63">
            <v>6</v>
          </cell>
          <cell r="H63">
            <v>165602</v>
          </cell>
          <cell r="I63" t="str">
            <v>LEASEHOLD</v>
          </cell>
          <cell r="J63">
            <v>1334545</v>
          </cell>
        </row>
        <row r="64">
          <cell r="A64">
            <v>6</v>
          </cell>
          <cell r="B64">
            <v>163302</v>
          </cell>
          <cell r="C64" t="str">
            <v>VEHICLES</v>
          </cell>
          <cell r="D64">
            <v>0</v>
          </cell>
          <cell r="G64">
            <v>6</v>
          </cell>
          <cell r="H64">
            <v>165602</v>
          </cell>
          <cell r="I64" t="str">
            <v>LEASEHOLD</v>
          </cell>
          <cell r="J64">
            <v>46482.22</v>
          </cell>
        </row>
        <row r="65">
          <cell r="A65">
            <v>6</v>
          </cell>
          <cell r="B65">
            <v>163302</v>
          </cell>
          <cell r="C65" t="str">
            <v>VEHICLES</v>
          </cell>
          <cell r="D65">
            <v>72609</v>
          </cell>
          <cell r="G65">
            <v>7</v>
          </cell>
          <cell r="H65">
            <v>173102</v>
          </cell>
          <cell r="I65" t="str">
            <v>ACC DEP - FURNITURE</v>
          </cell>
          <cell r="J65">
            <v>0</v>
          </cell>
        </row>
        <row r="66">
          <cell r="A66">
            <v>6</v>
          </cell>
          <cell r="B66">
            <v>165601</v>
          </cell>
          <cell r="C66" t="str">
            <v>FA CLEARING - LEASEH</v>
          </cell>
          <cell r="D66">
            <v>8568.98</v>
          </cell>
          <cell r="G66">
            <v>7</v>
          </cell>
          <cell r="H66">
            <v>173102</v>
          </cell>
          <cell r="I66" t="str">
            <v>ACC DEP - FURNITURE</v>
          </cell>
          <cell r="J66">
            <v>-332789.63</v>
          </cell>
        </row>
        <row r="67">
          <cell r="A67">
            <v>6</v>
          </cell>
          <cell r="B67">
            <v>165602</v>
          </cell>
          <cell r="C67" t="str">
            <v>LEASEHOLD</v>
          </cell>
          <cell r="D67">
            <v>-8652.39</v>
          </cell>
          <cell r="G67">
            <v>7</v>
          </cell>
          <cell r="H67">
            <v>173102</v>
          </cell>
          <cell r="I67" t="str">
            <v>ACC DEP - FURNITURE</v>
          </cell>
          <cell r="J67">
            <v>-9834.3700000000008</v>
          </cell>
        </row>
        <row r="68">
          <cell r="A68">
            <v>6</v>
          </cell>
          <cell r="B68">
            <v>165602</v>
          </cell>
          <cell r="C68" t="str">
            <v>LEASEHOLD</v>
          </cell>
          <cell r="D68">
            <v>1813355.28</v>
          </cell>
          <cell r="G68">
            <v>7</v>
          </cell>
          <cell r="H68">
            <v>173102</v>
          </cell>
          <cell r="I68" t="str">
            <v>ACC DEP - FURNITURE</v>
          </cell>
          <cell r="J68">
            <v>-8109</v>
          </cell>
        </row>
        <row r="69">
          <cell r="A69">
            <v>6</v>
          </cell>
          <cell r="B69">
            <v>165602</v>
          </cell>
          <cell r="C69" t="str">
            <v>LEASEHOLD</v>
          </cell>
          <cell r="D69">
            <v>23966.79</v>
          </cell>
          <cell r="G69">
            <v>7</v>
          </cell>
          <cell r="H69">
            <v>173102</v>
          </cell>
          <cell r="I69" t="str">
            <v>ACC DEP - FURNITURE</v>
          </cell>
          <cell r="J69">
            <v>-773620</v>
          </cell>
        </row>
        <row r="70">
          <cell r="A70">
            <v>6</v>
          </cell>
          <cell r="B70">
            <v>165602</v>
          </cell>
          <cell r="C70" t="str">
            <v>LEASEHOLD</v>
          </cell>
          <cell r="D70">
            <v>447108</v>
          </cell>
          <cell r="G70">
            <v>7</v>
          </cell>
          <cell r="H70">
            <v>173202</v>
          </cell>
          <cell r="I70" t="str">
            <v>ACC DEP - CAP INV</v>
          </cell>
          <cell r="J70">
            <v>-25147689.219999999</v>
          </cell>
        </row>
        <row r="71">
          <cell r="A71">
            <v>6</v>
          </cell>
          <cell r="B71">
            <v>165602</v>
          </cell>
          <cell r="C71" t="str">
            <v>LEASEHOLD</v>
          </cell>
          <cell r="D71">
            <v>9803.57</v>
          </cell>
          <cell r="G71">
            <v>7</v>
          </cell>
          <cell r="H71">
            <v>173202</v>
          </cell>
          <cell r="I71" t="str">
            <v>ACC DEP - CAP INV</v>
          </cell>
          <cell r="J71">
            <v>-2316398.04</v>
          </cell>
        </row>
        <row r="72">
          <cell r="A72">
            <v>7</v>
          </cell>
          <cell r="B72">
            <v>173102</v>
          </cell>
          <cell r="C72" t="str">
            <v>ACC DEP - FURNITURE</v>
          </cell>
          <cell r="D72">
            <v>-81712.83</v>
          </cell>
          <cell r="G72">
            <v>7</v>
          </cell>
          <cell r="H72">
            <v>173202</v>
          </cell>
          <cell r="I72" t="str">
            <v>ACC DEP - CAP INV</v>
          </cell>
          <cell r="J72">
            <v>-145888</v>
          </cell>
        </row>
        <row r="73">
          <cell r="A73">
            <v>7</v>
          </cell>
          <cell r="B73">
            <v>173102</v>
          </cell>
          <cell r="C73" t="str">
            <v>ACC DEP - FURNITURE</v>
          </cell>
          <cell r="D73">
            <v>-3420.67</v>
          </cell>
          <cell r="G73">
            <v>7</v>
          </cell>
          <cell r="H73">
            <v>173222</v>
          </cell>
          <cell r="I73" t="str">
            <v>ACC DEP - COMP EQUIP</v>
          </cell>
          <cell r="J73">
            <v>-8558675.4900000002</v>
          </cell>
        </row>
        <row r="74">
          <cell r="A74">
            <v>7</v>
          </cell>
          <cell r="B74">
            <v>173102</v>
          </cell>
          <cell r="C74" t="str">
            <v>ACC DEP - FURNITURE</v>
          </cell>
          <cell r="D74">
            <v>-2690</v>
          </cell>
          <cell r="G74">
            <v>7</v>
          </cell>
          <cell r="H74">
            <v>173222</v>
          </cell>
          <cell r="I74" t="str">
            <v>ACC DEP - COMP EQUIP</v>
          </cell>
          <cell r="J74">
            <v>6220418.9000000004</v>
          </cell>
        </row>
        <row r="75">
          <cell r="A75">
            <v>7</v>
          </cell>
          <cell r="B75">
            <v>173102</v>
          </cell>
          <cell r="C75" t="str">
            <v>ACC DEP - FURNITURE</v>
          </cell>
          <cell r="D75">
            <v>-260817</v>
          </cell>
          <cell r="G75">
            <v>7</v>
          </cell>
          <cell r="H75">
            <v>173222</v>
          </cell>
          <cell r="I75" t="str">
            <v>ACC DEP - COMP EQUIP</v>
          </cell>
          <cell r="J75">
            <v>-6220418.9000000004</v>
          </cell>
        </row>
        <row r="76">
          <cell r="A76">
            <v>7</v>
          </cell>
          <cell r="B76">
            <v>173202</v>
          </cell>
          <cell r="C76" t="str">
            <v>ACC DEP - CAP INV</v>
          </cell>
          <cell r="D76">
            <v>-6291665.1100000003</v>
          </cell>
          <cell r="G76">
            <v>7</v>
          </cell>
          <cell r="H76">
            <v>173222</v>
          </cell>
          <cell r="I76" t="str">
            <v>ACC DEP - COMP EQUIP</v>
          </cell>
          <cell r="J76">
            <v>-610346.35</v>
          </cell>
        </row>
        <row r="77">
          <cell r="A77">
            <v>7</v>
          </cell>
          <cell r="B77">
            <v>173202</v>
          </cell>
          <cell r="C77" t="str">
            <v>ACC DEP - CAP INV</v>
          </cell>
          <cell r="D77">
            <v>-738052</v>
          </cell>
          <cell r="G77">
            <v>7</v>
          </cell>
          <cell r="H77">
            <v>173222</v>
          </cell>
          <cell r="I77" t="str">
            <v>ACC DEP - COMP EQUIP</v>
          </cell>
          <cell r="J77">
            <v>-4435852</v>
          </cell>
        </row>
        <row r="78">
          <cell r="A78">
            <v>7</v>
          </cell>
          <cell r="B78">
            <v>173202</v>
          </cell>
          <cell r="C78" t="str">
            <v>ACC DEP - CAP INV</v>
          </cell>
          <cell r="D78">
            <v>-50559</v>
          </cell>
          <cell r="G78">
            <v>7</v>
          </cell>
          <cell r="H78">
            <v>173222</v>
          </cell>
          <cell r="I78" t="str">
            <v>ACC DEP - COMP EQUIP</v>
          </cell>
          <cell r="J78">
            <v>-240094.88</v>
          </cell>
        </row>
        <row r="79">
          <cell r="A79">
            <v>7</v>
          </cell>
          <cell r="B79">
            <v>173222</v>
          </cell>
          <cell r="C79" t="str">
            <v>ACC DEP - COMP EQUIP</v>
          </cell>
          <cell r="D79">
            <v>-2229594.4700000002</v>
          </cell>
          <cell r="G79">
            <v>7</v>
          </cell>
          <cell r="H79">
            <v>173232</v>
          </cell>
          <cell r="I79" t="str">
            <v>ACC DEP - EQUIPMENT</v>
          </cell>
          <cell r="J79">
            <v>-14070134.810000001</v>
          </cell>
        </row>
        <row r="80">
          <cell r="A80">
            <v>7</v>
          </cell>
          <cell r="B80">
            <v>173222</v>
          </cell>
          <cell r="C80" t="str">
            <v>ACC DEP - COMP EQUIP</v>
          </cell>
          <cell r="D80">
            <v>-198215</v>
          </cell>
          <cell r="G80">
            <v>7</v>
          </cell>
          <cell r="H80">
            <v>173232</v>
          </cell>
          <cell r="I80" t="str">
            <v>ACC DEP - EQUIPMENT</v>
          </cell>
          <cell r="J80">
            <v>-8038.5</v>
          </cell>
        </row>
        <row r="81">
          <cell r="A81">
            <v>7</v>
          </cell>
          <cell r="B81">
            <v>173222</v>
          </cell>
          <cell r="C81" t="str">
            <v>ACC DEP - COMP EQUIP</v>
          </cell>
          <cell r="D81">
            <v>-1469506</v>
          </cell>
          <cell r="G81">
            <v>7</v>
          </cell>
          <cell r="H81">
            <v>173232</v>
          </cell>
          <cell r="I81" t="str">
            <v>ACC DEP - EQUIPMENT</v>
          </cell>
          <cell r="J81">
            <v>-1015894.68</v>
          </cell>
        </row>
        <row r="82">
          <cell r="A82">
            <v>7</v>
          </cell>
          <cell r="B82">
            <v>173222</v>
          </cell>
          <cell r="C82" t="str">
            <v>ACC DEP - COMP EQUIP</v>
          </cell>
          <cell r="D82">
            <v>-50036.7</v>
          </cell>
          <cell r="G82">
            <v>7</v>
          </cell>
          <cell r="H82">
            <v>173232</v>
          </cell>
          <cell r="I82" t="str">
            <v>ACC DEP - EQUIPMENT</v>
          </cell>
          <cell r="J82">
            <v>-4906608</v>
          </cell>
        </row>
        <row r="83">
          <cell r="A83">
            <v>7</v>
          </cell>
          <cell r="B83">
            <v>173232</v>
          </cell>
          <cell r="C83" t="str">
            <v>ACC DEP - EQUIPMENT</v>
          </cell>
          <cell r="D83">
            <v>-3511013.35</v>
          </cell>
          <cell r="G83">
            <v>7</v>
          </cell>
          <cell r="H83">
            <v>173232</v>
          </cell>
          <cell r="I83" t="str">
            <v>ACC DEP - EQUIPMENT</v>
          </cell>
          <cell r="J83">
            <v>-14895.67</v>
          </cell>
        </row>
        <row r="84">
          <cell r="A84">
            <v>7</v>
          </cell>
          <cell r="B84">
            <v>173232</v>
          </cell>
          <cell r="C84" t="str">
            <v>ACC DEP - EQUIPMENT</v>
          </cell>
          <cell r="D84">
            <v>-2450</v>
          </cell>
          <cell r="G84">
            <v>7</v>
          </cell>
          <cell r="H84">
            <v>173242</v>
          </cell>
          <cell r="I84" t="str">
            <v>ACC DEP - SOFTWARE</v>
          </cell>
          <cell r="J84">
            <v>-1025904.42</v>
          </cell>
        </row>
        <row r="85">
          <cell r="A85">
            <v>7</v>
          </cell>
          <cell r="B85">
            <v>173232</v>
          </cell>
          <cell r="C85" t="str">
            <v>ACC DEP - EQUIPMENT</v>
          </cell>
          <cell r="D85">
            <v>-326200</v>
          </cell>
          <cell r="G85">
            <v>7</v>
          </cell>
          <cell r="H85">
            <v>173242</v>
          </cell>
          <cell r="I85" t="str">
            <v>ACC DEP - SOFTWARE</v>
          </cell>
          <cell r="J85">
            <v>-9356</v>
          </cell>
        </row>
        <row r="86">
          <cell r="A86">
            <v>7</v>
          </cell>
          <cell r="B86">
            <v>173232</v>
          </cell>
          <cell r="C86" t="str">
            <v>ACC DEP - EQUIPMENT</v>
          </cell>
          <cell r="D86">
            <v>-1663556</v>
          </cell>
          <cell r="G86">
            <v>7</v>
          </cell>
          <cell r="H86">
            <v>173242</v>
          </cell>
          <cell r="I86" t="str">
            <v>ACC DEP - SOFTWARE</v>
          </cell>
          <cell r="J86">
            <v>-1209936</v>
          </cell>
        </row>
        <row r="87">
          <cell r="A87">
            <v>7</v>
          </cell>
          <cell r="B87">
            <v>173232</v>
          </cell>
          <cell r="C87" t="str">
            <v>ACC DEP - EQUIPMENT</v>
          </cell>
          <cell r="D87">
            <v>-3028.81</v>
          </cell>
          <cell r="G87">
            <v>7</v>
          </cell>
          <cell r="H87">
            <v>173242</v>
          </cell>
          <cell r="I87" t="str">
            <v>ACC DEP - SOFTWARE</v>
          </cell>
          <cell r="J87">
            <v>-50074.080000000002</v>
          </cell>
        </row>
        <row r="88">
          <cell r="A88">
            <v>7</v>
          </cell>
          <cell r="B88">
            <v>173242</v>
          </cell>
          <cell r="C88" t="str">
            <v>ACC DEP - SOFTWARE</v>
          </cell>
          <cell r="D88">
            <v>-263165.90999999997</v>
          </cell>
          <cell r="G88">
            <v>7</v>
          </cell>
          <cell r="H88">
            <v>173302</v>
          </cell>
          <cell r="I88" t="str">
            <v>ACC DEP - VEHICLES</v>
          </cell>
          <cell r="J88">
            <v>0.11</v>
          </cell>
        </row>
        <row r="89">
          <cell r="A89">
            <v>7</v>
          </cell>
          <cell r="B89">
            <v>173242</v>
          </cell>
          <cell r="C89" t="str">
            <v>ACC DEP - SOFTWARE</v>
          </cell>
          <cell r="D89">
            <v>-3112</v>
          </cell>
          <cell r="G89">
            <v>7</v>
          </cell>
          <cell r="H89">
            <v>173302</v>
          </cell>
          <cell r="I89" t="str">
            <v>ACC DEP - VEHICLES</v>
          </cell>
          <cell r="J89">
            <v>-219325</v>
          </cell>
        </row>
        <row r="90">
          <cell r="A90">
            <v>7</v>
          </cell>
          <cell r="B90">
            <v>173242</v>
          </cell>
          <cell r="C90" t="str">
            <v>ACC DEP - SOFTWARE</v>
          </cell>
          <cell r="D90">
            <v>-406437</v>
          </cell>
          <cell r="G90">
            <v>7</v>
          </cell>
          <cell r="H90">
            <v>175602</v>
          </cell>
          <cell r="I90" t="str">
            <v>ACC DEP - LEASEHOLD</v>
          </cell>
          <cell r="J90">
            <v>-4686995.09</v>
          </cell>
        </row>
        <row r="91">
          <cell r="A91">
            <v>7</v>
          </cell>
          <cell r="B91">
            <v>173242</v>
          </cell>
          <cell r="C91" t="str">
            <v>ACC DEP - SOFTWARE</v>
          </cell>
          <cell r="D91">
            <v>-10267.51</v>
          </cell>
          <cell r="G91">
            <v>7</v>
          </cell>
          <cell r="H91">
            <v>175602</v>
          </cell>
          <cell r="I91" t="str">
            <v>ACC DEP - LEASEHOLD</v>
          </cell>
          <cell r="J91">
            <v>-64322.89</v>
          </cell>
        </row>
        <row r="92">
          <cell r="A92">
            <v>7</v>
          </cell>
          <cell r="B92">
            <v>173302</v>
          </cell>
          <cell r="C92" t="str">
            <v>ACC DEP - VEHICLES</v>
          </cell>
          <cell r="D92">
            <v>0</v>
          </cell>
          <cell r="G92">
            <v>7</v>
          </cell>
          <cell r="H92">
            <v>175602</v>
          </cell>
          <cell r="I92" t="str">
            <v>ACC DEP - LEASEHOLD</v>
          </cell>
          <cell r="J92">
            <v>-1334545</v>
          </cell>
        </row>
        <row r="93">
          <cell r="A93">
            <v>7</v>
          </cell>
          <cell r="B93">
            <v>173302</v>
          </cell>
          <cell r="C93" t="str">
            <v>ACC DEP - VEHICLES</v>
          </cell>
          <cell r="D93">
            <v>-72609</v>
          </cell>
          <cell r="G93">
            <v>7</v>
          </cell>
          <cell r="H93">
            <v>175602</v>
          </cell>
          <cell r="I93" t="str">
            <v>ACC DEP - LEASEHOLD</v>
          </cell>
          <cell r="J93">
            <v>-8517.67</v>
          </cell>
        </row>
        <row r="94">
          <cell r="A94">
            <v>7</v>
          </cell>
          <cell r="B94">
            <v>175602</v>
          </cell>
          <cell r="C94" t="str">
            <v>ACC DEP - LEASEHOLD</v>
          </cell>
          <cell r="D94">
            <v>-1188237.17</v>
          </cell>
          <cell r="G94">
            <v>8</v>
          </cell>
          <cell r="H94">
            <v>188101</v>
          </cell>
          <cell r="I94" t="str">
            <v>LONG TERM DEPOSITS -</v>
          </cell>
          <cell r="J94">
            <v>1761231.24</v>
          </cell>
        </row>
        <row r="95">
          <cell r="A95">
            <v>7</v>
          </cell>
          <cell r="B95">
            <v>175602</v>
          </cell>
          <cell r="C95" t="str">
            <v>ACC DEP - LEASEHOLD</v>
          </cell>
          <cell r="D95">
            <v>-18190.150000000001</v>
          </cell>
          <cell r="G95">
            <v>8</v>
          </cell>
          <cell r="H95">
            <v>188103</v>
          </cell>
          <cell r="I95" t="str">
            <v>LONG TERM DEPOSITS -</v>
          </cell>
          <cell r="J95">
            <v>-8100</v>
          </cell>
        </row>
        <row r="96">
          <cell r="A96">
            <v>7</v>
          </cell>
          <cell r="B96">
            <v>175602</v>
          </cell>
          <cell r="C96" t="str">
            <v>ACC DEP - LEASEHOLD</v>
          </cell>
          <cell r="D96">
            <v>-447108</v>
          </cell>
          <cell r="G96">
            <v>9</v>
          </cell>
          <cell r="H96">
            <v>210101</v>
          </cell>
          <cell r="I96" t="str">
            <v>A/P VENDORS</v>
          </cell>
          <cell r="J96">
            <v>615506.56000000006</v>
          </cell>
        </row>
        <row r="97">
          <cell r="A97">
            <v>7</v>
          </cell>
          <cell r="B97">
            <v>175602</v>
          </cell>
          <cell r="C97" t="str">
            <v>ACC DEP - LEASEHOLD</v>
          </cell>
          <cell r="D97">
            <v>-1792.07</v>
          </cell>
          <cell r="G97">
            <v>9</v>
          </cell>
          <cell r="H97">
            <v>210103</v>
          </cell>
          <cell r="I97" t="str">
            <v>A/P UNVOUCHERED LIAB</v>
          </cell>
          <cell r="J97">
            <v>-1054603.5</v>
          </cell>
        </row>
        <row r="98">
          <cell r="A98">
            <v>8</v>
          </cell>
          <cell r="B98">
            <v>188101</v>
          </cell>
          <cell r="C98" t="str">
            <v>LONG TERM DEPOSITS -</v>
          </cell>
          <cell r="D98">
            <v>447632.28</v>
          </cell>
          <cell r="G98">
            <v>10</v>
          </cell>
          <cell r="H98">
            <v>210201</v>
          </cell>
          <cell r="I98" t="str">
            <v>W/H PAYABLE - PAYROL</v>
          </cell>
          <cell r="J98">
            <v>-641315.01</v>
          </cell>
        </row>
        <row r="99">
          <cell r="A99">
            <v>8</v>
          </cell>
          <cell r="B99">
            <v>188103</v>
          </cell>
          <cell r="C99" t="str">
            <v>LONG TERM DEPOSITS -</v>
          </cell>
          <cell r="D99">
            <v>-1632.75</v>
          </cell>
          <cell r="G99">
            <v>10</v>
          </cell>
          <cell r="H99">
            <v>210204</v>
          </cell>
          <cell r="I99" t="str">
            <v>W/H PAYABLE - STOCK</v>
          </cell>
          <cell r="J99">
            <v>-0.23</v>
          </cell>
        </row>
        <row r="100">
          <cell r="A100">
            <v>9</v>
          </cell>
          <cell r="B100">
            <v>210101</v>
          </cell>
          <cell r="C100" t="str">
            <v>A/P VENDORS</v>
          </cell>
          <cell r="D100">
            <v>142577.60000000001</v>
          </cell>
          <cell r="G100">
            <v>10</v>
          </cell>
          <cell r="H100">
            <v>210211</v>
          </cell>
          <cell r="I100" t="str">
            <v>W/H PAYABLE - SOCIAL</v>
          </cell>
          <cell r="J100">
            <v>-210059</v>
          </cell>
        </row>
        <row r="101">
          <cell r="A101">
            <v>9</v>
          </cell>
          <cell r="B101">
            <v>210103</v>
          </cell>
          <cell r="C101" t="str">
            <v>A/P UNVOUCHERED LIAB</v>
          </cell>
          <cell r="D101">
            <v>-232978.09</v>
          </cell>
          <cell r="G101">
            <v>10</v>
          </cell>
          <cell r="H101">
            <v>210216</v>
          </cell>
          <cell r="I101" t="str">
            <v>W/H PAYABLE - PENSIO</v>
          </cell>
          <cell r="J101">
            <v>-334885</v>
          </cell>
        </row>
        <row r="102">
          <cell r="A102">
            <v>9</v>
          </cell>
          <cell r="B102">
            <v>210105</v>
          </cell>
          <cell r="C102" t="str">
            <v>A/P CAPITAL</v>
          </cell>
          <cell r="D102">
            <v>-0.01</v>
          </cell>
          <cell r="G102">
            <v>10</v>
          </cell>
          <cell r="H102">
            <v>210217</v>
          </cell>
          <cell r="I102" t="str">
            <v>W/H PAYABLE - INSURA</v>
          </cell>
          <cell r="J102">
            <v>-437187</v>
          </cell>
        </row>
        <row r="103">
          <cell r="A103">
            <v>10</v>
          </cell>
          <cell r="B103">
            <v>210201</v>
          </cell>
          <cell r="C103" t="str">
            <v>W/H PAYABLE - PAYROL</v>
          </cell>
          <cell r="D103">
            <v>43031.08</v>
          </cell>
          <cell r="G103">
            <v>10</v>
          </cell>
          <cell r="H103">
            <v>210301</v>
          </cell>
          <cell r="I103" t="str">
            <v>SALES TAX PAYABLE</v>
          </cell>
          <cell r="J103">
            <v>6.78</v>
          </cell>
        </row>
        <row r="104">
          <cell r="A104">
            <v>10</v>
          </cell>
          <cell r="B104">
            <v>210204</v>
          </cell>
          <cell r="C104" t="str">
            <v>W/H PAYABLE - STOCK</v>
          </cell>
          <cell r="D104">
            <v>1074.67</v>
          </cell>
          <cell r="G104">
            <v>10</v>
          </cell>
          <cell r="H104">
            <v>210305</v>
          </cell>
          <cell r="I104" t="str">
            <v>HST TAX PAYABLE</v>
          </cell>
          <cell r="J104">
            <v>6097.57</v>
          </cell>
        </row>
        <row r="105">
          <cell r="A105">
            <v>10</v>
          </cell>
          <cell r="B105">
            <v>210211</v>
          </cell>
          <cell r="C105" t="str">
            <v>W/H PAYABLE - SOCIAL</v>
          </cell>
          <cell r="D105">
            <v>-49261.57</v>
          </cell>
          <cell r="G105">
            <v>10</v>
          </cell>
          <cell r="H105">
            <v>210501</v>
          </cell>
          <cell r="I105" t="str">
            <v>VAT CLEARING ACCOUNT</v>
          </cell>
          <cell r="J105">
            <v>133865.46</v>
          </cell>
        </row>
        <row r="106">
          <cell r="A106">
            <v>10</v>
          </cell>
          <cell r="B106">
            <v>210216</v>
          </cell>
          <cell r="C106" t="str">
            <v>W/H PAYABLE - PENSIO</v>
          </cell>
          <cell r="D106">
            <v>-70142.429999999993</v>
          </cell>
          <cell r="G106">
            <v>10</v>
          </cell>
          <cell r="H106">
            <v>210502</v>
          </cell>
          <cell r="I106" t="str">
            <v>VAT PAYABLE 1</v>
          </cell>
          <cell r="J106">
            <v>-26723.46</v>
          </cell>
        </row>
        <row r="107">
          <cell r="A107">
            <v>10</v>
          </cell>
          <cell r="B107">
            <v>210217</v>
          </cell>
          <cell r="C107" t="str">
            <v>W/H PAYABLE - INSURA</v>
          </cell>
          <cell r="D107">
            <v>-87149.62</v>
          </cell>
          <cell r="G107">
            <v>4</v>
          </cell>
          <cell r="H107">
            <v>229201</v>
          </cell>
          <cell r="I107" t="str">
            <v>I/C PAYABLE - ADVANC</v>
          </cell>
          <cell r="J107">
            <v>348400</v>
          </cell>
        </row>
        <row r="108">
          <cell r="A108">
            <v>10</v>
          </cell>
          <cell r="B108">
            <v>210301</v>
          </cell>
          <cell r="C108" t="str">
            <v>SALES TAX PAYABLE</v>
          </cell>
          <cell r="D108">
            <v>101.96</v>
          </cell>
          <cell r="G108">
            <v>4</v>
          </cell>
          <cell r="H108">
            <v>229202</v>
          </cell>
          <cell r="I108" t="str">
            <v>I/C PAYABLE - MISCEL</v>
          </cell>
          <cell r="J108">
            <v>-143.43</v>
          </cell>
        </row>
        <row r="109">
          <cell r="A109">
            <v>10</v>
          </cell>
          <cell r="B109">
            <v>210305</v>
          </cell>
          <cell r="C109" t="str">
            <v>HST TAX PAYABLE</v>
          </cell>
          <cell r="D109">
            <v>1324.98</v>
          </cell>
          <cell r="G109">
            <v>4</v>
          </cell>
          <cell r="H109">
            <v>229202</v>
          </cell>
          <cell r="I109" t="str">
            <v>I/C PAYABLE - MISCEL</v>
          </cell>
          <cell r="J109">
            <v>-4163829.99</v>
          </cell>
        </row>
        <row r="110">
          <cell r="A110">
            <v>10</v>
          </cell>
          <cell r="B110">
            <v>210501</v>
          </cell>
          <cell r="C110" t="str">
            <v>VAT CLEARING ACCOUNT</v>
          </cell>
          <cell r="D110">
            <v>31339.14</v>
          </cell>
          <cell r="G110">
            <v>4</v>
          </cell>
          <cell r="H110">
            <v>229202</v>
          </cell>
          <cell r="I110" t="str">
            <v>I/C PAYABLE - MISCEL</v>
          </cell>
          <cell r="J110">
            <v>3159577.43</v>
          </cell>
        </row>
        <row r="111">
          <cell r="A111">
            <v>10</v>
          </cell>
          <cell r="B111">
            <v>210502</v>
          </cell>
          <cell r="C111" t="str">
            <v>VAT PAYABLE 1</v>
          </cell>
          <cell r="D111">
            <v>-5983.2</v>
          </cell>
          <cell r="G111">
            <v>10</v>
          </cell>
          <cell r="H111">
            <v>230101</v>
          </cell>
          <cell r="I111" t="str">
            <v>ACCRUALS - PAYROLL</v>
          </cell>
          <cell r="J111">
            <v>0.01</v>
          </cell>
        </row>
        <row r="112">
          <cell r="A112">
            <v>4</v>
          </cell>
          <cell r="B112">
            <v>229201</v>
          </cell>
          <cell r="C112" t="str">
            <v>I/C PAYABLE - ADVANC</v>
          </cell>
          <cell r="D112">
            <v>0</v>
          </cell>
          <cell r="G112">
            <v>10</v>
          </cell>
          <cell r="H112">
            <v>230103</v>
          </cell>
          <cell r="I112" t="str">
            <v>ACCRUALS - BONUSES</v>
          </cell>
          <cell r="J112">
            <v>-211131.5</v>
          </cell>
        </row>
        <row r="113">
          <cell r="A113">
            <v>4</v>
          </cell>
          <cell r="B113">
            <v>229202</v>
          </cell>
          <cell r="C113" t="str">
            <v>I/C PAYABLE - MISCEL</v>
          </cell>
          <cell r="D113">
            <v>0</v>
          </cell>
          <cell r="G113">
            <v>10</v>
          </cell>
          <cell r="H113">
            <v>230104</v>
          </cell>
          <cell r="I113" t="str">
            <v>ACCRUALS - HOLIDAY /</v>
          </cell>
          <cell r="J113">
            <v>-676000</v>
          </cell>
        </row>
        <row r="114">
          <cell r="A114">
            <v>4</v>
          </cell>
          <cell r="B114">
            <v>229202</v>
          </cell>
          <cell r="C114" t="str">
            <v>I/C PAYABLE - MISCEL</v>
          </cell>
          <cell r="D114">
            <v>0</v>
          </cell>
          <cell r="G114">
            <v>101</v>
          </cell>
          <cell r="H114">
            <v>230131</v>
          </cell>
          <cell r="I114" t="str">
            <v>ACCRUALS - PENSION 1</v>
          </cell>
          <cell r="J114">
            <v>-1267337</v>
          </cell>
        </row>
        <row r="115">
          <cell r="A115">
            <v>10</v>
          </cell>
          <cell r="B115">
            <v>230101</v>
          </cell>
          <cell r="C115" t="str">
            <v>ACCRUALS - PAYROLL</v>
          </cell>
          <cell r="D115">
            <v>-191066.93</v>
          </cell>
          <cell r="G115">
            <v>10</v>
          </cell>
          <cell r="H115">
            <v>230199</v>
          </cell>
          <cell r="I115" t="str">
            <v>ACCRUALS - MISCELLAN</v>
          </cell>
          <cell r="J115">
            <v>-628500.55000000005</v>
          </cell>
        </row>
        <row r="116">
          <cell r="A116">
            <v>10</v>
          </cell>
          <cell r="B116">
            <v>230101</v>
          </cell>
          <cell r="C116" t="str">
            <v>ACCRUALS - PAYROLL</v>
          </cell>
          <cell r="D116">
            <v>-510.72</v>
          </cell>
          <cell r="G116">
            <v>10</v>
          </cell>
          <cell r="H116">
            <v>230199</v>
          </cell>
          <cell r="I116" t="str">
            <v>ACCRUALS - MISCELLAN</v>
          </cell>
          <cell r="J116">
            <v>0</v>
          </cell>
        </row>
        <row r="117">
          <cell r="A117">
            <v>10</v>
          </cell>
          <cell r="B117">
            <v>230103</v>
          </cell>
          <cell r="C117" t="str">
            <v>ACCRUALS - BONUSES</v>
          </cell>
          <cell r="D117">
            <v>143448.54</v>
          </cell>
          <cell r="G117">
            <v>11</v>
          </cell>
          <cell r="H117">
            <v>301101</v>
          </cell>
          <cell r="I117" t="str">
            <v>CAPITAL STOCK - COMM</v>
          </cell>
          <cell r="J117">
            <v>-7873389</v>
          </cell>
        </row>
        <row r="118">
          <cell r="A118">
            <v>10</v>
          </cell>
          <cell r="B118">
            <v>230103</v>
          </cell>
          <cell r="C118" t="str">
            <v>ACCRUALS - BONUSES</v>
          </cell>
          <cell r="D118">
            <v>-192455.81</v>
          </cell>
          <cell r="G118">
            <v>12</v>
          </cell>
          <cell r="H118">
            <v>310101</v>
          </cell>
          <cell r="I118" t="str">
            <v>SHARE PREMIUM</v>
          </cell>
          <cell r="J118">
            <v>-89905</v>
          </cell>
        </row>
        <row r="119">
          <cell r="A119">
            <v>10</v>
          </cell>
          <cell r="B119">
            <v>230104</v>
          </cell>
          <cell r="C119" t="str">
            <v>ACCRUALS - HOLIDAY /</v>
          </cell>
          <cell r="D119">
            <v>270540.25</v>
          </cell>
          <cell r="G119">
            <v>13</v>
          </cell>
          <cell r="H119">
            <v>350601</v>
          </cell>
          <cell r="I119" t="str">
            <v>RETAINED EARNINGS -</v>
          </cell>
          <cell r="J119">
            <v>-10418973.130000001</v>
          </cell>
        </row>
        <row r="120">
          <cell r="A120">
            <v>10</v>
          </cell>
          <cell r="B120">
            <v>230104</v>
          </cell>
          <cell r="C120" t="str">
            <v>ACCRUALS - HOLIDAY /</v>
          </cell>
          <cell r="D120">
            <v>-445924.23</v>
          </cell>
          <cell r="G120">
            <v>13</v>
          </cell>
          <cell r="H120">
            <v>355102</v>
          </cell>
          <cell r="I120" t="str">
            <v>RETAINED EARNINGS -</v>
          </cell>
          <cell r="J120">
            <v>-6766095.3600000003</v>
          </cell>
        </row>
        <row r="121">
          <cell r="A121">
            <v>101</v>
          </cell>
          <cell r="B121">
            <v>230131</v>
          </cell>
          <cell r="C121" t="str">
            <v>ACCRUALS - PENSION 1</v>
          </cell>
          <cell r="D121">
            <v>40532.6</v>
          </cell>
          <cell r="G121">
            <v>13</v>
          </cell>
          <cell r="H121">
            <v>361101</v>
          </cell>
          <cell r="I121" t="str">
            <v>CUMULATIVE TRANSLATI</v>
          </cell>
          <cell r="J121">
            <v>-307219.21000000002</v>
          </cell>
        </row>
        <row r="122">
          <cell r="A122">
            <v>101</v>
          </cell>
          <cell r="B122">
            <v>230131</v>
          </cell>
          <cell r="C122" t="str">
            <v>ACCRUALS - PENSION 1</v>
          </cell>
          <cell r="D122">
            <v>-335574.74</v>
          </cell>
          <cell r="G122">
            <v>40</v>
          </cell>
          <cell r="H122">
            <v>410911</v>
          </cell>
          <cell r="I122" t="str">
            <v>EXCHANGE RATE DIFFER</v>
          </cell>
          <cell r="J122">
            <v>-31860.71</v>
          </cell>
        </row>
        <row r="123">
          <cell r="A123">
            <v>10</v>
          </cell>
          <cell r="B123">
            <v>230199</v>
          </cell>
          <cell r="C123" t="str">
            <v>ACCRUALS - MISCELLAN</v>
          </cell>
          <cell r="D123">
            <v>55845.79</v>
          </cell>
          <cell r="G123">
            <v>31</v>
          </cell>
          <cell r="H123">
            <v>601001</v>
          </cell>
          <cell r="I123" t="str">
            <v>SALARIES</v>
          </cell>
          <cell r="J123">
            <v>1300884</v>
          </cell>
        </row>
        <row r="124">
          <cell r="A124">
            <v>10</v>
          </cell>
          <cell r="B124">
            <v>230199</v>
          </cell>
          <cell r="C124" t="str">
            <v>ACCRUALS - MISCELLAN</v>
          </cell>
          <cell r="D124">
            <v>-200412.65</v>
          </cell>
          <cell r="G124">
            <v>31</v>
          </cell>
          <cell r="H124">
            <v>601001</v>
          </cell>
          <cell r="I124" t="str">
            <v>SALARIES</v>
          </cell>
          <cell r="J124">
            <v>1180516</v>
          </cell>
        </row>
        <row r="125">
          <cell r="A125">
            <v>11</v>
          </cell>
          <cell r="B125">
            <v>301101</v>
          </cell>
          <cell r="C125" t="str">
            <v>CAPITAL STOCK - COMM</v>
          </cell>
          <cell r="D125">
            <v>-2345623.23</v>
          </cell>
          <cell r="G125">
            <v>31</v>
          </cell>
          <cell r="H125">
            <v>601001</v>
          </cell>
          <cell r="I125" t="str">
            <v>SALARIES</v>
          </cell>
          <cell r="J125">
            <v>55607</v>
          </cell>
        </row>
        <row r="126">
          <cell r="A126">
            <v>12</v>
          </cell>
          <cell r="B126">
            <v>310101</v>
          </cell>
          <cell r="C126" t="str">
            <v>SHARE PREMIUM</v>
          </cell>
          <cell r="D126">
            <v>-23140.06</v>
          </cell>
          <cell r="G126">
            <v>31</v>
          </cell>
          <cell r="H126">
            <v>601001</v>
          </cell>
          <cell r="I126" t="str">
            <v>SALARIES</v>
          </cell>
          <cell r="J126">
            <v>113169</v>
          </cell>
        </row>
        <row r="127">
          <cell r="A127">
            <v>13</v>
          </cell>
          <cell r="B127">
            <v>350601</v>
          </cell>
          <cell r="C127" t="str">
            <v>RETAINED EARNINGS -</v>
          </cell>
          <cell r="D127">
            <v>-3788479.96</v>
          </cell>
          <cell r="G127">
            <v>31</v>
          </cell>
          <cell r="H127">
            <v>601001</v>
          </cell>
          <cell r="I127" t="str">
            <v>SALARIES</v>
          </cell>
          <cell r="J127">
            <v>208681</v>
          </cell>
        </row>
        <row r="128">
          <cell r="A128">
            <v>13</v>
          </cell>
          <cell r="B128">
            <v>355102</v>
          </cell>
          <cell r="C128" t="str">
            <v>RETAINED EARNINGS -</v>
          </cell>
          <cell r="D128">
            <v>0</v>
          </cell>
          <cell r="G128">
            <v>31</v>
          </cell>
          <cell r="H128">
            <v>601001</v>
          </cell>
          <cell r="I128" t="str">
            <v>SALARIES</v>
          </cell>
          <cell r="J128">
            <v>13768360</v>
          </cell>
        </row>
        <row r="129">
          <cell r="A129">
            <v>31</v>
          </cell>
          <cell r="B129">
            <v>601001</v>
          </cell>
          <cell r="C129" t="str">
            <v>SALARIES</v>
          </cell>
          <cell r="D129">
            <v>281637.58</v>
          </cell>
          <cell r="G129">
            <v>31</v>
          </cell>
          <cell r="H129">
            <v>601001</v>
          </cell>
          <cell r="I129" t="str">
            <v>SALARIES</v>
          </cell>
          <cell r="J129">
            <v>162012</v>
          </cell>
        </row>
        <row r="130">
          <cell r="A130">
            <v>31</v>
          </cell>
          <cell r="B130">
            <v>601001</v>
          </cell>
          <cell r="C130" t="str">
            <v>SALARIES</v>
          </cell>
          <cell r="D130">
            <v>249364.48000000001</v>
          </cell>
          <cell r="G130">
            <v>31</v>
          </cell>
          <cell r="H130">
            <v>601001</v>
          </cell>
          <cell r="I130" t="str">
            <v>SALARIES</v>
          </cell>
          <cell r="J130">
            <v>77046</v>
          </cell>
        </row>
        <row r="131">
          <cell r="A131">
            <v>31</v>
          </cell>
          <cell r="B131">
            <v>601001</v>
          </cell>
          <cell r="C131" t="str">
            <v>SALARIES</v>
          </cell>
          <cell r="D131">
            <v>12055.48</v>
          </cell>
          <cell r="G131">
            <v>31</v>
          </cell>
          <cell r="H131">
            <v>603001</v>
          </cell>
          <cell r="I131" t="str">
            <v>BONUSES - 1</v>
          </cell>
          <cell r="J131">
            <v>-25000</v>
          </cell>
        </row>
        <row r="132">
          <cell r="A132">
            <v>31</v>
          </cell>
          <cell r="B132">
            <v>601001</v>
          </cell>
          <cell r="C132" t="str">
            <v>SALARIES</v>
          </cell>
          <cell r="D132">
            <v>23547.7</v>
          </cell>
          <cell r="G132">
            <v>31</v>
          </cell>
          <cell r="H132">
            <v>603003</v>
          </cell>
          <cell r="I132" t="str">
            <v>BONUSES - ACCRUED</v>
          </cell>
          <cell r="J132">
            <v>17129</v>
          </cell>
        </row>
        <row r="133">
          <cell r="A133">
            <v>31</v>
          </cell>
          <cell r="B133">
            <v>601001</v>
          </cell>
          <cell r="C133" t="str">
            <v>SALARIES</v>
          </cell>
          <cell r="D133">
            <v>44068.89</v>
          </cell>
          <cell r="G133">
            <v>31</v>
          </cell>
          <cell r="H133">
            <v>603003</v>
          </cell>
          <cell r="I133" t="str">
            <v>BONUSES - ACCRUED</v>
          </cell>
          <cell r="J133">
            <v>173172</v>
          </cell>
        </row>
        <row r="134">
          <cell r="A134">
            <v>31</v>
          </cell>
          <cell r="B134">
            <v>601001</v>
          </cell>
          <cell r="C134" t="str">
            <v>SALARIES</v>
          </cell>
          <cell r="D134">
            <v>2905046.33</v>
          </cell>
          <cell r="G134">
            <v>31</v>
          </cell>
          <cell r="H134">
            <v>603003</v>
          </cell>
          <cell r="I134" t="str">
            <v>BONUSES - ACCRUED</v>
          </cell>
          <cell r="J134">
            <v>380595.5</v>
          </cell>
        </row>
        <row r="135">
          <cell r="A135">
            <v>31</v>
          </cell>
          <cell r="B135">
            <v>601001</v>
          </cell>
          <cell r="C135" t="str">
            <v>SALARIES</v>
          </cell>
          <cell r="D135">
            <v>34110.300000000003</v>
          </cell>
          <cell r="G135">
            <v>31</v>
          </cell>
          <cell r="H135">
            <v>603003</v>
          </cell>
          <cell r="I135" t="str">
            <v>BONUSES - ACCRUED</v>
          </cell>
          <cell r="J135">
            <v>91177</v>
          </cell>
        </row>
        <row r="136">
          <cell r="A136">
            <v>31</v>
          </cell>
          <cell r="B136">
            <v>601001</v>
          </cell>
          <cell r="C136" t="str">
            <v>SALARIES</v>
          </cell>
          <cell r="D136">
            <v>16277.69</v>
          </cell>
          <cell r="G136">
            <v>31</v>
          </cell>
          <cell r="H136">
            <v>605001</v>
          </cell>
          <cell r="I136" t="str">
            <v>WAGES - STRAIGHT TIM</v>
          </cell>
          <cell r="J136">
            <v>91731</v>
          </cell>
        </row>
        <row r="137">
          <cell r="A137">
            <v>31</v>
          </cell>
          <cell r="B137">
            <v>603001</v>
          </cell>
          <cell r="C137" t="str">
            <v>BONUSES - 1</v>
          </cell>
          <cell r="D137">
            <v>-5097.88</v>
          </cell>
          <cell r="G137">
            <v>31</v>
          </cell>
          <cell r="H137">
            <v>611011</v>
          </cell>
          <cell r="I137" t="str">
            <v>SOCIAL SECURITY COST</v>
          </cell>
          <cell r="J137">
            <v>55519</v>
          </cell>
        </row>
        <row r="138">
          <cell r="A138">
            <v>31</v>
          </cell>
          <cell r="B138">
            <v>603003</v>
          </cell>
          <cell r="C138" t="str">
            <v>BONUSES - ACCRUED</v>
          </cell>
          <cell r="D138">
            <v>3708.38</v>
          </cell>
          <cell r="G138">
            <v>31</v>
          </cell>
          <cell r="H138">
            <v>611011</v>
          </cell>
          <cell r="I138" t="str">
            <v>SOCIAL SECURITY COST</v>
          </cell>
          <cell r="J138">
            <v>77014</v>
          </cell>
        </row>
        <row r="139">
          <cell r="A139">
            <v>31</v>
          </cell>
          <cell r="B139">
            <v>603003</v>
          </cell>
          <cell r="C139" t="str">
            <v>BONUSES - ACCRUED</v>
          </cell>
          <cell r="D139">
            <v>36546.410000000003</v>
          </cell>
          <cell r="G139">
            <v>31</v>
          </cell>
          <cell r="H139">
            <v>611011</v>
          </cell>
          <cell r="I139" t="str">
            <v>SOCIAL SECURITY COST</v>
          </cell>
          <cell r="J139">
            <v>2781</v>
          </cell>
        </row>
        <row r="140">
          <cell r="A140">
            <v>31</v>
          </cell>
          <cell r="B140">
            <v>603003</v>
          </cell>
          <cell r="C140" t="str">
            <v>BONUSES - ACCRUED</v>
          </cell>
          <cell r="D140">
            <v>81027.41</v>
          </cell>
          <cell r="G140">
            <v>31</v>
          </cell>
          <cell r="H140">
            <v>611011</v>
          </cell>
          <cell r="I140" t="str">
            <v>SOCIAL SECURITY COST</v>
          </cell>
          <cell r="J140">
            <v>5509</v>
          </cell>
        </row>
        <row r="141">
          <cell r="A141">
            <v>31</v>
          </cell>
          <cell r="B141">
            <v>603003</v>
          </cell>
          <cell r="C141" t="str">
            <v>BONUSES - ACCRUED</v>
          </cell>
          <cell r="D141">
            <v>19331.25</v>
          </cell>
          <cell r="G141">
            <v>31</v>
          </cell>
          <cell r="H141">
            <v>611011</v>
          </cell>
          <cell r="I141" t="str">
            <v>SOCIAL SECURITY COST</v>
          </cell>
          <cell r="J141">
            <v>12392</v>
          </cell>
        </row>
        <row r="142">
          <cell r="A142">
            <v>31</v>
          </cell>
          <cell r="B142">
            <v>605001</v>
          </cell>
          <cell r="C142" t="str">
            <v>WAGES - STRAIGHT TIM</v>
          </cell>
          <cell r="D142">
            <v>19401.54</v>
          </cell>
          <cell r="G142">
            <v>31</v>
          </cell>
          <cell r="H142">
            <v>611011</v>
          </cell>
          <cell r="I142" t="str">
            <v>SOCIAL SECURITY COST</v>
          </cell>
          <cell r="J142">
            <v>570498</v>
          </cell>
        </row>
        <row r="143">
          <cell r="A143">
            <v>31</v>
          </cell>
          <cell r="B143">
            <v>611011</v>
          </cell>
          <cell r="C143" t="str">
            <v>SOCIAL SECURITY COST</v>
          </cell>
          <cell r="D143">
            <v>12019.7</v>
          </cell>
          <cell r="G143">
            <v>31</v>
          </cell>
          <cell r="H143">
            <v>611011</v>
          </cell>
          <cell r="I143" t="str">
            <v>SOCIAL SECURITY COST</v>
          </cell>
          <cell r="J143">
            <v>11109</v>
          </cell>
        </row>
        <row r="144">
          <cell r="A144">
            <v>31</v>
          </cell>
          <cell r="B144">
            <v>611011</v>
          </cell>
          <cell r="C144" t="str">
            <v>SOCIAL SECURITY COST</v>
          </cell>
          <cell r="D144">
            <v>16282.9</v>
          </cell>
          <cell r="G144">
            <v>31</v>
          </cell>
          <cell r="H144">
            <v>611011</v>
          </cell>
          <cell r="I144" t="str">
            <v>SOCIAL SECURITY COST</v>
          </cell>
          <cell r="J144">
            <v>5011</v>
          </cell>
        </row>
        <row r="145">
          <cell r="A145">
            <v>31</v>
          </cell>
          <cell r="B145">
            <v>611011</v>
          </cell>
          <cell r="C145" t="str">
            <v>SOCIAL SECURITY COST</v>
          </cell>
          <cell r="D145">
            <v>602.92999999999995</v>
          </cell>
          <cell r="G145">
            <v>31</v>
          </cell>
          <cell r="H145">
            <v>611035</v>
          </cell>
          <cell r="I145" t="str">
            <v>EMPLOYER PENSION CON</v>
          </cell>
          <cell r="J145">
            <v>175516</v>
          </cell>
        </row>
        <row r="146">
          <cell r="A146">
            <v>31</v>
          </cell>
          <cell r="B146">
            <v>611011</v>
          </cell>
          <cell r="C146" t="str">
            <v>SOCIAL SECURITY COST</v>
          </cell>
          <cell r="D146">
            <v>1146.8599999999999</v>
          </cell>
          <cell r="G146">
            <v>31</v>
          </cell>
          <cell r="H146">
            <v>611035</v>
          </cell>
          <cell r="I146" t="str">
            <v>EMPLOYER PENSION CON</v>
          </cell>
          <cell r="J146">
            <v>183103</v>
          </cell>
        </row>
        <row r="147">
          <cell r="A147">
            <v>31</v>
          </cell>
          <cell r="B147">
            <v>611011</v>
          </cell>
          <cell r="C147" t="str">
            <v>SOCIAL SECURITY COST</v>
          </cell>
          <cell r="D147">
            <v>2618.71</v>
          </cell>
          <cell r="G147">
            <v>31</v>
          </cell>
          <cell r="H147">
            <v>611035</v>
          </cell>
          <cell r="I147" t="str">
            <v>EMPLOYER PENSION CON</v>
          </cell>
          <cell r="J147">
            <v>-3207</v>
          </cell>
        </row>
        <row r="148">
          <cell r="A148">
            <v>31</v>
          </cell>
          <cell r="B148">
            <v>611011</v>
          </cell>
          <cell r="C148" t="str">
            <v>SOCIAL SECURITY COST</v>
          </cell>
          <cell r="D148">
            <v>120443.64</v>
          </cell>
          <cell r="G148">
            <v>31</v>
          </cell>
          <cell r="H148">
            <v>611035</v>
          </cell>
          <cell r="I148" t="str">
            <v>EMPLOYER PENSION CON</v>
          </cell>
          <cell r="J148">
            <v>22128</v>
          </cell>
        </row>
        <row r="149">
          <cell r="A149">
            <v>31</v>
          </cell>
          <cell r="B149">
            <v>611011</v>
          </cell>
          <cell r="C149" t="str">
            <v>SOCIAL SECURITY COST</v>
          </cell>
          <cell r="D149">
            <v>2345.5500000000002</v>
          </cell>
          <cell r="G149">
            <v>31</v>
          </cell>
          <cell r="H149">
            <v>611035</v>
          </cell>
          <cell r="I149" t="str">
            <v>EMPLOYER PENSION CON</v>
          </cell>
          <cell r="J149">
            <v>19924</v>
          </cell>
        </row>
        <row r="150">
          <cell r="A150">
            <v>31</v>
          </cell>
          <cell r="B150">
            <v>611011</v>
          </cell>
          <cell r="C150" t="str">
            <v>SOCIAL SECURITY COST</v>
          </cell>
          <cell r="D150">
            <v>1058.55</v>
          </cell>
          <cell r="G150">
            <v>31</v>
          </cell>
          <cell r="H150">
            <v>611035</v>
          </cell>
          <cell r="I150" t="str">
            <v>EMPLOYER PENSION CON</v>
          </cell>
          <cell r="J150">
            <v>1811286</v>
          </cell>
        </row>
        <row r="151">
          <cell r="A151">
            <v>31</v>
          </cell>
          <cell r="B151">
            <v>611035</v>
          </cell>
          <cell r="C151" t="str">
            <v>EMPLOYER PENSION CON</v>
          </cell>
          <cell r="D151">
            <v>37998.699999999997</v>
          </cell>
          <cell r="G151">
            <v>31</v>
          </cell>
          <cell r="H151">
            <v>611035</v>
          </cell>
          <cell r="I151" t="str">
            <v>EMPLOYER PENSION CON</v>
          </cell>
          <cell r="J151">
            <v>21615</v>
          </cell>
        </row>
        <row r="152">
          <cell r="A152">
            <v>31</v>
          </cell>
          <cell r="B152">
            <v>611035</v>
          </cell>
          <cell r="C152" t="str">
            <v>EMPLOYER PENSION CON</v>
          </cell>
          <cell r="D152">
            <v>38593.08</v>
          </cell>
          <cell r="G152">
            <v>31</v>
          </cell>
          <cell r="H152">
            <v>611035</v>
          </cell>
          <cell r="I152" t="str">
            <v>EMPLOYER PENSION CON</v>
          </cell>
          <cell r="J152">
            <v>49434</v>
          </cell>
        </row>
        <row r="153">
          <cell r="A153">
            <v>31</v>
          </cell>
          <cell r="B153">
            <v>611035</v>
          </cell>
          <cell r="C153" t="str">
            <v>EMPLOYER PENSION CON</v>
          </cell>
          <cell r="D153">
            <v>-618.83000000000004</v>
          </cell>
          <cell r="G153">
            <v>31</v>
          </cell>
          <cell r="H153">
            <v>611051</v>
          </cell>
          <cell r="I153" t="str">
            <v>VACATION PROVISION</v>
          </cell>
          <cell r="J153">
            <v>2327</v>
          </cell>
        </row>
        <row r="154">
          <cell r="A154">
            <v>31</v>
          </cell>
          <cell r="B154">
            <v>611035</v>
          </cell>
          <cell r="C154" t="str">
            <v>EMPLOYER PENSION CON</v>
          </cell>
          <cell r="D154">
            <v>4582.21</v>
          </cell>
          <cell r="G154">
            <v>31</v>
          </cell>
          <cell r="H154">
            <v>611051</v>
          </cell>
          <cell r="I154" t="str">
            <v>VACATION PROVISION</v>
          </cell>
          <cell r="J154">
            <v>-31452</v>
          </cell>
        </row>
        <row r="155">
          <cell r="A155">
            <v>31</v>
          </cell>
          <cell r="B155">
            <v>611035</v>
          </cell>
          <cell r="C155" t="str">
            <v>EMPLOYER PENSION CON</v>
          </cell>
          <cell r="D155">
            <v>4193.47</v>
          </cell>
          <cell r="G155">
            <v>31</v>
          </cell>
          <cell r="H155">
            <v>611051</v>
          </cell>
          <cell r="I155" t="str">
            <v>VACATION PROVISION</v>
          </cell>
          <cell r="J155">
            <v>34574</v>
          </cell>
        </row>
        <row r="156">
          <cell r="A156">
            <v>31</v>
          </cell>
          <cell r="B156">
            <v>611035</v>
          </cell>
          <cell r="C156" t="str">
            <v>EMPLOYER PENSION CON</v>
          </cell>
          <cell r="D156">
            <v>382452.14</v>
          </cell>
          <cell r="G156">
            <v>31</v>
          </cell>
          <cell r="H156">
            <v>611051</v>
          </cell>
          <cell r="I156" t="str">
            <v>VACATION PROVISION</v>
          </cell>
          <cell r="J156">
            <v>6523</v>
          </cell>
        </row>
        <row r="157">
          <cell r="A157">
            <v>31</v>
          </cell>
          <cell r="B157">
            <v>611035</v>
          </cell>
          <cell r="C157" t="str">
            <v>EMPLOYER PENSION CON</v>
          </cell>
          <cell r="D157">
            <v>4550.8599999999997</v>
          </cell>
          <cell r="G157">
            <v>31</v>
          </cell>
          <cell r="H157">
            <v>611051</v>
          </cell>
          <cell r="I157" t="str">
            <v>VACATION PROVISION</v>
          </cell>
          <cell r="J157">
            <v>-212346</v>
          </cell>
        </row>
        <row r="158">
          <cell r="A158">
            <v>31</v>
          </cell>
          <cell r="B158">
            <v>611035</v>
          </cell>
          <cell r="C158" t="str">
            <v>EMPLOYER PENSION CON</v>
          </cell>
          <cell r="D158">
            <v>10680.05</v>
          </cell>
          <cell r="G158">
            <v>31</v>
          </cell>
          <cell r="H158">
            <v>611051</v>
          </cell>
          <cell r="I158" t="str">
            <v>VACATION PROVISION</v>
          </cell>
          <cell r="J158">
            <v>10680</v>
          </cell>
        </row>
        <row r="159">
          <cell r="A159">
            <v>31</v>
          </cell>
          <cell r="B159">
            <v>611051</v>
          </cell>
          <cell r="C159" t="str">
            <v>VACATION PROVISION</v>
          </cell>
          <cell r="D159">
            <v>461.45</v>
          </cell>
          <cell r="G159">
            <v>31</v>
          </cell>
          <cell r="H159">
            <v>611051</v>
          </cell>
          <cell r="I159" t="str">
            <v>VACATION PROVISION</v>
          </cell>
          <cell r="J159">
            <v>99989</v>
          </cell>
        </row>
        <row r="160">
          <cell r="A160">
            <v>31</v>
          </cell>
          <cell r="B160">
            <v>611051</v>
          </cell>
          <cell r="C160" t="str">
            <v>VACATION PROVISION</v>
          </cell>
          <cell r="D160">
            <v>-6545.11</v>
          </cell>
          <cell r="G160">
            <v>31</v>
          </cell>
          <cell r="H160">
            <v>611941</v>
          </cell>
          <cell r="I160" t="str">
            <v>FRINGE BENEFIT 3</v>
          </cell>
          <cell r="J160">
            <v>82637</v>
          </cell>
        </row>
        <row r="161">
          <cell r="A161">
            <v>31</v>
          </cell>
          <cell r="B161">
            <v>611051</v>
          </cell>
          <cell r="C161" t="str">
            <v>VACATION PROVISION</v>
          </cell>
          <cell r="D161">
            <v>7249.74</v>
          </cell>
          <cell r="G161">
            <v>31</v>
          </cell>
          <cell r="H161">
            <v>611941</v>
          </cell>
          <cell r="I161" t="str">
            <v>FRINGE BENEFIT 3</v>
          </cell>
          <cell r="J161">
            <v>78072</v>
          </cell>
        </row>
        <row r="162">
          <cell r="A162">
            <v>31</v>
          </cell>
          <cell r="B162">
            <v>611051</v>
          </cell>
          <cell r="C162" t="str">
            <v>VACATION PROVISION</v>
          </cell>
          <cell r="D162">
            <v>1388.32</v>
          </cell>
          <cell r="G162">
            <v>31</v>
          </cell>
          <cell r="H162">
            <v>611941</v>
          </cell>
          <cell r="I162" t="str">
            <v>FRINGE BENEFIT 3</v>
          </cell>
          <cell r="J162">
            <v>3000</v>
          </cell>
        </row>
        <row r="163">
          <cell r="A163">
            <v>31</v>
          </cell>
          <cell r="B163">
            <v>611051</v>
          </cell>
          <cell r="C163" t="str">
            <v>VACATION PROVISION</v>
          </cell>
          <cell r="D163">
            <v>-45758.76</v>
          </cell>
          <cell r="G163">
            <v>31</v>
          </cell>
          <cell r="H163">
            <v>611941</v>
          </cell>
          <cell r="I163" t="str">
            <v>FRINGE BENEFIT 3</v>
          </cell>
          <cell r="J163">
            <v>6000</v>
          </cell>
        </row>
        <row r="164">
          <cell r="A164">
            <v>31</v>
          </cell>
          <cell r="B164">
            <v>611051</v>
          </cell>
          <cell r="C164" t="str">
            <v>VACATION PROVISION</v>
          </cell>
          <cell r="D164">
            <v>2220.9699999999998</v>
          </cell>
          <cell r="G164">
            <v>31</v>
          </cell>
          <cell r="H164">
            <v>611941</v>
          </cell>
          <cell r="I164" t="str">
            <v>FRINGE BENEFIT 3</v>
          </cell>
          <cell r="J164">
            <v>13244</v>
          </cell>
        </row>
        <row r="165">
          <cell r="A165">
            <v>31</v>
          </cell>
          <cell r="B165">
            <v>611051</v>
          </cell>
          <cell r="C165" t="str">
            <v>VACATION PROVISION</v>
          </cell>
          <cell r="D165">
            <v>21708.62</v>
          </cell>
          <cell r="G165">
            <v>31</v>
          </cell>
          <cell r="H165">
            <v>611941</v>
          </cell>
          <cell r="I165" t="str">
            <v>FRINGE BENEFIT 3</v>
          </cell>
          <cell r="J165">
            <v>866708</v>
          </cell>
        </row>
        <row r="166">
          <cell r="A166">
            <v>31</v>
          </cell>
          <cell r="B166">
            <v>611941</v>
          </cell>
          <cell r="C166" t="str">
            <v>FRINGE BENEFIT 3</v>
          </cell>
          <cell r="D166">
            <v>17890.669999999998</v>
          </cell>
          <cell r="G166">
            <v>31</v>
          </cell>
          <cell r="H166">
            <v>611941</v>
          </cell>
          <cell r="I166" t="str">
            <v>FRINGE BENEFIT 3</v>
          </cell>
          <cell r="J166">
            <v>10239</v>
          </cell>
        </row>
        <row r="167">
          <cell r="A167">
            <v>31</v>
          </cell>
          <cell r="B167">
            <v>611941</v>
          </cell>
          <cell r="C167" t="str">
            <v>FRINGE BENEFIT 3</v>
          </cell>
          <cell r="D167">
            <v>16490.16</v>
          </cell>
          <cell r="G167">
            <v>31</v>
          </cell>
          <cell r="H167">
            <v>611941</v>
          </cell>
          <cell r="I167" t="str">
            <v>FRINGE BENEFIT 3</v>
          </cell>
          <cell r="J167">
            <v>5686</v>
          </cell>
        </row>
        <row r="168">
          <cell r="A168">
            <v>31</v>
          </cell>
          <cell r="B168">
            <v>611941</v>
          </cell>
          <cell r="C168" t="str">
            <v>FRINGE BENEFIT 3</v>
          </cell>
          <cell r="D168">
            <v>650.41</v>
          </cell>
          <cell r="G168">
            <v>33</v>
          </cell>
          <cell r="H168">
            <v>617001</v>
          </cell>
          <cell r="I168" t="str">
            <v>CONSULTING EXPENSE</v>
          </cell>
          <cell r="J168">
            <v>229482.65</v>
          </cell>
        </row>
        <row r="169">
          <cell r="A169">
            <v>31</v>
          </cell>
          <cell r="B169">
            <v>611941</v>
          </cell>
          <cell r="C169" t="str">
            <v>FRINGE BENEFIT 3</v>
          </cell>
          <cell r="D169">
            <v>1248.92</v>
          </cell>
          <cell r="G169">
            <v>33</v>
          </cell>
          <cell r="H169">
            <v>617001</v>
          </cell>
          <cell r="I169" t="str">
            <v>CONSULTING EXPENSE</v>
          </cell>
          <cell r="J169">
            <v>751.29</v>
          </cell>
        </row>
        <row r="170">
          <cell r="A170">
            <v>31</v>
          </cell>
          <cell r="B170">
            <v>611941</v>
          </cell>
          <cell r="C170" t="str">
            <v>FRINGE BENEFIT 3</v>
          </cell>
          <cell r="D170">
            <v>2796.52</v>
          </cell>
          <cell r="G170">
            <v>33</v>
          </cell>
          <cell r="H170">
            <v>617001</v>
          </cell>
          <cell r="I170" t="str">
            <v>CONSULTING EXPENSE</v>
          </cell>
          <cell r="J170">
            <v>1748862.7</v>
          </cell>
        </row>
        <row r="171">
          <cell r="A171">
            <v>31</v>
          </cell>
          <cell r="B171">
            <v>611941</v>
          </cell>
          <cell r="C171" t="str">
            <v>FRINGE BENEFIT 3</v>
          </cell>
          <cell r="D171">
            <v>182885.57</v>
          </cell>
          <cell r="G171">
            <v>38</v>
          </cell>
          <cell r="H171">
            <v>620001</v>
          </cell>
          <cell r="I171" t="str">
            <v>AIR TRAVEL</v>
          </cell>
          <cell r="J171">
            <v>2008.75</v>
          </cell>
        </row>
        <row r="172">
          <cell r="A172">
            <v>31</v>
          </cell>
          <cell r="B172">
            <v>611941</v>
          </cell>
          <cell r="C172" t="str">
            <v>FRINGE BENEFIT 3</v>
          </cell>
          <cell r="D172">
            <v>2155.73</v>
          </cell>
          <cell r="G172">
            <v>38</v>
          </cell>
          <cell r="H172">
            <v>620001</v>
          </cell>
          <cell r="I172" t="str">
            <v>AIR TRAVEL</v>
          </cell>
          <cell r="J172">
            <v>73743.48</v>
          </cell>
        </row>
        <row r="173">
          <cell r="A173">
            <v>31</v>
          </cell>
          <cell r="B173">
            <v>611941</v>
          </cell>
          <cell r="C173" t="str">
            <v>FRINGE BENEFIT 3</v>
          </cell>
          <cell r="D173">
            <v>1201.52</v>
          </cell>
          <cell r="G173">
            <v>38</v>
          </cell>
          <cell r="H173">
            <v>620001</v>
          </cell>
          <cell r="I173" t="str">
            <v>AIR TRAVEL</v>
          </cell>
          <cell r="J173">
            <v>24019.78</v>
          </cell>
        </row>
        <row r="174">
          <cell r="A174">
            <v>33</v>
          </cell>
          <cell r="B174">
            <v>617001</v>
          </cell>
          <cell r="C174" t="str">
            <v>CONSULTING EXPENSE</v>
          </cell>
          <cell r="D174">
            <v>50937.64</v>
          </cell>
          <cell r="G174">
            <v>38</v>
          </cell>
          <cell r="H174">
            <v>620001</v>
          </cell>
          <cell r="I174" t="str">
            <v>AIR TRAVEL</v>
          </cell>
          <cell r="J174">
            <v>6106.94</v>
          </cell>
        </row>
        <row r="175">
          <cell r="A175">
            <v>33</v>
          </cell>
          <cell r="B175">
            <v>617001</v>
          </cell>
          <cell r="C175" t="str">
            <v>CONSULTING EXPENSE</v>
          </cell>
          <cell r="D175">
            <v>155</v>
          </cell>
          <cell r="G175">
            <v>38</v>
          </cell>
          <cell r="H175">
            <v>620001</v>
          </cell>
          <cell r="I175" t="str">
            <v>AIR TRAVEL</v>
          </cell>
          <cell r="J175">
            <v>11225.6</v>
          </cell>
        </row>
        <row r="176">
          <cell r="A176">
            <v>33</v>
          </cell>
          <cell r="B176">
            <v>617001</v>
          </cell>
          <cell r="C176" t="str">
            <v>CONSULTING EXPENSE</v>
          </cell>
          <cell r="D176">
            <v>369121.73</v>
          </cell>
          <cell r="G176">
            <v>38</v>
          </cell>
          <cell r="H176">
            <v>620001</v>
          </cell>
          <cell r="I176" t="str">
            <v>AIR TRAVEL</v>
          </cell>
          <cell r="J176">
            <v>10643.44</v>
          </cell>
        </row>
        <row r="177">
          <cell r="A177">
            <v>38</v>
          </cell>
          <cell r="B177">
            <v>620001</v>
          </cell>
          <cell r="C177" t="str">
            <v>AIR TRAVEL</v>
          </cell>
          <cell r="D177">
            <v>412.39</v>
          </cell>
          <cell r="G177">
            <v>38</v>
          </cell>
          <cell r="H177">
            <v>620001</v>
          </cell>
          <cell r="I177" t="str">
            <v>AIR TRAVEL</v>
          </cell>
          <cell r="J177">
            <v>560456.14</v>
          </cell>
        </row>
        <row r="178">
          <cell r="A178">
            <v>38</v>
          </cell>
          <cell r="B178">
            <v>620001</v>
          </cell>
          <cell r="C178" t="str">
            <v>AIR TRAVEL</v>
          </cell>
          <cell r="D178">
            <v>16173.36</v>
          </cell>
          <cell r="G178">
            <v>38</v>
          </cell>
          <cell r="H178">
            <v>622011</v>
          </cell>
          <cell r="I178" t="str">
            <v>AUTO RENTAL</v>
          </cell>
          <cell r="J178">
            <v>4139.46</v>
          </cell>
        </row>
        <row r="179">
          <cell r="A179">
            <v>38</v>
          </cell>
          <cell r="B179">
            <v>620001</v>
          </cell>
          <cell r="C179" t="str">
            <v>AIR TRAVEL</v>
          </cell>
          <cell r="D179">
            <v>5058.88</v>
          </cell>
          <cell r="G179">
            <v>38</v>
          </cell>
          <cell r="H179">
            <v>622011</v>
          </cell>
          <cell r="I179" t="str">
            <v>AUTO RENTAL</v>
          </cell>
          <cell r="J179">
            <v>14681.94</v>
          </cell>
        </row>
        <row r="180">
          <cell r="A180">
            <v>38</v>
          </cell>
          <cell r="B180">
            <v>620001</v>
          </cell>
          <cell r="C180" t="str">
            <v>AIR TRAVEL</v>
          </cell>
          <cell r="D180">
            <v>1276</v>
          </cell>
          <cell r="G180">
            <v>38</v>
          </cell>
          <cell r="H180">
            <v>622011</v>
          </cell>
          <cell r="I180" t="str">
            <v>AUTO RENTAL</v>
          </cell>
          <cell r="J180">
            <v>-7775.48</v>
          </cell>
        </row>
        <row r="181">
          <cell r="A181">
            <v>38</v>
          </cell>
          <cell r="B181">
            <v>620001</v>
          </cell>
          <cell r="C181" t="str">
            <v>AIR TRAVEL</v>
          </cell>
          <cell r="D181">
            <v>2358.6999999999998</v>
          </cell>
          <cell r="G181">
            <v>37</v>
          </cell>
          <cell r="H181">
            <v>622021</v>
          </cell>
          <cell r="I181" t="str">
            <v>MEALS</v>
          </cell>
          <cell r="J181">
            <v>113155.98</v>
          </cell>
        </row>
        <row r="182">
          <cell r="A182">
            <v>38</v>
          </cell>
          <cell r="B182">
            <v>620001</v>
          </cell>
          <cell r="C182" t="str">
            <v>AIR TRAVEL</v>
          </cell>
          <cell r="D182">
            <v>2410.1999999999998</v>
          </cell>
          <cell r="G182">
            <v>37</v>
          </cell>
          <cell r="H182">
            <v>622021</v>
          </cell>
          <cell r="I182" t="str">
            <v>MEALS</v>
          </cell>
          <cell r="J182">
            <v>338</v>
          </cell>
        </row>
        <row r="183">
          <cell r="A183">
            <v>38</v>
          </cell>
          <cell r="B183">
            <v>620001</v>
          </cell>
          <cell r="C183" t="str">
            <v>AIR TRAVEL</v>
          </cell>
          <cell r="D183">
            <v>117586.11</v>
          </cell>
          <cell r="G183">
            <v>37</v>
          </cell>
          <cell r="H183">
            <v>622021</v>
          </cell>
          <cell r="I183" t="str">
            <v>MEALS</v>
          </cell>
          <cell r="J183">
            <v>2998.69</v>
          </cell>
        </row>
        <row r="184">
          <cell r="A184">
            <v>39</v>
          </cell>
          <cell r="B184">
            <v>622011</v>
          </cell>
          <cell r="C184" t="str">
            <v>AUTO RENTAL</v>
          </cell>
          <cell r="D184">
            <v>899.49</v>
          </cell>
          <cell r="G184">
            <v>37</v>
          </cell>
          <cell r="H184">
            <v>622021</v>
          </cell>
          <cell r="I184" t="str">
            <v>MEALS</v>
          </cell>
          <cell r="J184">
            <v>414529.65</v>
          </cell>
        </row>
        <row r="185">
          <cell r="A185">
            <v>39</v>
          </cell>
          <cell r="B185">
            <v>622011</v>
          </cell>
          <cell r="C185" t="str">
            <v>AUTO RENTAL</v>
          </cell>
          <cell r="D185">
            <v>3132.17</v>
          </cell>
          <cell r="G185">
            <v>37</v>
          </cell>
          <cell r="H185">
            <v>622031</v>
          </cell>
          <cell r="I185" t="str">
            <v>TAXI/LIMO</v>
          </cell>
          <cell r="J185">
            <v>665.53</v>
          </cell>
        </row>
        <row r="186">
          <cell r="A186">
            <v>39</v>
          </cell>
          <cell r="B186">
            <v>622011</v>
          </cell>
          <cell r="C186" t="str">
            <v>AUTO RENTAL</v>
          </cell>
          <cell r="D186">
            <v>-2151.87</v>
          </cell>
          <cell r="G186">
            <v>39</v>
          </cell>
          <cell r="H186">
            <v>622031</v>
          </cell>
          <cell r="I186" t="str">
            <v>TAXI/LIMO</v>
          </cell>
          <cell r="J186">
            <v>580.92999999999995</v>
          </cell>
        </row>
        <row r="187">
          <cell r="A187">
            <v>37</v>
          </cell>
          <cell r="B187">
            <v>622021</v>
          </cell>
          <cell r="C187" t="str">
            <v>MEALS</v>
          </cell>
          <cell r="D187">
            <v>24579.759999999998</v>
          </cell>
          <cell r="G187">
            <v>37</v>
          </cell>
          <cell r="H187">
            <v>622031</v>
          </cell>
          <cell r="I187" t="str">
            <v>TAXI/LIMO</v>
          </cell>
          <cell r="J187">
            <v>2323.5100000000002</v>
          </cell>
        </row>
        <row r="188">
          <cell r="A188">
            <v>37</v>
          </cell>
          <cell r="B188">
            <v>622021</v>
          </cell>
          <cell r="C188" t="str">
            <v>MEALS</v>
          </cell>
          <cell r="D188">
            <v>71.94</v>
          </cell>
          <cell r="G188">
            <v>34</v>
          </cell>
          <cell r="H188">
            <v>622041</v>
          </cell>
          <cell r="I188" t="str">
            <v>PARKING &amp; TOLLS</v>
          </cell>
          <cell r="J188">
            <v>1090.83</v>
          </cell>
        </row>
        <row r="189">
          <cell r="A189">
            <v>37</v>
          </cell>
          <cell r="B189">
            <v>622021</v>
          </cell>
          <cell r="C189" t="str">
            <v>MEALS</v>
          </cell>
          <cell r="D189">
            <v>614.12</v>
          </cell>
          <cell r="G189">
            <v>34</v>
          </cell>
          <cell r="H189">
            <v>622041</v>
          </cell>
          <cell r="I189" t="str">
            <v>PARKING &amp; TOLLS</v>
          </cell>
          <cell r="J189">
            <v>688.23</v>
          </cell>
        </row>
        <row r="190">
          <cell r="A190">
            <v>37</v>
          </cell>
          <cell r="B190">
            <v>622021</v>
          </cell>
          <cell r="C190" t="str">
            <v>MEALS</v>
          </cell>
          <cell r="D190">
            <v>87167.46</v>
          </cell>
          <cell r="G190">
            <v>34</v>
          </cell>
          <cell r="H190">
            <v>622041</v>
          </cell>
          <cell r="I190" t="str">
            <v>PARKING &amp; TOLLS</v>
          </cell>
          <cell r="J190">
            <v>104.25</v>
          </cell>
        </row>
        <row r="191">
          <cell r="A191">
            <v>37</v>
          </cell>
          <cell r="B191">
            <v>622031</v>
          </cell>
          <cell r="C191" t="str">
            <v>TAXI/LIMO</v>
          </cell>
          <cell r="D191">
            <v>146.94</v>
          </cell>
          <cell r="G191">
            <v>34</v>
          </cell>
          <cell r="H191">
            <v>622041</v>
          </cell>
          <cell r="I191" t="str">
            <v>PARKING &amp; TOLLS</v>
          </cell>
          <cell r="J191">
            <v>34.75</v>
          </cell>
        </row>
        <row r="192">
          <cell r="A192">
            <v>37</v>
          </cell>
          <cell r="B192">
            <v>622031</v>
          </cell>
          <cell r="C192" t="str">
            <v>TAXI/LIMO</v>
          </cell>
          <cell r="D192">
            <v>122.48</v>
          </cell>
          <cell r="G192">
            <v>34</v>
          </cell>
          <cell r="H192">
            <v>622041</v>
          </cell>
          <cell r="I192" t="str">
            <v>PARKING &amp; TOLLS</v>
          </cell>
          <cell r="J192">
            <v>6867.7</v>
          </cell>
        </row>
        <row r="193">
          <cell r="A193">
            <v>37</v>
          </cell>
          <cell r="B193">
            <v>622031</v>
          </cell>
          <cell r="C193" t="str">
            <v>TAXI/LIMO</v>
          </cell>
          <cell r="D193">
            <v>491.3</v>
          </cell>
          <cell r="G193">
            <v>34</v>
          </cell>
          <cell r="H193">
            <v>622041</v>
          </cell>
          <cell r="I193" t="str">
            <v>PARKING &amp; TOLLS</v>
          </cell>
          <cell r="J193">
            <v>142.56</v>
          </cell>
        </row>
        <row r="194">
          <cell r="A194">
            <v>34</v>
          </cell>
          <cell r="B194">
            <v>622041</v>
          </cell>
          <cell r="C194" t="str">
            <v>PARKING &amp; TOLLS</v>
          </cell>
          <cell r="D194">
            <v>239.42</v>
          </cell>
          <cell r="G194">
            <v>37</v>
          </cell>
          <cell r="H194">
            <v>622051</v>
          </cell>
          <cell r="I194" t="str">
            <v>ENTERTAINMENT OTHER</v>
          </cell>
          <cell r="J194">
            <v>1600</v>
          </cell>
        </row>
        <row r="195">
          <cell r="A195">
            <v>34</v>
          </cell>
          <cell r="B195">
            <v>622041</v>
          </cell>
          <cell r="C195" t="str">
            <v>PARKING &amp; TOLLS</v>
          </cell>
          <cell r="D195">
            <v>147.09</v>
          </cell>
          <cell r="G195">
            <v>37</v>
          </cell>
          <cell r="H195">
            <v>622051</v>
          </cell>
          <cell r="I195" t="str">
            <v>ENTERTAINMENT OTHER</v>
          </cell>
          <cell r="J195">
            <v>461.97</v>
          </cell>
        </row>
        <row r="196">
          <cell r="A196">
            <v>34</v>
          </cell>
          <cell r="B196">
            <v>622041</v>
          </cell>
          <cell r="C196" t="str">
            <v>PARKING &amp; TOLLS</v>
          </cell>
          <cell r="D196">
            <v>21.19</v>
          </cell>
          <cell r="G196">
            <v>37</v>
          </cell>
          <cell r="H196">
            <v>622051</v>
          </cell>
          <cell r="I196" t="str">
            <v>ENTERTAINMENT OTHER</v>
          </cell>
          <cell r="J196">
            <v>3831.88</v>
          </cell>
        </row>
        <row r="197">
          <cell r="A197">
            <v>34</v>
          </cell>
          <cell r="B197">
            <v>622041</v>
          </cell>
          <cell r="C197" t="str">
            <v>PARKING &amp; TOLLS</v>
          </cell>
          <cell r="D197">
            <v>7.07</v>
          </cell>
          <cell r="G197">
            <v>37</v>
          </cell>
          <cell r="H197">
            <v>622053</v>
          </cell>
          <cell r="I197" t="str">
            <v>ENTERTAINMENT EE - D</v>
          </cell>
          <cell r="J197">
            <v>210</v>
          </cell>
        </row>
        <row r="198">
          <cell r="A198">
            <v>34</v>
          </cell>
          <cell r="B198">
            <v>622041</v>
          </cell>
          <cell r="C198" t="str">
            <v>PARKING &amp; TOLLS</v>
          </cell>
          <cell r="D198">
            <v>1437.77</v>
          </cell>
          <cell r="G198">
            <v>37</v>
          </cell>
          <cell r="H198">
            <v>622053</v>
          </cell>
          <cell r="I198" t="str">
            <v>ENTERTAINMENT EE - D</v>
          </cell>
          <cell r="J198">
            <v>4212</v>
          </cell>
        </row>
        <row r="199">
          <cell r="A199">
            <v>34</v>
          </cell>
          <cell r="B199">
            <v>622041</v>
          </cell>
          <cell r="C199" t="str">
            <v>PARKING &amp; TOLLS</v>
          </cell>
          <cell r="D199">
            <v>29.27</v>
          </cell>
          <cell r="G199">
            <v>37</v>
          </cell>
          <cell r="H199">
            <v>622053</v>
          </cell>
          <cell r="I199" t="str">
            <v>ENTERTAINMENT EE - D</v>
          </cell>
          <cell r="J199">
            <v>352</v>
          </cell>
        </row>
        <row r="200">
          <cell r="A200">
            <v>37</v>
          </cell>
          <cell r="B200">
            <v>622051</v>
          </cell>
          <cell r="C200" t="str">
            <v>ENTERTAINMENT OTHER</v>
          </cell>
          <cell r="D200">
            <v>358.66</v>
          </cell>
          <cell r="G200">
            <v>37</v>
          </cell>
          <cell r="H200">
            <v>622053</v>
          </cell>
          <cell r="I200" t="str">
            <v>ENTERTAINMENT EE - D</v>
          </cell>
          <cell r="J200">
            <v>704</v>
          </cell>
        </row>
        <row r="201">
          <cell r="A201">
            <v>37</v>
          </cell>
          <cell r="B201">
            <v>622051</v>
          </cell>
          <cell r="C201" t="str">
            <v>ENTERTAINMENT OTHER</v>
          </cell>
          <cell r="D201">
            <v>99.94</v>
          </cell>
          <cell r="G201">
            <v>37</v>
          </cell>
          <cell r="H201">
            <v>622053</v>
          </cell>
          <cell r="I201" t="str">
            <v>ENTERTAINMENT EE - D</v>
          </cell>
          <cell r="J201">
            <v>64447</v>
          </cell>
        </row>
        <row r="202">
          <cell r="A202">
            <v>37</v>
          </cell>
          <cell r="B202">
            <v>622051</v>
          </cell>
          <cell r="C202" t="str">
            <v>ENTERTAINMENT OTHER</v>
          </cell>
          <cell r="D202">
            <v>795.51</v>
          </cell>
          <cell r="G202">
            <v>38</v>
          </cell>
          <cell r="H202">
            <v>622501</v>
          </cell>
          <cell r="I202" t="str">
            <v>MISCELLANEOUS TRAVEL</v>
          </cell>
          <cell r="J202">
            <v>73879.55</v>
          </cell>
        </row>
        <row r="203">
          <cell r="A203">
            <v>37</v>
          </cell>
          <cell r="B203">
            <v>622053</v>
          </cell>
          <cell r="C203" t="str">
            <v>ENTERTAINMENT EE - D</v>
          </cell>
          <cell r="D203">
            <v>45.63</v>
          </cell>
          <cell r="G203">
            <v>38</v>
          </cell>
          <cell r="H203">
            <v>622501</v>
          </cell>
          <cell r="I203" t="str">
            <v>MISCELLANEOUS TRAVEL</v>
          </cell>
          <cell r="J203">
            <v>11925.07</v>
          </cell>
        </row>
        <row r="204">
          <cell r="A204">
            <v>37</v>
          </cell>
          <cell r="B204">
            <v>622053</v>
          </cell>
          <cell r="C204" t="str">
            <v>ENTERTAINMENT EE - D</v>
          </cell>
          <cell r="D204">
            <v>911.1</v>
          </cell>
          <cell r="G204">
            <v>38</v>
          </cell>
          <cell r="H204">
            <v>622501</v>
          </cell>
          <cell r="I204" t="str">
            <v>MISCELLANEOUS TRAVEL</v>
          </cell>
          <cell r="J204">
            <v>2080</v>
          </cell>
        </row>
        <row r="205">
          <cell r="A205">
            <v>37</v>
          </cell>
          <cell r="B205">
            <v>622053</v>
          </cell>
          <cell r="C205" t="str">
            <v>ENTERTAINMENT EE - D</v>
          </cell>
          <cell r="D205">
            <v>76.14</v>
          </cell>
          <cell r="G205">
            <v>38</v>
          </cell>
          <cell r="H205">
            <v>622501</v>
          </cell>
          <cell r="I205" t="str">
            <v>MISCELLANEOUS TRAVEL</v>
          </cell>
          <cell r="J205">
            <v>7856</v>
          </cell>
        </row>
        <row r="206">
          <cell r="A206">
            <v>37</v>
          </cell>
          <cell r="B206">
            <v>622053</v>
          </cell>
          <cell r="C206" t="str">
            <v>ENTERTAINMENT EE - D</v>
          </cell>
          <cell r="D206">
            <v>152.28</v>
          </cell>
          <cell r="G206">
            <v>38</v>
          </cell>
          <cell r="H206">
            <v>622501</v>
          </cell>
          <cell r="I206" t="str">
            <v>MISCELLANEOUS TRAVEL</v>
          </cell>
          <cell r="J206">
            <v>20089.439999999999</v>
          </cell>
        </row>
        <row r="207">
          <cell r="A207">
            <v>37</v>
          </cell>
          <cell r="B207">
            <v>622053</v>
          </cell>
          <cell r="C207" t="str">
            <v>ENTERTAINMENT EE - D</v>
          </cell>
          <cell r="D207">
            <v>13781.93</v>
          </cell>
          <cell r="G207">
            <v>38</v>
          </cell>
          <cell r="H207">
            <v>622501</v>
          </cell>
          <cell r="I207" t="str">
            <v>MISCELLANEOUS TRAVEL</v>
          </cell>
          <cell r="J207">
            <v>447371.28</v>
          </cell>
        </row>
        <row r="208">
          <cell r="A208">
            <v>38</v>
          </cell>
          <cell r="B208">
            <v>622501</v>
          </cell>
          <cell r="C208" t="str">
            <v>MISCELLANEOUS TRAVEL</v>
          </cell>
          <cell r="D208">
            <v>16008.07</v>
          </cell>
          <cell r="G208">
            <v>38</v>
          </cell>
          <cell r="H208">
            <v>622501</v>
          </cell>
          <cell r="I208" t="str">
            <v>MISCELLANEOUS TRAVEL</v>
          </cell>
          <cell r="J208">
            <v>7026.41</v>
          </cell>
        </row>
        <row r="209">
          <cell r="A209">
            <v>38</v>
          </cell>
          <cell r="B209">
            <v>622501</v>
          </cell>
          <cell r="C209" t="str">
            <v>MISCELLANEOUS TRAVEL</v>
          </cell>
          <cell r="D209">
            <v>2517.89</v>
          </cell>
          <cell r="G209">
            <v>39</v>
          </cell>
          <cell r="H209">
            <v>624101</v>
          </cell>
          <cell r="I209" t="str">
            <v>AUTO - REPAIRS &amp; MAI</v>
          </cell>
          <cell r="J209">
            <v>1497.61</v>
          </cell>
        </row>
        <row r="210">
          <cell r="A210">
            <v>38</v>
          </cell>
          <cell r="B210">
            <v>622501</v>
          </cell>
          <cell r="C210" t="str">
            <v>MISCELLANEOUS TRAVEL</v>
          </cell>
          <cell r="D210">
            <v>451.98</v>
          </cell>
          <cell r="G210">
            <v>39</v>
          </cell>
          <cell r="H210">
            <v>624101</v>
          </cell>
          <cell r="I210" t="str">
            <v>AUTO - REPAIRS &amp; MAI</v>
          </cell>
          <cell r="J210">
            <v>392.06</v>
          </cell>
        </row>
        <row r="211">
          <cell r="A211">
            <v>38</v>
          </cell>
          <cell r="B211">
            <v>622501</v>
          </cell>
          <cell r="C211" t="str">
            <v>MISCELLANEOUS TRAVEL</v>
          </cell>
          <cell r="D211">
            <v>1647.78</v>
          </cell>
          <cell r="G211">
            <v>39</v>
          </cell>
          <cell r="H211">
            <v>624101</v>
          </cell>
          <cell r="I211" t="str">
            <v>AUTO - REPAIRS &amp; MAI</v>
          </cell>
          <cell r="J211">
            <v>2013.05</v>
          </cell>
        </row>
        <row r="212">
          <cell r="A212">
            <v>38</v>
          </cell>
          <cell r="B212">
            <v>622501</v>
          </cell>
          <cell r="C212" t="str">
            <v>MISCELLANEOUS TRAVEL</v>
          </cell>
          <cell r="D212">
            <v>4205.3500000000004</v>
          </cell>
          <cell r="G212">
            <v>39</v>
          </cell>
          <cell r="H212">
            <v>624101</v>
          </cell>
          <cell r="I212" t="str">
            <v>AUTO - REPAIRS &amp; MAI</v>
          </cell>
          <cell r="J212">
            <v>32029.88</v>
          </cell>
        </row>
        <row r="213">
          <cell r="A213">
            <v>38</v>
          </cell>
          <cell r="B213">
            <v>622501</v>
          </cell>
          <cell r="C213" t="str">
            <v>MISCELLANEOUS TRAVEL</v>
          </cell>
          <cell r="D213">
            <v>93103.53</v>
          </cell>
          <cell r="G213">
            <v>39</v>
          </cell>
          <cell r="H213">
            <v>624101</v>
          </cell>
          <cell r="I213" t="str">
            <v>AUTO - REPAIRS &amp; MAI</v>
          </cell>
          <cell r="J213">
            <v>481.15</v>
          </cell>
        </row>
        <row r="214">
          <cell r="A214">
            <v>38</v>
          </cell>
          <cell r="B214">
            <v>622501</v>
          </cell>
          <cell r="C214" t="str">
            <v>MISCELLANEOUS TRAVEL</v>
          </cell>
          <cell r="D214">
            <v>1445.27</v>
          </cell>
          <cell r="G214">
            <v>39</v>
          </cell>
          <cell r="H214">
            <v>624102</v>
          </cell>
          <cell r="I214" t="str">
            <v>AUTO -  INSURANCE</v>
          </cell>
          <cell r="J214">
            <v>683</v>
          </cell>
        </row>
        <row r="215">
          <cell r="A215">
            <v>39</v>
          </cell>
          <cell r="B215">
            <v>624101</v>
          </cell>
          <cell r="C215" t="str">
            <v>AUTO - REPAIRS &amp; MAI</v>
          </cell>
          <cell r="D215">
            <v>325.8</v>
          </cell>
          <cell r="G215">
            <v>39</v>
          </cell>
          <cell r="H215">
            <v>624102</v>
          </cell>
          <cell r="I215" t="str">
            <v>AUTO -  INSURANCE</v>
          </cell>
          <cell r="J215">
            <v>5666.31</v>
          </cell>
        </row>
        <row r="216">
          <cell r="A216">
            <v>39</v>
          </cell>
          <cell r="B216">
            <v>624101</v>
          </cell>
          <cell r="C216" t="str">
            <v>AUTO - REPAIRS &amp; MAI</v>
          </cell>
          <cell r="D216">
            <v>84.77</v>
          </cell>
          <cell r="G216">
            <v>39</v>
          </cell>
          <cell r="H216">
            <v>624103</v>
          </cell>
          <cell r="I216" t="str">
            <v>AUTO - LEASING CHARG</v>
          </cell>
          <cell r="J216">
            <v>263784.02</v>
          </cell>
        </row>
        <row r="217">
          <cell r="A217">
            <v>39</v>
          </cell>
          <cell r="B217">
            <v>624101</v>
          </cell>
          <cell r="C217" t="str">
            <v>AUTO - REPAIRS &amp; MAI</v>
          </cell>
          <cell r="D217">
            <v>410.47</v>
          </cell>
          <cell r="G217">
            <v>39</v>
          </cell>
          <cell r="H217">
            <v>624103</v>
          </cell>
          <cell r="I217" t="str">
            <v>AUTO - LEASING CHARG</v>
          </cell>
          <cell r="J217">
            <v>61112.57</v>
          </cell>
        </row>
        <row r="218">
          <cell r="A218">
            <v>39</v>
          </cell>
          <cell r="B218">
            <v>624101</v>
          </cell>
          <cell r="C218" t="str">
            <v>AUTO - REPAIRS &amp; MAI</v>
          </cell>
          <cell r="D218">
            <v>6775.81</v>
          </cell>
          <cell r="G218">
            <v>39</v>
          </cell>
          <cell r="H218">
            <v>624103</v>
          </cell>
          <cell r="I218" t="str">
            <v>AUTO - LEASING CHARG</v>
          </cell>
          <cell r="J218">
            <v>3719.17</v>
          </cell>
        </row>
        <row r="219">
          <cell r="A219">
            <v>39</v>
          </cell>
          <cell r="B219">
            <v>624101</v>
          </cell>
          <cell r="C219" t="str">
            <v>AUTO - REPAIRS &amp; MAI</v>
          </cell>
          <cell r="D219">
            <v>98.77</v>
          </cell>
          <cell r="G219">
            <v>39</v>
          </cell>
          <cell r="H219">
            <v>624103</v>
          </cell>
          <cell r="I219" t="str">
            <v>AUTO - LEASING CHARG</v>
          </cell>
          <cell r="J219">
            <v>7688.28</v>
          </cell>
        </row>
        <row r="220">
          <cell r="A220">
            <v>39</v>
          </cell>
          <cell r="B220">
            <v>624102</v>
          </cell>
          <cell r="C220" t="str">
            <v>AUTO -  INSURANCE</v>
          </cell>
          <cell r="D220">
            <v>147.87</v>
          </cell>
          <cell r="G220">
            <v>39</v>
          </cell>
          <cell r="H220">
            <v>624103</v>
          </cell>
          <cell r="I220" t="str">
            <v>AUTO - LEASING CHARG</v>
          </cell>
          <cell r="J220">
            <v>64014.559999999998</v>
          </cell>
        </row>
        <row r="221">
          <cell r="A221">
            <v>39</v>
          </cell>
          <cell r="B221">
            <v>624102</v>
          </cell>
          <cell r="C221" t="str">
            <v>AUTO -  INSURANCE</v>
          </cell>
          <cell r="D221">
            <v>1202.94</v>
          </cell>
          <cell r="G221">
            <v>39</v>
          </cell>
          <cell r="H221">
            <v>624103</v>
          </cell>
          <cell r="I221" t="str">
            <v>AUTO - LEASING CHARG</v>
          </cell>
          <cell r="J221">
            <v>1202134.31</v>
          </cell>
        </row>
        <row r="222">
          <cell r="A222">
            <v>39</v>
          </cell>
          <cell r="B222">
            <v>624103</v>
          </cell>
          <cell r="C222" t="str">
            <v>AUTO - LEASING CHARG</v>
          </cell>
          <cell r="D222">
            <v>57955.17</v>
          </cell>
          <cell r="G222">
            <v>39</v>
          </cell>
          <cell r="H222">
            <v>624103</v>
          </cell>
          <cell r="I222" t="str">
            <v>AUTO - LEASING CHARG</v>
          </cell>
          <cell r="J222">
            <v>3284.2</v>
          </cell>
        </row>
        <row r="223">
          <cell r="A223">
            <v>39</v>
          </cell>
          <cell r="B223">
            <v>624103</v>
          </cell>
          <cell r="C223" t="str">
            <v>AUTO - LEASING CHARG</v>
          </cell>
          <cell r="D223">
            <v>12876.08</v>
          </cell>
          <cell r="G223">
            <v>39</v>
          </cell>
          <cell r="H223">
            <v>624103</v>
          </cell>
          <cell r="I223" t="str">
            <v>AUTO - LEASING CHARG</v>
          </cell>
          <cell r="J223">
            <v>3300.36</v>
          </cell>
        </row>
        <row r="224">
          <cell r="A224">
            <v>39</v>
          </cell>
          <cell r="B224">
            <v>624103</v>
          </cell>
          <cell r="C224" t="str">
            <v>AUTO - LEASING CHARG</v>
          </cell>
          <cell r="D224">
            <v>769.66</v>
          </cell>
          <cell r="G224">
            <v>39</v>
          </cell>
          <cell r="H224">
            <v>624103</v>
          </cell>
          <cell r="I224" t="str">
            <v>AUTO - LEASING CHARG</v>
          </cell>
          <cell r="J224">
            <v>9731.98</v>
          </cell>
        </row>
        <row r="225">
          <cell r="A225">
            <v>39</v>
          </cell>
          <cell r="B225">
            <v>624103</v>
          </cell>
          <cell r="C225" t="str">
            <v>AUTO - LEASING CHARG</v>
          </cell>
          <cell r="D225">
            <v>1636.7</v>
          </cell>
          <cell r="G225">
            <v>39</v>
          </cell>
          <cell r="H225">
            <v>624104</v>
          </cell>
          <cell r="I225" t="str">
            <v>AUTO - GAS &amp; OIL</v>
          </cell>
          <cell r="J225">
            <v>61279.17</v>
          </cell>
        </row>
        <row r="226">
          <cell r="A226">
            <v>39</v>
          </cell>
          <cell r="B226">
            <v>624103</v>
          </cell>
          <cell r="C226" t="str">
            <v>AUTO - LEASING CHARG</v>
          </cell>
          <cell r="D226">
            <v>13745.55</v>
          </cell>
          <cell r="G226">
            <v>39</v>
          </cell>
          <cell r="H226">
            <v>624104</v>
          </cell>
          <cell r="I226" t="str">
            <v>AUTO - GAS &amp; OIL</v>
          </cell>
          <cell r="J226">
            <v>25483.119999999999</v>
          </cell>
        </row>
        <row r="227">
          <cell r="A227">
            <v>39</v>
          </cell>
          <cell r="B227">
            <v>624103</v>
          </cell>
          <cell r="C227" t="str">
            <v>AUTO - LEASING CHARG</v>
          </cell>
          <cell r="D227">
            <v>252051.85</v>
          </cell>
          <cell r="G227">
            <v>39</v>
          </cell>
          <cell r="H227">
            <v>624104</v>
          </cell>
          <cell r="I227" t="str">
            <v>AUTO - GAS &amp; OIL</v>
          </cell>
          <cell r="J227">
            <v>1970.11</v>
          </cell>
        </row>
        <row r="228">
          <cell r="A228">
            <v>39</v>
          </cell>
          <cell r="B228">
            <v>624103</v>
          </cell>
          <cell r="C228" t="str">
            <v>AUTO - LEASING CHARG</v>
          </cell>
          <cell r="D228">
            <v>675.9</v>
          </cell>
          <cell r="G228">
            <v>39</v>
          </cell>
          <cell r="H228">
            <v>624104</v>
          </cell>
          <cell r="I228" t="str">
            <v>AUTO - GAS &amp; OIL</v>
          </cell>
          <cell r="J228">
            <v>3736.53</v>
          </cell>
        </row>
        <row r="229">
          <cell r="A229">
            <v>39</v>
          </cell>
          <cell r="B229">
            <v>624103</v>
          </cell>
          <cell r="C229" t="str">
            <v>AUTO - LEASING CHARG</v>
          </cell>
          <cell r="D229">
            <v>696.86</v>
          </cell>
          <cell r="G229">
            <v>39</v>
          </cell>
          <cell r="H229">
            <v>624104</v>
          </cell>
          <cell r="I229" t="str">
            <v>AUTO - GAS &amp; OIL</v>
          </cell>
          <cell r="J229">
            <v>16204.02</v>
          </cell>
        </row>
        <row r="230">
          <cell r="A230">
            <v>39</v>
          </cell>
          <cell r="B230">
            <v>624103</v>
          </cell>
          <cell r="C230" t="str">
            <v>AUTO - LEASING CHARG</v>
          </cell>
          <cell r="D230">
            <v>2084.38</v>
          </cell>
          <cell r="G230">
            <v>39</v>
          </cell>
          <cell r="H230">
            <v>624104</v>
          </cell>
          <cell r="I230" t="str">
            <v>AUTO - GAS &amp; OIL</v>
          </cell>
          <cell r="J230">
            <v>343975.83</v>
          </cell>
        </row>
        <row r="231">
          <cell r="A231">
            <v>39</v>
          </cell>
          <cell r="B231">
            <v>624104</v>
          </cell>
          <cell r="C231" t="str">
            <v>AUTO - GAS &amp; OIL</v>
          </cell>
          <cell r="D231">
            <v>13440.12</v>
          </cell>
          <cell r="G231">
            <v>39</v>
          </cell>
          <cell r="H231">
            <v>624104</v>
          </cell>
          <cell r="I231" t="str">
            <v>AUTO - GAS &amp; OIL</v>
          </cell>
          <cell r="J231">
            <v>1714.47</v>
          </cell>
        </row>
        <row r="232">
          <cell r="A232">
            <v>39</v>
          </cell>
          <cell r="B232">
            <v>624104</v>
          </cell>
          <cell r="C232" t="str">
            <v>AUTO - GAS &amp; OIL</v>
          </cell>
          <cell r="D232">
            <v>5390.15</v>
          </cell>
          <cell r="G232">
            <v>39</v>
          </cell>
          <cell r="H232">
            <v>624105</v>
          </cell>
          <cell r="I232" t="str">
            <v>AUTO - TAX</v>
          </cell>
          <cell r="J232">
            <v>56</v>
          </cell>
        </row>
        <row r="233">
          <cell r="A233">
            <v>39</v>
          </cell>
          <cell r="B233">
            <v>624104</v>
          </cell>
          <cell r="C233" t="str">
            <v>AUTO - GAS &amp; OIL</v>
          </cell>
          <cell r="D233">
            <v>422.22</v>
          </cell>
          <cell r="G233">
            <v>39</v>
          </cell>
          <cell r="H233">
            <v>624105</v>
          </cell>
          <cell r="I233" t="str">
            <v>AUTO - TAX</v>
          </cell>
          <cell r="J233">
            <v>1229</v>
          </cell>
        </row>
        <row r="234">
          <cell r="A234">
            <v>39</v>
          </cell>
          <cell r="B234">
            <v>624104</v>
          </cell>
          <cell r="C234" t="str">
            <v>AUTO - GAS &amp; OIL</v>
          </cell>
          <cell r="D234">
            <v>803.61</v>
          </cell>
          <cell r="G234">
            <v>34</v>
          </cell>
          <cell r="H234">
            <v>630001</v>
          </cell>
          <cell r="I234" t="str">
            <v>RENT - OFFICES &amp; LEA</v>
          </cell>
          <cell r="J234">
            <v>15743.42</v>
          </cell>
        </row>
        <row r="235">
          <cell r="A235">
            <v>39</v>
          </cell>
          <cell r="B235">
            <v>624104</v>
          </cell>
          <cell r="C235" t="str">
            <v>AUTO - GAS &amp; OIL</v>
          </cell>
          <cell r="D235">
            <v>3476.36</v>
          </cell>
          <cell r="G235">
            <v>34</v>
          </cell>
          <cell r="H235">
            <v>630001</v>
          </cell>
          <cell r="I235" t="str">
            <v>RENT - OFFICES &amp; LEA</v>
          </cell>
          <cell r="J235">
            <v>194359.33</v>
          </cell>
        </row>
        <row r="236">
          <cell r="A236">
            <v>39</v>
          </cell>
          <cell r="B236">
            <v>624104</v>
          </cell>
          <cell r="C236" t="str">
            <v>AUTO - GAS &amp; OIL</v>
          </cell>
          <cell r="D236">
            <v>72427.520000000004</v>
          </cell>
          <cell r="G236">
            <v>34</v>
          </cell>
          <cell r="H236">
            <v>630001</v>
          </cell>
          <cell r="I236" t="str">
            <v>RENT - OFFICES &amp; LEA</v>
          </cell>
          <cell r="J236">
            <v>2092908.25</v>
          </cell>
        </row>
        <row r="237">
          <cell r="A237">
            <v>34</v>
          </cell>
          <cell r="B237">
            <v>624104</v>
          </cell>
          <cell r="C237" t="str">
            <v>AUTO - GAS &amp; OIL</v>
          </cell>
          <cell r="D237">
            <v>359.21</v>
          </cell>
          <cell r="G237">
            <v>34</v>
          </cell>
          <cell r="H237">
            <v>630121</v>
          </cell>
          <cell r="I237" t="str">
            <v>REAL ESTATE TAXES (R</v>
          </cell>
          <cell r="J237">
            <v>32226.92</v>
          </cell>
        </row>
        <row r="238">
          <cell r="A238">
            <v>39</v>
          </cell>
          <cell r="B238">
            <v>624105</v>
          </cell>
          <cell r="C238" t="str">
            <v>AUTO - TAX</v>
          </cell>
          <cell r="D238">
            <v>12.17</v>
          </cell>
          <cell r="G238">
            <v>34</v>
          </cell>
          <cell r="H238">
            <v>630121</v>
          </cell>
          <cell r="I238" t="str">
            <v>REAL ESTATE TAXES (R</v>
          </cell>
          <cell r="J238">
            <v>282681.45</v>
          </cell>
        </row>
        <row r="239">
          <cell r="A239">
            <v>39</v>
          </cell>
          <cell r="B239">
            <v>624105</v>
          </cell>
          <cell r="C239" t="str">
            <v>AUTO - TAX</v>
          </cell>
          <cell r="D239">
            <v>252.27</v>
          </cell>
          <cell r="G239">
            <v>34</v>
          </cell>
          <cell r="H239">
            <v>630201</v>
          </cell>
          <cell r="I239" t="str">
            <v>BUSINESS &amp; PROPERTY</v>
          </cell>
          <cell r="J239">
            <v>71344.649999999994</v>
          </cell>
        </row>
        <row r="240">
          <cell r="A240">
            <v>34</v>
          </cell>
          <cell r="B240">
            <v>630001</v>
          </cell>
          <cell r="C240" t="str">
            <v>RENT - OFFICES &amp; LEA</v>
          </cell>
          <cell r="D240">
            <v>44012.53</v>
          </cell>
          <cell r="G240">
            <v>34</v>
          </cell>
          <cell r="H240">
            <v>630301</v>
          </cell>
          <cell r="I240" t="str">
            <v>MAINT - BUILDING</v>
          </cell>
          <cell r="J240">
            <v>1501</v>
          </cell>
        </row>
        <row r="241">
          <cell r="A241">
            <v>34</v>
          </cell>
          <cell r="B241">
            <v>630001</v>
          </cell>
          <cell r="C241" t="str">
            <v>RENT - OFFICES &amp; LEA</v>
          </cell>
          <cell r="D241">
            <v>440128.16</v>
          </cell>
          <cell r="G241">
            <v>34</v>
          </cell>
          <cell r="H241">
            <v>630301</v>
          </cell>
          <cell r="I241" t="str">
            <v>MAINT - BUILDING</v>
          </cell>
          <cell r="J241">
            <v>54166.53</v>
          </cell>
        </row>
        <row r="242">
          <cell r="A242">
            <v>34</v>
          </cell>
          <cell r="B242">
            <v>630121</v>
          </cell>
          <cell r="C242" t="str">
            <v>REAL ESTATE TAXES (R</v>
          </cell>
          <cell r="D242">
            <v>7297.77</v>
          </cell>
          <cell r="G242">
            <v>34</v>
          </cell>
          <cell r="H242">
            <v>630301</v>
          </cell>
          <cell r="I242" t="str">
            <v>MAINT - BUILDING</v>
          </cell>
          <cell r="J242">
            <v>394673.19</v>
          </cell>
        </row>
        <row r="243">
          <cell r="A243">
            <v>34</v>
          </cell>
          <cell r="B243">
            <v>630121</v>
          </cell>
          <cell r="C243" t="str">
            <v>REAL ESTATE TAXES (R</v>
          </cell>
          <cell r="D243">
            <v>58818.34</v>
          </cell>
          <cell r="G243">
            <v>34</v>
          </cell>
          <cell r="H243">
            <v>630303</v>
          </cell>
          <cell r="I243" t="str">
            <v>MAINT - HVAC</v>
          </cell>
          <cell r="J243">
            <v>33474</v>
          </cell>
        </row>
        <row r="244">
          <cell r="A244">
            <v>34</v>
          </cell>
          <cell r="B244">
            <v>630201</v>
          </cell>
          <cell r="C244" t="str">
            <v>BUSINESS &amp; PROPERTY</v>
          </cell>
          <cell r="D244">
            <v>14862.37</v>
          </cell>
          <cell r="G244">
            <v>34</v>
          </cell>
          <cell r="H244">
            <v>630303</v>
          </cell>
          <cell r="I244" t="str">
            <v>MAINT - HVAC</v>
          </cell>
          <cell r="J244">
            <v>327162.40999999997</v>
          </cell>
        </row>
        <row r="245">
          <cell r="A245">
            <v>34</v>
          </cell>
          <cell r="B245">
            <v>630301</v>
          </cell>
          <cell r="C245" t="str">
            <v>MAINT - BUILDING</v>
          </cell>
          <cell r="D245">
            <v>12097.34</v>
          </cell>
          <cell r="G245">
            <v>34</v>
          </cell>
          <cell r="H245">
            <v>630307</v>
          </cell>
          <cell r="I245" t="str">
            <v>MAINT - SUPPLIES</v>
          </cell>
          <cell r="J245">
            <v>30834.31</v>
          </cell>
        </row>
        <row r="246">
          <cell r="A246">
            <v>34</v>
          </cell>
          <cell r="B246">
            <v>630301</v>
          </cell>
          <cell r="C246" t="str">
            <v>MAINT - BUILDING</v>
          </cell>
          <cell r="D246">
            <v>83025.88</v>
          </cell>
          <cell r="G246">
            <v>34</v>
          </cell>
          <cell r="H246">
            <v>630307</v>
          </cell>
          <cell r="I246" t="str">
            <v>MAINT - SUPPLIES</v>
          </cell>
          <cell r="J246">
            <v>2174.69</v>
          </cell>
        </row>
        <row r="247">
          <cell r="A247">
            <v>34</v>
          </cell>
          <cell r="B247">
            <v>630303</v>
          </cell>
          <cell r="C247" t="str">
            <v>MAINT - HVAC</v>
          </cell>
          <cell r="D247">
            <v>6948.72</v>
          </cell>
          <cell r="G247">
            <v>34</v>
          </cell>
          <cell r="H247">
            <v>630307</v>
          </cell>
          <cell r="I247" t="str">
            <v>MAINT - SUPPLIES</v>
          </cell>
          <cell r="J247">
            <v>197731.57</v>
          </cell>
        </row>
        <row r="248">
          <cell r="A248">
            <v>34</v>
          </cell>
          <cell r="B248">
            <v>630303</v>
          </cell>
          <cell r="C248" t="str">
            <v>MAINT - HVAC</v>
          </cell>
          <cell r="D248">
            <v>68872.28</v>
          </cell>
          <cell r="G248">
            <v>32</v>
          </cell>
          <cell r="H248">
            <v>630501</v>
          </cell>
          <cell r="I248" t="str">
            <v>UTILITIES - ELECTRIC</v>
          </cell>
          <cell r="J248">
            <v>93130.44</v>
          </cell>
        </row>
        <row r="249">
          <cell r="A249">
            <v>34</v>
          </cell>
          <cell r="B249">
            <v>630307</v>
          </cell>
          <cell r="C249" t="str">
            <v>MAINT - SUPPLIES</v>
          </cell>
          <cell r="D249">
            <v>6848.62</v>
          </cell>
          <cell r="G249">
            <v>32</v>
          </cell>
          <cell r="H249">
            <v>630501</v>
          </cell>
          <cell r="I249" t="str">
            <v>UTILITIES - ELECTRIC</v>
          </cell>
          <cell r="J249">
            <v>503098.09</v>
          </cell>
        </row>
        <row r="250">
          <cell r="A250">
            <v>34</v>
          </cell>
          <cell r="B250">
            <v>630307</v>
          </cell>
          <cell r="C250" t="str">
            <v>MAINT - SUPPLIES</v>
          </cell>
          <cell r="D250">
            <v>492.46</v>
          </cell>
          <cell r="G250">
            <v>32</v>
          </cell>
          <cell r="H250">
            <v>630503</v>
          </cell>
          <cell r="I250" t="str">
            <v>UTILITIES - WATER</v>
          </cell>
          <cell r="J250">
            <v>19343.82</v>
          </cell>
        </row>
        <row r="251">
          <cell r="A251">
            <v>34</v>
          </cell>
          <cell r="B251">
            <v>630307</v>
          </cell>
          <cell r="C251" t="str">
            <v>MAINT - SUPPLIES</v>
          </cell>
          <cell r="D251">
            <v>41704.49</v>
          </cell>
          <cell r="G251">
            <v>34</v>
          </cell>
          <cell r="H251">
            <v>632001</v>
          </cell>
          <cell r="I251" t="str">
            <v>MAINTENANCE AGREEMEN</v>
          </cell>
          <cell r="J251">
            <v>121575.66</v>
          </cell>
        </row>
        <row r="252">
          <cell r="A252">
            <v>32</v>
          </cell>
          <cell r="B252">
            <v>630501</v>
          </cell>
          <cell r="C252" t="str">
            <v>UTILITIES - ELECTRIC</v>
          </cell>
          <cell r="D252">
            <v>20629.849999999999</v>
          </cell>
          <cell r="G252">
            <v>34</v>
          </cell>
          <cell r="H252">
            <v>632001</v>
          </cell>
          <cell r="I252" t="str">
            <v>MAINTENANCE AGREEMEN</v>
          </cell>
          <cell r="J252">
            <v>1048304.7</v>
          </cell>
        </row>
        <row r="253">
          <cell r="A253">
            <v>32</v>
          </cell>
          <cell r="B253">
            <v>630501</v>
          </cell>
          <cell r="C253" t="str">
            <v>UTILITIES - ELECTRIC</v>
          </cell>
          <cell r="D253">
            <v>106540.49</v>
          </cell>
          <cell r="G253">
            <v>34</v>
          </cell>
          <cell r="H253">
            <v>632599</v>
          </cell>
          <cell r="I253" t="str">
            <v>OTHER EQUIP - LEASE</v>
          </cell>
          <cell r="J253">
            <v>2784.74</v>
          </cell>
        </row>
        <row r="254">
          <cell r="A254">
            <v>32</v>
          </cell>
          <cell r="B254">
            <v>630503</v>
          </cell>
          <cell r="C254" t="str">
            <v>UTILITIES - WATER</v>
          </cell>
          <cell r="D254">
            <v>4118.17</v>
          </cell>
          <cell r="G254">
            <v>34</v>
          </cell>
          <cell r="H254">
            <v>632599</v>
          </cell>
          <cell r="I254" t="str">
            <v>OTHER EQUIP - LEASE</v>
          </cell>
          <cell r="J254">
            <v>13792.1</v>
          </cell>
        </row>
        <row r="255">
          <cell r="A255">
            <v>34</v>
          </cell>
          <cell r="B255">
            <v>632001</v>
          </cell>
          <cell r="C255" t="str">
            <v>MAINTENANCE AGREEMEN</v>
          </cell>
          <cell r="D255">
            <v>26415.15</v>
          </cell>
          <cell r="G255">
            <v>35</v>
          </cell>
          <cell r="H255">
            <v>634001</v>
          </cell>
          <cell r="I255" t="str">
            <v>POSTAGE</v>
          </cell>
          <cell r="J255">
            <v>682.6</v>
          </cell>
        </row>
        <row r="256">
          <cell r="A256">
            <v>34</v>
          </cell>
          <cell r="B256">
            <v>632001</v>
          </cell>
          <cell r="C256" t="str">
            <v>MAINTENANCE AGREEMEN</v>
          </cell>
          <cell r="D256">
            <v>219364.67</v>
          </cell>
          <cell r="G256">
            <v>35</v>
          </cell>
          <cell r="H256">
            <v>634101</v>
          </cell>
          <cell r="I256" t="str">
            <v>COURIER &amp; EXPRESS MA</v>
          </cell>
          <cell r="J256">
            <v>19355.5</v>
          </cell>
        </row>
        <row r="257">
          <cell r="A257">
            <v>34</v>
          </cell>
          <cell r="B257">
            <v>632599</v>
          </cell>
          <cell r="C257" t="str">
            <v>OTHER EQUIP - LEASE</v>
          </cell>
          <cell r="D257">
            <v>624.02</v>
          </cell>
          <cell r="G257">
            <v>35</v>
          </cell>
          <cell r="H257">
            <v>634101</v>
          </cell>
          <cell r="I257" t="str">
            <v>COURIER &amp; EXPRESS MA</v>
          </cell>
          <cell r="J257">
            <v>148007.95000000001</v>
          </cell>
        </row>
        <row r="258">
          <cell r="A258">
            <v>34</v>
          </cell>
          <cell r="B258">
            <v>632599</v>
          </cell>
          <cell r="C258" t="str">
            <v>OTHER EQUIP - LEASE</v>
          </cell>
          <cell r="D258">
            <v>2880.67</v>
          </cell>
          <cell r="G258">
            <v>37</v>
          </cell>
          <cell r="H258">
            <v>634402</v>
          </cell>
          <cell r="I258" t="str">
            <v>FREIGHT OUT - FAILUR</v>
          </cell>
          <cell r="J258">
            <v>-0.02</v>
          </cell>
        </row>
        <row r="259">
          <cell r="A259">
            <v>35</v>
          </cell>
          <cell r="B259">
            <v>634001</v>
          </cell>
          <cell r="C259" t="str">
            <v>POSTAGE</v>
          </cell>
          <cell r="D259">
            <v>137.76</v>
          </cell>
          <cell r="G259">
            <v>37</v>
          </cell>
          <cell r="H259">
            <v>634402</v>
          </cell>
          <cell r="I259" t="str">
            <v>FREIGHT OUT - FAILUR</v>
          </cell>
          <cell r="J259">
            <v>585.82000000000005</v>
          </cell>
        </row>
        <row r="260">
          <cell r="A260">
            <v>35</v>
          </cell>
          <cell r="B260">
            <v>634101</v>
          </cell>
          <cell r="C260" t="str">
            <v>COURIER &amp; EXPRESS MA</v>
          </cell>
          <cell r="D260">
            <v>7348.34</v>
          </cell>
          <cell r="G260">
            <v>35</v>
          </cell>
          <cell r="H260">
            <v>636101</v>
          </cell>
          <cell r="I260" t="str">
            <v>TELEPHONE &amp; FAX</v>
          </cell>
          <cell r="J260">
            <v>170748.97</v>
          </cell>
        </row>
        <row r="261">
          <cell r="A261">
            <v>35</v>
          </cell>
          <cell r="B261">
            <v>634101</v>
          </cell>
          <cell r="C261" t="str">
            <v>COURIER &amp; EXPRESS MA</v>
          </cell>
          <cell r="D261">
            <v>30835.39</v>
          </cell>
          <cell r="G261">
            <v>35</v>
          </cell>
          <cell r="H261">
            <v>636101</v>
          </cell>
          <cell r="I261" t="str">
            <v>TELEPHONE &amp; FAX</v>
          </cell>
          <cell r="J261">
            <v>-15000</v>
          </cell>
        </row>
        <row r="262">
          <cell r="A262">
            <v>37</v>
          </cell>
          <cell r="B262">
            <v>634402</v>
          </cell>
          <cell r="C262" t="str">
            <v>FREIGHT OUT - FAILUR</v>
          </cell>
          <cell r="D262">
            <v>118.54</v>
          </cell>
          <cell r="G262">
            <v>35</v>
          </cell>
          <cell r="H262">
            <v>636101</v>
          </cell>
          <cell r="I262" t="str">
            <v>TELEPHONE &amp; FAX</v>
          </cell>
          <cell r="J262">
            <v>976936.92</v>
          </cell>
        </row>
        <row r="263">
          <cell r="A263">
            <v>35</v>
          </cell>
          <cell r="B263">
            <v>636101</v>
          </cell>
          <cell r="C263" t="str">
            <v>TELEPHONE &amp; FAX</v>
          </cell>
          <cell r="D263">
            <v>37423.58</v>
          </cell>
          <cell r="G263">
            <v>35</v>
          </cell>
          <cell r="H263">
            <v>636203</v>
          </cell>
          <cell r="I263" t="str">
            <v>CELLULAR PHONE - USA</v>
          </cell>
          <cell r="J263">
            <v>47944.37</v>
          </cell>
        </row>
        <row r="264">
          <cell r="A264">
            <v>35</v>
          </cell>
          <cell r="B264">
            <v>636101</v>
          </cell>
          <cell r="C264" t="str">
            <v>TELEPHONE &amp; FAX</v>
          </cell>
          <cell r="D264">
            <v>-3244.65</v>
          </cell>
          <cell r="G264">
            <v>35</v>
          </cell>
          <cell r="H264">
            <v>636203</v>
          </cell>
          <cell r="I264" t="str">
            <v>CELLULAR PHONE - USA</v>
          </cell>
          <cell r="J264">
            <v>331.3</v>
          </cell>
        </row>
        <row r="265">
          <cell r="A265">
            <v>35</v>
          </cell>
          <cell r="B265">
            <v>636101</v>
          </cell>
          <cell r="C265" t="str">
            <v>TELEPHONE &amp; FAX</v>
          </cell>
          <cell r="D265">
            <v>206304.11</v>
          </cell>
          <cell r="G265">
            <v>35</v>
          </cell>
          <cell r="H265">
            <v>636203</v>
          </cell>
          <cell r="I265" t="str">
            <v>CELLULAR PHONE - USA</v>
          </cell>
          <cell r="J265">
            <v>290349.49</v>
          </cell>
        </row>
        <row r="266">
          <cell r="A266">
            <v>35</v>
          </cell>
          <cell r="B266">
            <v>636203</v>
          </cell>
          <cell r="C266" t="str">
            <v>CELLULAR PHONE - USA</v>
          </cell>
          <cell r="D266">
            <v>10930.43</v>
          </cell>
          <cell r="G266">
            <v>33</v>
          </cell>
          <cell r="H266">
            <v>640001</v>
          </cell>
          <cell r="I266" t="str">
            <v>LEGAL FEES</v>
          </cell>
          <cell r="J266">
            <v>-43078.85</v>
          </cell>
        </row>
        <row r="267">
          <cell r="A267">
            <v>35</v>
          </cell>
          <cell r="B267">
            <v>636203</v>
          </cell>
          <cell r="C267" t="str">
            <v>CELLULAR PHONE - USA</v>
          </cell>
          <cell r="D267">
            <v>70.42</v>
          </cell>
          <cell r="G267">
            <v>33</v>
          </cell>
          <cell r="H267">
            <v>640001</v>
          </cell>
          <cell r="I267" t="str">
            <v>LEGAL FEES</v>
          </cell>
          <cell r="J267">
            <v>149633.49</v>
          </cell>
        </row>
        <row r="268">
          <cell r="A268">
            <v>35</v>
          </cell>
          <cell r="B268">
            <v>636203</v>
          </cell>
          <cell r="C268" t="str">
            <v>CELLULAR PHONE - USA</v>
          </cell>
          <cell r="D268">
            <v>60842.8</v>
          </cell>
          <cell r="G268">
            <v>33</v>
          </cell>
          <cell r="H268">
            <v>640001</v>
          </cell>
          <cell r="I268" t="str">
            <v>LEGAL FEES</v>
          </cell>
          <cell r="J268">
            <v>96835.93</v>
          </cell>
        </row>
        <row r="269">
          <cell r="A269">
            <v>33</v>
          </cell>
          <cell r="B269">
            <v>640001</v>
          </cell>
          <cell r="C269" t="str">
            <v>LEGAL FEES</v>
          </cell>
          <cell r="D269">
            <v>-10084</v>
          </cell>
          <cell r="G269">
            <v>33</v>
          </cell>
          <cell r="H269">
            <v>640002</v>
          </cell>
          <cell r="I269" t="str">
            <v>ACCOUNTING - AUDIT</v>
          </cell>
          <cell r="J269">
            <v>6833.33</v>
          </cell>
        </row>
        <row r="270">
          <cell r="A270">
            <v>33</v>
          </cell>
          <cell r="B270">
            <v>640001</v>
          </cell>
          <cell r="C270" t="str">
            <v>LEGAL FEES</v>
          </cell>
          <cell r="D270">
            <v>32761.73</v>
          </cell>
          <cell r="G270">
            <v>33</v>
          </cell>
          <cell r="H270">
            <v>640002</v>
          </cell>
          <cell r="I270" t="str">
            <v>ACCOUNTING - AUDIT</v>
          </cell>
          <cell r="J270">
            <v>-86378.44</v>
          </cell>
        </row>
        <row r="271">
          <cell r="A271">
            <v>33</v>
          </cell>
          <cell r="B271">
            <v>640001</v>
          </cell>
          <cell r="C271" t="str">
            <v>LEGAL FEES</v>
          </cell>
          <cell r="D271">
            <v>19484.330000000002</v>
          </cell>
          <cell r="G271">
            <v>33</v>
          </cell>
          <cell r="H271">
            <v>640002</v>
          </cell>
          <cell r="I271" t="str">
            <v>ACCOUNTING - AUDIT</v>
          </cell>
          <cell r="J271">
            <v>265873.25</v>
          </cell>
        </row>
        <row r="272">
          <cell r="A272">
            <v>33</v>
          </cell>
          <cell r="B272">
            <v>640002</v>
          </cell>
          <cell r="C272" t="str">
            <v>ACCOUNTING - AUDIT</v>
          </cell>
          <cell r="D272">
            <v>1383.83</v>
          </cell>
          <cell r="G272">
            <v>33</v>
          </cell>
          <cell r="H272">
            <v>640002</v>
          </cell>
          <cell r="I272" t="str">
            <v>ACCOUNTING - AUDIT</v>
          </cell>
          <cell r="J272">
            <v>11683.76</v>
          </cell>
        </row>
        <row r="273">
          <cell r="A273">
            <v>33</v>
          </cell>
          <cell r="B273">
            <v>640002</v>
          </cell>
          <cell r="C273" t="str">
            <v>ACCOUNTING - AUDIT</v>
          </cell>
          <cell r="D273">
            <v>-19780.62</v>
          </cell>
          <cell r="G273">
            <v>33</v>
          </cell>
          <cell r="H273">
            <v>640002</v>
          </cell>
          <cell r="I273" t="str">
            <v>ACCOUNTING - AUDIT</v>
          </cell>
          <cell r="J273">
            <v>58286.29</v>
          </cell>
        </row>
        <row r="274">
          <cell r="A274">
            <v>33</v>
          </cell>
          <cell r="B274">
            <v>640002</v>
          </cell>
          <cell r="C274" t="str">
            <v>ACCOUNTING - AUDIT</v>
          </cell>
          <cell r="D274">
            <v>57963.37</v>
          </cell>
          <cell r="G274">
            <v>33</v>
          </cell>
          <cell r="H274">
            <v>640011</v>
          </cell>
          <cell r="I274" t="str">
            <v>OTHER PROFESSIONAL S</v>
          </cell>
          <cell r="J274">
            <v>47142.25</v>
          </cell>
        </row>
        <row r="275">
          <cell r="A275">
            <v>33</v>
          </cell>
          <cell r="B275">
            <v>640002</v>
          </cell>
          <cell r="C275" t="str">
            <v>ACCOUNTING - AUDIT</v>
          </cell>
          <cell r="D275">
            <v>2375.23</v>
          </cell>
          <cell r="G275">
            <v>33</v>
          </cell>
          <cell r="H275">
            <v>640011</v>
          </cell>
          <cell r="I275" t="str">
            <v>OTHER PROFESSIONAL S</v>
          </cell>
          <cell r="J275">
            <v>17554.240000000002</v>
          </cell>
        </row>
        <row r="276">
          <cell r="A276">
            <v>33</v>
          </cell>
          <cell r="B276">
            <v>640002</v>
          </cell>
          <cell r="C276" t="str">
            <v>ACCOUNTING - AUDIT</v>
          </cell>
          <cell r="D276">
            <v>12567.94</v>
          </cell>
          <cell r="G276">
            <v>33</v>
          </cell>
          <cell r="H276">
            <v>640011</v>
          </cell>
          <cell r="I276" t="str">
            <v>OTHER PROFESSIONAL S</v>
          </cell>
          <cell r="J276">
            <v>112790.94</v>
          </cell>
        </row>
        <row r="277">
          <cell r="A277">
            <v>33</v>
          </cell>
          <cell r="B277">
            <v>640011</v>
          </cell>
          <cell r="C277" t="str">
            <v>OTHER PROFESSIONAL S</v>
          </cell>
          <cell r="D277">
            <v>10631.95</v>
          </cell>
          <cell r="G277">
            <v>33</v>
          </cell>
          <cell r="H277">
            <v>640011</v>
          </cell>
          <cell r="I277" t="str">
            <v>OTHER PROFESSIONAL S</v>
          </cell>
          <cell r="J277">
            <v>-11726.26</v>
          </cell>
        </row>
        <row r="278">
          <cell r="A278">
            <v>33</v>
          </cell>
          <cell r="B278">
            <v>640011</v>
          </cell>
          <cell r="C278" t="str">
            <v>OTHER PROFESSIONAL S</v>
          </cell>
          <cell r="D278">
            <v>3574.81</v>
          </cell>
          <cell r="G278">
            <v>37</v>
          </cell>
          <cell r="H278">
            <v>650005</v>
          </cell>
          <cell r="I278" t="str">
            <v>RECRUITING - REFERRA</v>
          </cell>
          <cell r="J278">
            <v>279.73</v>
          </cell>
        </row>
        <row r="279">
          <cell r="A279">
            <v>33</v>
          </cell>
          <cell r="B279">
            <v>640011</v>
          </cell>
          <cell r="C279" t="str">
            <v>OTHER PROFESSIONAL S</v>
          </cell>
          <cell r="D279">
            <v>23658.53</v>
          </cell>
          <cell r="G279">
            <v>37</v>
          </cell>
          <cell r="H279">
            <v>650006</v>
          </cell>
          <cell r="I279" t="str">
            <v>RECRUITING - TEST/OR</v>
          </cell>
          <cell r="J279">
            <v>225.98</v>
          </cell>
        </row>
        <row r="280">
          <cell r="A280">
            <v>33</v>
          </cell>
          <cell r="B280">
            <v>640011</v>
          </cell>
          <cell r="C280" t="str">
            <v>OTHER PROFESSIONAL S</v>
          </cell>
          <cell r="D280">
            <v>-2318.81</v>
          </cell>
          <cell r="G280">
            <v>37</v>
          </cell>
          <cell r="H280">
            <v>650006</v>
          </cell>
          <cell r="I280" t="str">
            <v>RECRUITING - TEST/OR</v>
          </cell>
          <cell r="J280">
            <v>199.75</v>
          </cell>
        </row>
        <row r="281">
          <cell r="A281">
            <v>37</v>
          </cell>
          <cell r="B281">
            <v>650005</v>
          </cell>
          <cell r="C281" t="str">
            <v>RECRUITING - REFERRA</v>
          </cell>
          <cell r="D281">
            <v>60.78</v>
          </cell>
          <cell r="G281">
            <v>37</v>
          </cell>
          <cell r="H281">
            <v>650006</v>
          </cell>
          <cell r="I281" t="str">
            <v>RECRUITING - TEST/OR</v>
          </cell>
          <cell r="J281">
            <v>6974.58</v>
          </cell>
        </row>
        <row r="282">
          <cell r="A282">
            <v>37</v>
          </cell>
          <cell r="B282">
            <v>650006</v>
          </cell>
          <cell r="C282" t="str">
            <v>RECRUITING - TEST/OR</v>
          </cell>
          <cell r="D282">
            <v>49.1</v>
          </cell>
          <cell r="G282">
            <v>37</v>
          </cell>
          <cell r="H282">
            <v>653002</v>
          </cell>
          <cell r="I282" t="str">
            <v>SEMINARS &amp; TRAINING</v>
          </cell>
          <cell r="J282">
            <v>3172.52</v>
          </cell>
        </row>
        <row r="283">
          <cell r="A283">
            <v>37</v>
          </cell>
          <cell r="B283">
            <v>650006</v>
          </cell>
          <cell r="C283" t="str">
            <v>RECRUITING - TEST/OR</v>
          </cell>
          <cell r="D283">
            <v>45.23</v>
          </cell>
          <cell r="G283">
            <v>37</v>
          </cell>
          <cell r="H283">
            <v>653002</v>
          </cell>
          <cell r="I283" t="str">
            <v>SEMINARS &amp; TRAINING</v>
          </cell>
          <cell r="J283">
            <v>75683.360000000001</v>
          </cell>
        </row>
        <row r="284">
          <cell r="A284">
            <v>37</v>
          </cell>
          <cell r="B284">
            <v>650006</v>
          </cell>
          <cell r="C284" t="str">
            <v>RECRUITING - TEST/OR</v>
          </cell>
          <cell r="D284">
            <v>1482.25</v>
          </cell>
          <cell r="G284">
            <v>37</v>
          </cell>
          <cell r="H284">
            <v>656003</v>
          </cell>
          <cell r="I284" t="str">
            <v>DUES &amp; MEMBERSHIPS</v>
          </cell>
          <cell r="J284">
            <v>874</v>
          </cell>
        </row>
        <row r="285">
          <cell r="A285">
            <v>37</v>
          </cell>
          <cell r="B285">
            <v>653002</v>
          </cell>
          <cell r="C285" t="str">
            <v>SEMINARS &amp; TRAINING</v>
          </cell>
          <cell r="D285">
            <v>689.54</v>
          </cell>
          <cell r="G285">
            <v>37</v>
          </cell>
          <cell r="H285">
            <v>656003</v>
          </cell>
          <cell r="I285" t="str">
            <v>DUES &amp; MEMBERSHIPS</v>
          </cell>
          <cell r="J285">
            <v>1434.19</v>
          </cell>
        </row>
        <row r="286">
          <cell r="A286">
            <v>37</v>
          </cell>
          <cell r="B286">
            <v>653002</v>
          </cell>
          <cell r="C286" t="str">
            <v>SEMINARS &amp; TRAINING</v>
          </cell>
          <cell r="D286">
            <v>15981.13</v>
          </cell>
          <cell r="G286">
            <v>37</v>
          </cell>
          <cell r="H286">
            <v>656004</v>
          </cell>
          <cell r="I286" t="str">
            <v>BOOKS &amp; SUBSCRIPTION</v>
          </cell>
          <cell r="J286">
            <v>2769.93</v>
          </cell>
        </row>
        <row r="287">
          <cell r="A287">
            <v>37</v>
          </cell>
          <cell r="B287">
            <v>656003</v>
          </cell>
          <cell r="C287" t="str">
            <v>DUES &amp; MEMBERSHIPS</v>
          </cell>
          <cell r="D287">
            <v>197.92</v>
          </cell>
          <cell r="G287">
            <v>37</v>
          </cell>
          <cell r="H287">
            <v>656004</v>
          </cell>
          <cell r="I287" t="str">
            <v>BOOKS &amp; SUBSCRIPTION</v>
          </cell>
          <cell r="J287">
            <v>10723.11</v>
          </cell>
        </row>
        <row r="288">
          <cell r="A288">
            <v>37</v>
          </cell>
          <cell r="B288">
            <v>656003</v>
          </cell>
          <cell r="C288" t="str">
            <v>DUES &amp; MEMBERSHIPS</v>
          </cell>
          <cell r="D288">
            <v>293.70999999999998</v>
          </cell>
          <cell r="G288">
            <v>37</v>
          </cell>
          <cell r="H288">
            <v>656004</v>
          </cell>
          <cell r="I288" t="str">
            <v>BOOKS &amp; SUBSCRIPTION</v>
          </cell>
          <cell r="J288">
            <v>25767.37</v>
          </cell>
        </row>
        <row r="289">
          <cell r="A289">
            <v>37</v>
          </cell>
          <cell r="B289">
            <v>656004</v>
          </cell>
          <cell r="C289" t="str">
            <v>BOOKS &amp; SUBSCRIPTION</v>
          </cell>
          <cell r="D289">
            <v>601.79</v>
          </cell>
          <cell r="G289">
            <v>37</v>
          </cell>
          <cell r="H289">
            <v>660001</v>
          </cell>
          <cell r="I289" t="str">
            <v>ADVERTISING</v>
          </cell>
          <cell r="J289">
            <v>5525</v>
          </cell>
        </row>
        <row r="290">
          <cell r="A290">
            <v>37</v>
          </cell>
          <cell r="B290">
            <v>656004</v>
          </cell>
          <cell r="C290" t="str">
            <v>BOOKS &amp; SUBSCRIPTION</v>
          </cell>
          <cell r="D290">
            <v>2280.44</v>
          </cell>
          <cell r="G290">
            <v>37</v>
          </cell>
          <cell r="H290">
            <v>662403</v>
          </cell>
          <cell r="I290" t="str">
            <v>CORPORATE GIFT - 1</v>
          </cell>
          <cell r="J290">
            <v>800</v>
          </cell>
        </row>
        <row r="291">
          <cell r="A291">
            <v>37</v>
          </cell>
          <cell r="B291">
            <v>656004</v>
          </cell>
          <cell r="C291" t="str">
            <v>BOOKS &amp; SUBSCRIPTION</v>
          </cell>
          <cell r="D291">
            <v>5372.88</v>
          </cell>
          <cell r="G291">
            <v>37</v>
          </cell>
          <cell r="H291">
            <v>666007</v>
          </cell>
          <cell r="I291" t="str">
            <v>EXEC BRIEFINGS - OTH</v>
          </cell>
          <cell r="J291">
            <v>111.97</v>
          </cell>
        </row>
        <row r="292">
          <cell r="A292">
            <v>37</v>
          </cell>
          <cell r="B292">
            <v>660001</v>
          </cell>
          <cell r="C292" t="str">
            <v>ADVERTISING</v>
          </cell>
          <cell r="D292">
            <v>1184.1400000000001</v>
          </cell>
          <cell r="G292">
            <v>37</v>
          </cell>
          <cell r="H292">
            <v>670001</v>
          </cell>
          <cell r="I292" t="str">
            <v>OFFICE SUPPLIES - CO</v>
          </cell>
          <cell r="J292">
            <v>9963.98</v>
          </cell>
        </row>
        <row r="293">
          <cell r="A293">
            <v>37</v>
          </cell>
          <cell r="B293">
            <v>662403</v>
          </cell>
          <cell r="C293" t="str">
            <v>CORPORATE GIFT - 1</v>
          </cell>
          <cell r="D293">
            <v>168.88</v>
          </cell>
          <cell r="G293">
            <v>37</v>
          </cell>
          <cell r="H293">
            <v>670001</v>
          </cell>
          <cell r="I293" t="str">
            <v>OFFICE SUPPLIES - CO</v>
          </cell>
          <cell r="J293">
            <v>425.83</v>
          </cell>
        </row>
        <row r="294">
          <cell r="A294">
            <v>37</v>
          </cell>
          <cell r="B294">
            <v>666007</v>
          </cell>
          <cell r="C294" t="str">
            <v>EXEC BRIEFINGS - OTH</v>
          </cell>
          <cell r="D294">
            <v>24.03</v>
          </cell>
          <cell r="G294">
            <v>37</v>
          </cell>
          <cell r="H294">
            <v>670001</v>
          </cell>
          <cell r="I294" t="str">
            <v>OFFICE SUPPLIES - CO</v>
          </cell>
          <cell r="J294">
            <v>26896.560000000001</v>
          </cell>
        </row>
        <row r="295">
          <cell r="A295">
            <v>37</v>
          </cell>
          <cell r="B295">
            <v>670001</v>
          </cell>
          <cell r="C295" t="str">
            <v>OFFICE SUPPLIES - CO</v>
          </cell>
          <cell r="D295">
            <v>2226.64</v>
          </cell>
          <cell r="G295">
            <v>37</v>
          </cell>
          <cell r="H295">
            <v>670002</v>
          </cell>
          <cell r="I295" t="str">
            <v>OFFICE SUPPLIES - PR</v>
          </cell>
          <cell r="J295">
            <v>1240.17</v>
          </cell>
        </row>
        <row r="296">
          <cell r="A296">
            <v>37</v>
          </cell>
          <cell r="B296">
            <v>670001</v>
          </cell>
          <cell r="C296" t="str">
            <v>OFFICE SUPPLIES - CO</v>
          </cell>
          <cell r="D296">
            <v>91.48</v>
          </cell>
          <cell r="G296">
            <v>37</v>
          </cell>
          <cell r="H296">
            <v>672001</v>
          </cell>
          <cell r="I296" t="str">
            <v>OFFICE FURNITURE - E</v>
          </cell>
          <cell r="J296">
            <v>7727.96</v>
          </cell>
        </row>
        <row r="297">
          <cell r="A297">
            <v>37</v>
          </cell>
          <cell r="B297">
            <v>670001</v>
          </cell>
          <cell r="C297" t="str">
            <v>OFFICE SUPPLIES - CO</v>
          </cell>
          <cell r="D297">
            <v>5646.24</v>
          </cell>
          <cell r="G297">
            <v>37</v>
          </cell>
          <cell r="H297">
            <v>672001</v>
          </cell>
          <cell r="I297" t="str">
            <v>OFFICE FURNITURE - E</v>
          </cell>
          <cell r="J297">
            <v>102564.26</v>
          </cell>
        </row>
        <row r="298">
          <cell r="A298">
            <v>37</v>
          </cell>
          <cell r="B298">
            <v>670002</v>
          </cell>
          <cell r="C298" t="str">
            <v>OFFICE SUPPLIES - PR</v>
          </cell>
          <cell r="D298">
            <v>252.27</v>
          </cell>
          <cell r="G298">
            <v>37</v>
          </cell>
          <cell r="H298">
            <v>672201</v>
          </cell>
          <cell r="I298" t="str">
            <v>PC SOFTWARE - EXPENS</v>
          </cell>
          <cell r="J298">
            <v>746.15</v>
          </cell>
        </row>
        <row r="299">
          <cell r="A299">
            <v>37</v>
          </cell>
          <cell r="B299">
            <v>672001</v>
          </cell>
          <cell r="C299" t="str">
            <v>OFFICE FURNITURE - E</v>
          </cell>
          <cell r="D299">
            <v>1736.11</v>
          </cell>
          <cell r="G299">
            <v>37</v>
          </cell>
          <cell r="H299">
            <v>672201</v>
          </cell>
          <cell r="I299" t="str">
            <v>PC SOFTWARE - EXPENS</v>
          </cell>
          <cell r="J299">
            <v>1660.4</v>
          </cell>
        </row>
        <row r="300">
          <cell r="A300">
            <v>37</v>
          </cell>
          <cell r="B300">
            <v>672001</v>
          </cell>
          <cell r="C300" t="str">
            <v>OFFICE FURNITURE - E</v>
          </cell>
          <cell r="D300">
            <v>21657.68</v>
          </cell>
          <cell r="G300">
            <v>37</v>
          </cell>
          <cell r="H300">
            <v>672201</v>
          </cell>
          <cell r="I300" t="str">
            <v>PC SOFTWARE - EXPENS</v>
          </cell>
          <cell r="J300">
            <v>48182.9</v>
          </cell>
        </row>
        <row r="301">
          <cell r="A301">
            <v>37</v>
          </cell>
          <cell r="B301">
            <v>672201</v>
          </cell>
          <cell r="C301" t="str">
            <v>PC SOFTWARE - EXPENS</v>
          </cell>
          <cell r="D301">
            <v>168.97</v>
          </cell>
          <cell r="G301">
            <v>37</v>
          </cell>
          <cell r="H301">
            <v>674001</v>
          </cell>
          <cell r="I301" t="str">
            <v>R &amp; D PROJECTS</v>
          </cell>
          <cell r="J301">
            <v>11703.65</v>
          </cell>
        </row>
        <row r="302">
          <cell r="A302">
            <v>37</v>
          </cell>
          <cell r="B302">
            <v>672201</v>
          </cell>
          <cell r="C302" t="str">
            <v>PC SOFTWARE - EXPENS</v>
          </cell>
          <cell r="D302">
            <v>348.17</v>
          </cell>
          <cell r="G302">
            <v>37</v>
          </cell>
          <cell r="H302">
            <v>674001</v>
          </cell>
          <cell r="I302" t="str">
            <v>R &amp; D PROJECTS</v>
          </cell>
          <cell r="J302">
            <v>166538.49</v>
          </cell>
        </row>
        <row r="303">
          <cell r="A303">
            <v>37</v>
          </cell>
          <cell r="B303">
            <v>672201</v>
          </cell>
          <cell r="C303" t="str">
            <v>PC SOFTWARE - EXPENS</v>
          </cell>
          <cell r="D303">
            <v>10100.719999999999</v>
          </cell>
          <cell r="G303">
            <v>36</v>
          </cell>
          <cell r="H303">
            <v>680102</v>
          </cell>
          <cell r="I303" t="str">
            <v>FURNITURE DEPRECIATI</v>
          </cell>
          <cell r="J303">
            <v>-8080</v>
          </cell>
        </row>
        <row r="304">
          <cell r="A304">
            <v>37</v>
          </cell>
          <cell r="B304">
            <v>674001</v>
          </cell>
          <cell r="C304" t="str">
            <v>R &amp; D PROJECTS</v>
          </cell>
          <cell r="D304">
            <v>2637.7</v>
          </cell>
          <cell r="G304">
            <v>36</v>
          </cell>
          <cell r="H304">
            <v>680102</v>
          </cell>
          <cell r="I304" t="str">
            <v>FURNITURE DEPRECIATI</v>
          </cell>
          <cell r="J304">
            <v>120538.77</v>
          </cell>
        </row>
        <row r="305">
          <cell r="A305">
            <v>37</v>
          </cell>
          <cell r="B305">
            <v>674001</v>
          </cell>
          <cell r="C305" t="str">
            <v>R &amp; D PROJECTS</v>
          </cell>
          <cell r="D305">
            <v>34927.79</v>
          </cell>
          <cell r="G305">
            <v>36</v>
          </cell>
          <cell r="H305">
            <v>680102</v>
          </cell>
          <cell r="I305" t="str">
            <v>FURNITURE DEPRECIATI</v>
          </cell>
          <cell r="J305">
            <v>3744.75</v>
          </cell>
        </row>
        <row r="306">
          <cell r="A306">
            <v>36</v>
          </cell>
          <cell r="B306">
            <v>680102</v>
          </cell>
          <cell r="C306" t="str">
            <v>FURNITURE DEPRECIATI</v>
          </cell>
          <cell r="D306">
            <v>29238.89</v>
          </cell>
          <cell r="G306">
            <v>36</v>
          </cell>
          <cell r="H306">
            <v>680102</v>
          </cell>
          <cell r="I306" t="str">
            <v>FURNITURE DEPRECIATI</v>
          </cell>
          <cell r="J306">
            <v>8090.12</v>
          </cell>
        </row>
        <row r="307">
          <cell r="A307">
            <v>36</v>
          </cell>
          <cell r="B307">
            <v>680102</v>
          </cell>
          <cell r="C307" t="str">
            <v>FURNITURE DEPRECIATI</v>
          </cell>
          <cell r="D307">
            <v>1412.51</v>
          </cell>
          <cell r="G307">
            <v>36</v>
          </cell>
          <cell r="H307">
            <v>680202</v>
          </cell>
          <cell r="I307" t="str">
            <v>CAP INV DEPRECIATION</v>
          </cell>
          <cell r="J307">
            <v>6612588.8700000001</v>
          </cell>
        </row>
        <row r="308">
          <cell r="A308">
            <v>36</v>
          </cell>
          <cell r="B308">
            <v>680102</v>
          </cell>
          <cell r="C308" t="str">
            <v>FURNITURE DEPRECIATI</v>
          </cell>
          <cell r="D308">
            <v>2.7</v>
          </cell>
          <cell r="G308">
            <v>36</v>
          </cell>
          <cell r="H308">
            <v>680202</v>
          </cell>
          <cell r="I308" t="str">
            <v>CAP INV DEPRECIATION</v>
          </cell>
          <cell r="J308">
            <v>0.04</v>
          </cell>
        </row>
        <row r="309">
          <cell r="A309">
            <v>36</v>
          </cell>
          <cell r="B309">
            <v>680202</v>
          </cell>
          <cell r="C309" t="str">
            <v>CAP INV DEPRECIATION</v>
          </cell>
          <cell r="D309">
            <v>1602563.84</v>
          </cell>
          <cell r="G309">
            <v>36</v>
          </cell>
          <cell r="H309">
            <v>680222</v>
          </cell>
          <cell r="I309" t="str">
            <v>COMP EQUIP DEPRECIAT</v>
          </cell>
          <cell r="J309">
            <v>2211576.16</v>
          </cell>
        </row>
        <row r="310">
          <cell r="A310">
            <v>36</v>
          </cell>
          <cell r="B310">
            <v>680222</v>
          </cell>
          <cell r="C310" t="str">
            <v>COMP EQUIP DEPRECIAT</v>
          </cell>
          <cell r="D310">
            <v>520823.16</v>
          </cell>
          <cell r="G310">
            <v>36</v>
          </cell>
          <cell r="H310">
            <v>680222</v>
          </cell>
          <cell r="I310" t="str">
            <v>COMP EQUIP DEPRECIAT</v>
          </cell>
          <cell r="J310">
            <v>0.35</v>
          </cell>
        </row>
        <row r="311">
          <cell r="A311">
            <v>36</v>
          </cell>
          <cell r="B311">
            <v>680222</v>
          </cell>
          <cell r="C311" t="str">
            <v>COMP EQUIP DEPRECIAT</v>
          </cell>
          <cell r="D311">
            <v>50669.279999999999</v>
          </cell>
          <cell r="G311">
            <v>36</v>
          </cell>
          <cell r="H311">
            <v>680222</v>
          </cell>
          <cell r="I311" t="str">
            <v>COMP EQUIP DEPRECIAT</v>
          </cell>
          <cell r="J311">
            <v>243177.46</v>
          </cell>
        </row>
        <row r="312">
          <cell r="A312">
            <v>36</v>
          </cell>
          <cell r="B312">
            <v>680232</v>
          </cell>
          <cell r="C312" t="str">
            <v>EQUIPMENT DEPRECIATI</v>
          </cell>
          <cell r="D312">
            <v>922142.8</v>
          </cell>
          <cell r="G312">
            <v>36</v>
          </cell>
          <cell r="H312">
            <v>680232</v>
          </cell>
          <cell r="I312" t="str">
            <v>EQUIPMENT DEPRECIATI</v>
          </cell>
          <cell r="J312">
            <v>3818702.41</v>
          </cell>
        </row>
        <row r="313">
          <cell r="A313">
            <v>36</v>
          </cell>
          <cell r="B313">
            <v>680232</v>
          </cell>
          <cell r="C313" t="str">
            <v>EQUIPMENT DEPRECIATI</v>
          </cell>
          <cell r="D313">
            <v>2458.06</v>
          </cell>
          <cell r="G313">
            <v>36</v>
          </cell>
          <cell r="H313">
            <v>680232</v>
          </cell>
          <cell r="I313" t="str">
            <v>EQUIPMENT DEPRECIATI</v>
          </cell>
          <cell r="J313">
            <v>8476.41</v>
          </cell>
        </row>
        <row r="314">
          <cell r="A314">
            <v>36</v>
          </cell>
          <cell r="B314">
            <v>680232</v>
          </cell>
          <cell r="C314" t="str">
            <v>EQUIPMENT DEPRECIATI</v>
          </cell>
          <cell r="D314">
            <v>3028.81</v>
          </cell>
          <cell r="G314">
            <v>36</v>
          </cell>
          <cell r="H314">
            <v>680232</v>
          </cell>
          <cell r="I314" t="str">
            <v>EQUIPMENT DEPRECIATI</v>
          </cell>
          <cell r="J314">
            <v>14895.67</v>
          </cell>
        </row>
        <row r="315">
          <cell r="A315">
            <v>36</v>
          </cell>
          <cell r="B315">
            <v>680242</v>
          </cell>
          <cell r="C315" t="str">
            <v>SOFTWARE DEPRECIATIO</v>
          </cell>
          <cell r="D315">
            <v>89287.37</v>
          </cell>
          <cell r="G315">
            <v>36</v>
          </cell>
          <cell r="H315">
            <v>680242</v>
          </cell>
          <cell r="I315" t="str">
            <v>SOFTWARE DEPRECIATIO</v>
          </cell>
          <cell r="J315">
            <v>370873.44</v>
          </cell>
        </row>
        <row r="316">
          <cell r="A316">
            <v>36</v>
          </cell>
          <cell r="B316">
            <v>680242</v>
          </cell>
          <cell r="C316" t="str">
            <v>SOFTWARE DEPRECIATIO</v>
          </cell>
          <cell r="D316">
            <v>10267.51</v>
          </cell>
          <cell r="G316">
            <v>36</v>
          </cell>
          <cell r="H316">
            <v>680242</v>
          </cell>
          <cell r="I316" t="str">
            <v>SOFTWARE DEPRECIATIO</v>
          </cell>
          <cell r="J316">
            <v>50074.080000000002</v>
          </cell>
        </row>
        <row r="317">
          <cell r="A317">
            <v>36</v>
          </cell>
          <cell r="B317">
            <v>680602</v>
          </cell>
          <cell r="C317" t="str">
            <v>LEASEHOLD DEPRECIATI</v>
          </cell>
          <cell r="D317">
            <v>349586.26</v>
          </cell>
          <cell r="G317">
            <v>36</v>
          </cell>
          <cell r="H317">
            <v>680302</v>
          </cell>
          <cell r="I317" t="str">
            <v>VEHICLES DEPRECIATIO</v>
          </cell>
          <cell r="J317">
            <v>-0.22</v>
          </cell>
        </row>
        <row r="318">
          <cell r="A318">
            <v>36</v>
          </cell>
          <cell r="B318">
            <v>680602</v>
          </cell>
          <cell r="C318" t="str">
            <v>LEASEHOLD DEPRECIATI</v>
          </cell>
          <cell r="D318">
            <v>4546.66</v>
          </cell>
          <cell r="G318">
            <v>36</v>
          </cell>
          <cell r="H318">
            <v>680602</v>
          </cell>
          <cell r="I318" t="str">
            <v>LEASEHOLD DEPRECIATI</v>
          </cell>
          <cell r="J318">
            <v>1415439.32</v>
          </cell>
        </row>
        <row r="319">
          <cell r="A319">
            <v>36</v>
          </cell>
          <cell r="B319">
            <v>680602</v>
          </cell>
          <cell r="C319" t="str">
            <v>LEASEHOLD DEPRECIATI</v>
          </cell>
          <cell r="D319">
            <v>1159.49</v>
          </cell>
          <cell r="G319">
            <v>36</v>
          </cell>
          <cell r="H319">
            <v>680602</v>
          </cell>
          <cell r="I319" t="str">
            <v>LEASEHOLD DEPRECIATI</v>
          </cell>
          <cell r="J319">
            <v>19412.23</v>
          </cell>
        </row>
        <row r="320">
          <cell r="A320">
            <v>40</v>
          </cell>
          <cell r="B320">
            <v>700005</v>
          </cell>
          <cell r="C320" t="str">
            <v>BANK CHARGES</v>
          </cell>
          <cell r="D320">
            <v>6771.02</v>
          </cell>
          <cell r="G320">
            <v>36</v>
          </cell>
          <cell r="H320">
            <v>680602</v>
          </cell>
          <cell r="I320" t="str">
            <v>LEASEHOLD DEPRECIATI</v>
          </cell>
          <cell r="J320">
            <v>5435.09</v>
          </cell>
        </row>
        <row r="321">
          <cell r="A321">
            <v>37</v>
          </cell>
          <cell r="B321">
            <v>700102</v>
          </cell>
          <cell r="C321" t="str">
            <v>FINES &amp; PENALTIES</v>
          </cell>
          <cell r="D321">
            <v>93.05</v>
          </cell>
          <cell r="G321">
            <v>40</v>
          </cell>
          <cell r="H321">
            <v>700005</v>
          </cell>
          <cell r="I321" t="str">
            <v>BANK CHARGES</v>
          </cell>
          <cell r="J321">
            <v>31949.1</v>
          </cell>
        </row>
        <row r="322">
          <cell r="A322">
            <v>37</v>
          </cell>
          <cell r="B322">
            <v>700401</v>
          </cell>
          <cell r="C322" t="str">
            <v>TRAVEL EXPENSES VAT</v>
          </cell>
          <cell r="D322">
            <v>3.36</v>
          </cell>
          <cell r="G322">
            <v>37</v>
          </cell>
          <cell r="H322">
            <v>700102</v>
          </cell>
          <cell r="I322" t="str">
            <v>FINES &amp; PENALTIES</v>
          </cell>
          <cell r="J322">
            <v>451</v>
          </cell>
        </row>
        <row r="323">
          <cell r="A323">
            <v>37</v>
          </cell>
          <cell r="B323">
            <v>700499</v>
          </cell>
          <cell r="C323" t="str">
            <v>OTHER MISCELLANEOUS</v>
          </cell>
          <cell r="D323">
            <v>461.35</v>
          </cell>
          <cell r="G323">
            <v>37</v>
          </cell>
          <cell r="H323">
            <v>700401</v>
          </cell>
          <cell r="I323" t="str">
            <v>TRAVEL EXPENSES VAT</v>
          </cell>
          <cell r="J323">
            <v>16.350000000000001</v>
          </cell>
        </row>
        <row r="324">
          <cell r="A324">
            <v>37</v>
          </cell>
          <cell r="B324">
            <v>700901</v>
          </cell>
          <cell r="C324" t="str">
            <v>MISC EXPENSE</v>
          </cell>
          <cell r="D324">
            <v>21022.76</v>
          </cell>
          <cell r="G324">
            <v>37</v>
          </cell>
          <cell r="H324">
            <v>700499</v>
          </cell>
          <cell r="I324" t="str">
            <v>OTHER MISCELLANEOUS</v>
          </cell>
          <cell r="J324">
            <v>2169</v>
          </cell>
        </row>
        <row r="325">
          <cell r="A325">
            <v>37</v>
          </cell>
          <cell r="B325">
            <v>700901</v>
          </cell>
          <cell r="C325" t="str">
            <v>MISC EXPENSE</v>
          </cell>
          <cell r="D325">
            <v>-68694.38</v>
          </cell>
          <cell r="G325">
            <v>37</v>
          </cell>
          <cell r="H325">
            <v>700901</v>
          </cell>
          <cell r="I325" t="str">
            <v>MISC EXPENSE</v>
          </cell>
          <cell r="J325">
            <v>100013.27</v>
          </cell>
        </row>
        <row r="326">
          <cell r="A326">
            <v>50</v>
          </cell>
          <cell r="B326">
            <v>755001</v>
          </cell>
          <cell r="C326" t="str">
            <v>R&amp;D CROSS CHARGE</v>
          </cell>
          <cell r="D326">
            <v>-1387.83</v>
          </cell>
          <cell r="G326">
            <v>37</v>
          </cell>
          <cell r="H326">
            <v>700901</v>
          </cell>
          <cell r="I326" t="str">
            <v>MISC EXPENSE</v>
          </cell>
          <cell r="J326">
            <v>-325149</v>
          </cell>
        </row>
        <row r="327">
          <cell r="A327">
            <v>50</v>
          </cell>
          <cell r="B327">
            <v>755001</v>
          </cell>
          <cell r="C327" t="str">
            <v>R&amp;D CROSS CHARGE</v>
          </cell>
          <cell r="D327">
            <v>1223683.3600000001</v>
          </cell>
          <cell r="G327">
            <v>50</v>
          </cell>
          <cell r="H327">
            <v>755001</v>
          </cell>
          <cell r="I327" t="str">
            <v>R&amp;D CROSS CHARGE</v>
          </cell>
          <cell r="J327">
            <v>-6416.84</v>
          </cell>
        </row>
        <row r="328">
          <cell r="A328">
            <v>50</v>
          </cell>
          <cell r="B328">
            <v>755001</v>
          </cell>
          <cell r="C328" t="str">
            <v>R&amp;D CROSS CHARGE</v>
          </cell>
          <cell r="D328">
            <v>-526355.19999999995</v>
          </cell>
          <cell r="G328">
            <v>50</v>
          </cell>
          <cell r="H328">
            <v>755001</v>
          </cell>
          <cell r="I328" t="str">
            <v>R&amp;D CROSS CHARGE</v>
          </cell>
          <cell r="J328">
            <v>5662333.6699999999</v>
          </cell>
        </row>
        <row r="329">
          <cell r="A329">
            <v>50</v>
          </cell>
          <cell r="B329">
            <v>755001</v>
          </cell>
          <cell r="C329" t="str">
            <v>R&amp;D CROSS CHARGE</v>
          </cell>
          <cell r="D329">
            <v>-32779.089999999997</v>
          </cell>
          <cell r="G329">
            <v>50</v>
          </cell>
          <cell r="H329">
            <v>755001</v>
          </cell>
          <cell r="I329" t="str">
            <v>R&amp;D CROSS CHARGE</v>
          </cell>
          <cell r="J329">
            <v>-2432964.09</v>
          </cell>
        </row>
        <row r="330">
          <cell r="A330">
            <v>50</v>
          </cell>
          <cell r="B330">
            <v>755001</v>
          </cell>
          <cell r="C330" t="str">
            <v>R&amp;D CROSS CHARGE</v>
          </cell>
          <cell r="D330">
            <v>-44229.29</v>
          </cell>
          <cell r="G330">
            <v>50</v>
          </cell>
          <cell r="H330">
            <v>755001</v>
          </cell>
          <cell r="I330" t="str">
            <v>R&amp;D CROSS CHARGE</v>
          </cell>
          <cell r="J330">
            <v>-147650.70000000001</v>
          </cell>
        </row>
        <row r="331">
          <cell r="A331">
            <v>50</v>
          </cell>
          <cell r="B331">
            <v>755001</v>
          </cell>
          <cell r="C331" t="str">
            <v>R&amp;D CROSS CHARGE</v>
          </cell>
          <cell r="D331">
            <v>-78709.52</v>
          </cell>
          <cell r="G331">
            <v>50</v>
          </cell>
          <cell r="H331">
            <v>755001</v>
          </cell>
          <cell r="I331" t="str">
            <v>R&amp;D CROSS CHARGE</v>
          </cell>
          <cell r="J331">
            <v>-209654.99</v>
          </cell>
        </row>
        <row r="332">
          <cell r="A332">
            <v>50</v>
          </cell>
          <cell r="B332">
            <v>755001</v>
          </cell>
          <cell r="C332" t="str">
            <v>R&amp;D CROSS CHARGE</v>
          </cell>
          <cell r="D332">
            <v>-7047871.7199999997</v>
          </cell>
          <cell r="G332">
            <v>50</v>
          </cell>
          <cell r="H332">
            <v>755001</v>
          </cell>
          <cell r="I332" t="str">
            <v>R&amp;D CROSS CHARGE</v>
          </cell>
          <cell r="J332">
            <v>-374085.13</v>
          </cell>
        </row>
        <row r="333">
          <cell r="A333">
            <v>50</v>
          </cell>
          <cell r="B333">
            <v>755001</v>
          </cell>
          <cell r="C333" t="str">
            <v>R&amp;D CROSS CHARGE</v>
          </cell>
          <cell r="D333">
            <v>-64815.38</v>
          </cell>
          <cell r="G333">
            <v>50</v>
          </cell>
          <cell r="H333">
            <v>755001</v>
          </cell>
          <cell r="I333" t="str">
            <v>R&amp;D CROSS CHARGE</v>
          </cell>
          <cell r="J333">
            <v>-33118034.199999999</v>
          </cell>
        </row>
        <row r="334">
          <cell r="A334">
            <v>50</v>
          </cell>
          <cell r="B334">
            <v>755001</v>
          </cell>
          <cell r="C334" t="str">
            <v>R&amp;D CROSS CHARGE</v>
          </cell>
          <cell r="D334">
            <v>-53082.17</v>
          </cell>
          <cell r="G334">
            <v>50</v>
          </cell>
          <cell r="H334">
            <v>755001</v>
          </cell>
          <cell r="I334" t="str">
            <v>R&amp;D CROSS CHARGE</v>
          </cell>
          <cell r="J334">
            <v>-304988.51</v>
          </cell>
        </row>
        <row r="335">
          <cell r="A335">
            <v>50</v>
          </cell>
          <cell r="B335">
            <v>755001</v>
          </cell>
          <cell r="C335" t="str">
            <v>R&amp;D CROSS CHARGE</v>
          </cell>
          <cell r="D335">
            <v>-2084.38</v>
          </cell>
          <cell r="G335">
            <v>50</v>
          </cell>
          <cell r="H335">
            <v>755001</v>
          </cell>
          <cell r="I335" t="str">
            <v>R&amp;D CROSS CHARGE</v>
          </cell>
          <cell r="J335">
            <v>-247614.6</v>
          </cell>
        </row>
        <row r="336">
          <cell r="A336">
            <v>44</v>
          </cell>
          <cell r="B336">
            <v>755004</v>
          </cell>
          <cell r="C336" t="str">
            <v>G&amp;A CROSS CHARGE</v>
          </cell>
          <cell r="D336">
            <v>-143384.20000000001</v>
          </cell>
          <cell r="G336">
            <v>50</v>
          </cell>
          <cell r="H336">
            <v>755001</v>
          </cell>
          <cell r="I336" t="str">
            <v>R&amp;D CROSS CHARGE</v>
          </cell>
          <cell r="J336">
            <v>-9636.09</v>
          </cell>
        </row>
        <row r="337">
          <cell r="A337">
            <v>44</v>
          </cell>
          <cell r="B337">
            <v>755004</v>
          </cell>
          <cell r="C337" t="str">
            <v>G&amp;A CROSS CHARGE</v>
          </cell>
          <cell r="D337">
            <v>-197373.94</v>
          </cell>
          <cell r="G337">
            <v>44</v>
          </cell>
          <cell r="H337">
            <v>755004</v>
          </cell>
          <cell r="I337" t="str">
            <v>G&amp;A CROSS CHARGE</v>
          </cell>
          <cell r="J337">
            <v>-673649</v>
          </cell>
        </row>
        <row r="338">
          <cell r="A338">
            <v>40</v>
          </cell>
          <cell r="B338">
            <v>770101</v>
          </cell>
          <cell r="C338" t="str">
            <v>INTEREST INC - BANK</v>
          </cell>
          <cell r="D338">
            <v>-6645.16</v>
          </cell>
          <cell r="G338">
            <v>44</v>
          </cell>
          <cell r="H338">
            <v>755004</v>
          </cell>
          <cell r="I338" t="str">
            <v>G&amp;A CROSS CHARGE</v>
          </cell>
          <cell r="J338">
            <v>-925618</v>
          </cell>
        </row>
        <row r="339">
          <cell r="A339">
            <v>50</v>
          </cell>
          <cell r="B339">
            <v>775307</v>
          </cell>
          <cell r="C339" t="str">
            <v>I/C SERVICE FEE INCO</v>
          </cell>
          <cell r="D339">
            <v>-497072.33</v>
          </cell>
          <cell r="G339">
            <v>40</v>
          </cell>
          <cell r="H339">
            <v>770101</v>
          </cell>
          <cell r="I339" t="str">
            <v>INTEREST INC - BANK</v>
          </cell>
          <cell r="J339">
            <v>-31544.03</v>
          </cell>
        </row>
        <row r="340">
          <cell r="A340">
            <v>41</v>
          </cell>
          <cell r="B340">
            <v>775401</v>
          </cell>
          <cell r="C340" t="str">
            <v>GAIN ON SALE OF FIXE</v>
          </cell>
          <cell r="D340">
            <v>-9353.83</v>
          </cell>
          <cell r="G340">
            <v>40</v>
          </cell>
          <cell r="H340">
            <v>770102</v>
          </cell>
          <cell r="I340" t="str">
            <v>INTEREST INC - SHORT</v>
          </cell>
          <cell r="J340">
            <v>-12.2</v>
          </cell>
        </row>
        <row r="341">
          <cell r="A341">
            <v>42</v>
          </cell>
          <cell r="B341">
            <v>785101</v>
          </cell>
          <cell r="C341" t="str">
            <v>I/C NON OPERATING EX</v>
          </cell>
          <cell r="D341">
            <v>151103.26</v>
          </cell>
          <cell r="G341">
            <v>50</v>
          </cell>
          <cell r="H341">
            <v>775307</v>
          </cell>
          <cell r="I341" t="str">
            <v>I/C SERVICE FEE INCO</v>
          </cell>
          <cell r="J341">
            <v>-2339153.31</v>
          </cell>
        </row>
        <row r="342">
          <cell r="A342">
            <v>42</v>
          </cell>
          <cell r="B342">
            <v>785101</v>
          </cell>
          <cell r="C342" t="str">
            <v>I/C NON OPERATING EX</v>
          </cell>
          <cell r="D342">
            <v>19311.2</v>
          </cell>
          <cell r="G342">
            <v>41</v>
          </cell>
          <cell r="H342">
            <v>775401</v>
          </cell>
          <cell r="I342" t="str">
            <v>GAIN ON SALE OF FIXE</v>
          </cell>
          <cell r="J342">
            <v>-43128</v>
          </cell>
        </row>
        <row r="343">
          <cell r="A343">
            <v>43</v>
          </cell>
          <cell r="B343">
            <v>785105</v>
          </cell>
          <cell r="C343" t="str">
            <v>STOCK OPTION XCHRG</v>
          </cell>
          <cell r="D343">
            <v>309654</v>
          </cell>
          <cell r="G343">
            <v>42</v>
          </cell>
          <cell r="H343">
            <v>785101</v>
          </cell>
          <cell r="I343" t="str">
            <v>I/C NON OPERATING EX</v>
          </cell>
          <cell r="J343">
            <v>732397.5</v>
          </cell>
        </row>
        <row r="344">
          <cell r="A344">
            <v>40</v>
          </cell>
          <cell r="B344">
            <v>790104</v>
          </cell>
          <cell r="C344" t="str">
            <v>CURRENCY GAIN/LOSS -</v>
          </cell>
          <cell r="D344">
            <v>90249.73</v>
          </cell>
          <cell r="G344">
            <v>42</v>
          </cell>
          <cell r="H344">
            <v>785101</v>
          </cell>
          <cell r="I344" t="str">
            <v>I/C NON OPERATING EX</v>
          </cell>
          <cell r="J344">
            <v>93601.38</v>
          </cell>
        </row>
        <row r="345">
          <cell r="A345">
            <v>40</v>
          </cell>
          <cell r="B345">
            <v>790121</v>
          </cell>
          <cell r="C345" t="str">
            <v>CROSS CURRENCY CLEAR</v>
          </cell>
          <cell r="D345">
            <v>6610.23</v>
          </cell>
          <cell r="G345">
            <v>43</v>
          </cell>
          <cell r="H345">
            <v>785105</v>
          </cell>
          <cell r="I345" t="str">
            <v>STOCK OPTION XCHRG</v>
          </cell>
          <cell r="J345">
            <v>1507534.87</v>
          </cell>
        </row>
        <row r="346">
          <cell r="A346">
            <v>51</v>
          </cell>
          <cell r="B346">
            <v>795104</v>
          </cell>
          <cell r="C346" t="str">
            <v>COMPANY INCOME TAX P</v>
          </cell>
          <cell r="D346">
            <v>114994.15</v>
          </cell>
          <cell r="G346">
            <v>40</v>
          </cell>
          <cell r="H346">
            <v>790101</v>
          </cell>
          <cell r="I346" t="str">
            <v>CURRENCY GAIN/LOSS -</v>
          </cell>
          <cell r="J346">
            <v>12233.07</v>
          </cell>
        </row>
        <row r="347">
          <cell r="G347">
            <v>40</v>
          </cell>
          <cell r="H347">
            <v>790102</v>
          </cell>
          <cell r="I347" t="str">
            <v>CURRENCY GAIN - REAL</v>
          </cell>
          <cell r="J347">
            <v>-10984.28</v>
          </cell>
        </row>
        <row r="348">
          <cell r="G348">
            <v>40</v>
          </cell>
          <cell r="H348">
            <v>790103</v>
          </cell>
          <cell r="I348" t="str">
            <v>CURRENCY LOSS - REAL</v>
          </cell>
          <cell r="J348">
            <v>26297.37</v>
          </cell>
        </row>
        <row r="349">
          <cell r="G349">
            <v>40</v>
          </cell>
          <cell r="H349">
            <v>790104</v>
          </cell>
          <cell r="I349" t="str">
            <v>CURRENCY GAIN/LOSS -</v>
          </cell>
          <cell r="J349">
            <v>-227240.18</v>
          </cell>
        </row>
        <row r="350">
          <cell r="G350">
            <v>40</v>
          </cell>
          <cell r="H350">
            <v>790121</v>
          </cell>
          <cell r="I350" t="str">
            <v>CROSS CURRENCY CLEAR</v>
          </cell>
          <cell r="J350">
            <v>1344106.1</v>
          </cell>
        </row>
        <row r="351">
          <cell r="G351">
            <v>51</v>
          </cell>
          <cell r="H351">
            <v>795104</v>
          </cell>
          <cell r="I351" t="str">
            <v>COMPANY INCOME TAX P</v>
          </cell>
          <cell r="J351">
            <v>539596</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M"/>
      <sheetName val="ASPmarket"/>
      <sheetName val="Outsource"/>
      <sheetName val="Charts"/>
      <sheetName val="HeadYear1"/>
      <sheetName val="headcount"/>
      <sheetName val="Gantt"/>
      <sheetName val="Dan's"/>
      <sheetName val="Expenses"/>
      <sheetName val="IncState"/>
      <sheetName val="RGraph"/>
      <sheetName val="RSources"/>
      <sheetName val="IT"/>
      <sheetName val="EInsurance"/>
      <sheetName val="MShare"/>
      <sheetName val="Combo"/>
      <sheetName val="ASPC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JE"/>
      <sheetName val="summary"/>
      <sheetName val="P&amp;L"/>
      <sheetName val="Sheet1"/>
      <sheetName val="summary including 17.75M$"/>
      <sheetName val="Cash waterfall 2008"/>
      <sheetName val="BS"/>
      <sheetName val="CF"/>
      <sheetName val="Data"/>
      <sheetName val="general ledger"/>
      <sheetName val="BP&amp;L"/>
      <sheetName val="BBS"/>
      <sheetName val="Cash waterfall"/>
      <sheetName val="Expenses waterfall"/>
      <sheetName val="BCF"/>
    </sheetNames>
    <sheetDataSet>
      <sheetData sheetId="0">
        <row r="3">
          <cell r="A3" t="str">
            <v xml:space="preserve">Incomes - </v>
          </cell>
        </row>
        <row r="4">
          <cell r="A4" t="e">
            <v>#REF!</v>
          </cell>
        </row>
        <row r="5">
          <cell r="A5" t="e">
            <v>#REF!</v>
          </cell>
        </row>
        <row r="6">
          <cell r="A6" t="e">
            <v>#REF!</v>
          </cell>
        </row>
        <row r="7">
          <cell r="A7">
            <v>0</v>
          </cell>
        </row>
        <row r="8">
          <cell r="A8">
            <v>0</v>
          </cell>
        </row>
        <row r="9">
          <cell r="A9" t="str">
            <v>R&amp;D</v>
          </cell>
        </row>
        <row r="10">
          <cell r="A10" t="str">
            <v>Research and Development - Salaries and social benefits</v>
          </cell>
        </row>
        <row r="11">
          <cell r="A11" t="str">
            <v>Research and Development - Employee recruitment</v>
          </cell>
        </row>
        <row r="12">
          <cell r="A12" t="str">
            <v>Research and Development - RF Tos</v>
          </cell>
        </row>
        <row r="13">
          <cell r="A13" t="str">
            <v>Research and Development - Digital Tos</v>
          </cell>
        </row>
        <row r="14">
          <cell r="A14" t="str">
            <v>Research and Development - Packaging</v>
          </cell>
        </row>
        <row r="15">
          <cell r="A15" t="str">
            <v>Research and Development - Long term contract:</v>
          </cell>
        </row>
        <row r="16">
          <cell r="A16" t="str">
            <v>Research and Development - Cadence Tools</v>
          </cell>
        </row>
        <row r="17">
          <cell r="A17" t="str">
            <v>Research and Development - Synopsys Tools</v>
          </cell>
        </row>
        <row r="18">
          <cell r="A18" t="str">
            <v>Research and Development - Gen 1 Design Services</v>
          </cell>
        </row>
        <row r="19">
          <cell r="A19" t="str">
            <v>Research and Development - IP Licensing</v>
          </cell>
        </row>
        <row r="20">
          <cell r="A20" t="str">
            <v>Research and Development - Materials</v>
          </cell>
        </row>
        <row r="21">
          <cell r="A21" t="str">
            <v>Research and Development - Radio Design Outsource</v>
          </cell>
        </row>
        <row r="22">
          <cell r="A22" t="str">
            <v>Research and Development - Analog  Design Outsource</v>
          </cell>
        </row>
        <row r="23">
          <cell r="A23" t="str">
            <v>Research and Development - Contractors</v>
          </cell>
        </row>
        <row r="24">
          <cell r="A24" t="str">
            <v>Research and Development - Testing infastructure</v>
          </cell>
        </row>
        <row r="25">
          <cell r="A25" t="str">
            <v>Research and Development - PoC/Hardware</v>
          </cell>
        </row>
        <row r="26">
          <cell r="A26" t="str">
            <v>Research and Development - Lab Rental</v>
          </cell>
        </row>
        <row r="27">
          <cell r="A27" t="str">
            <v>Research and Development - Certifications</v>
          </cell>
        </row>
        <row r="28">
          <cell r="A28" t="str">
            <v>Research and Development - Software Rental</v>
          </cell>
        </row>
        <row r="29">
          <cell r="A29" t="str">
            <v>Research and Development - Patent and TM</v>
          </cell>
        </row>
        <row r="30">
          <cell r="A30" t="str">
            <v>Research and Development - Training &amp; Literature</v>
          </cell>
        </row>
        <row r="31">
          <cell r="A31" t="str">
            <v>Research and Development - Total cost of travel abroad</v>
          </cell>
        </row>
        <row r="32">
          <cell r="A32" t="str">
            <v>Research and Development - food</v>
          </cell>
        </row>
        <row r="33">
          <cell r="A33" t="str">
            <v>Research and Development - Contingency (% of salaries+fixed exp.)</v>
          </cell>
        </row>
        <row r="34">
          <cell r="A34">
            <v>0</v>
          </cell>
        </row>
        <row r="35">
          <cell r="A35">
            <v>0</v>
          </cell>
        </row>
        <row r="36">
          <cell r="A36">
            <v>0</v>
          </cell>
        </row>
        <row r="37">
          <cell r="A37">
            <v>0</v>
          </cell>
        </row>
        <row r="38">
          <cell r="A38">
            <v>0</v>
          </cell>
        </row>
        <row r="39">
          <cell r="A39">
            <v>0</v>
          </cell>
        </row>
        <row r="40">
          <cell r="A40" t="str">
            <v xml:space="preserve">Sales &amp; Marketing  </v>
          </cell>
        </row>
        <row r="41">
          <cell r="A41" t="str">
            <v>Sales &amp; Marketing - Salaries and social benefits</v>
          </cell>
        </row>
        <row r="42">
          <cell r="A42" t="str">
            <v>Sales &amp; Marketing - Recruitment</v>
          </cell>
        </row>
        <row r="43">
          <cell r="A43" t="str">
            <v>Sales &amp; Marketing - Relocation</v>
          </cell>
        </row>
        <row r="44">
          <cell r="A44" t="str">
            <v>Sales &amp; Marketing - US office costs:</v>
          </cell>
        </row>
        <row r="45">
          <cell r="A45" t="str">
            <v>Sales &amp; Marketing - Allocation of expenses to Operation</v>
          </cell>
        </row>
        <row r="46">
          <cell r="A46" t="str">
            <v>Sales &amp; Marketing - Allocation of expenses to Sales</v>
          </cell>
        </row>
        <row r="47">
          <cell r="A47" t="str">
            <v>Sales &amp; Marketing - Communication</v>
          </cell>
        </row>
        <row r="48">
          <cell r="A48" t="str">
            <v>Sales &amp; Marketing - Tradeshows/events</v>
          </cell>
        </row>
        <row r="49">
          <cell r="A49" t="str">
            <v>Sales &amp; Marketing - Accounting and payroll services</v>
          </cell>
        </row>
        <row r="50">
          <cell r="A50" t="str">
            <v>Sales &amp; Marketing - Tax report</v>
          </cell>
        </row>
        <row r="51">
          <cell r="A51" t="str">
            <v>Sales &amp; Marketing - Total cost of travel abroad</v>
          </cell>
        </row>
        <row r="52">
          <cell r="A52" t="str">
            <v>Sales &amp; Marketing - Contingency (% of salaries+fixed exp.)</v>
          </cell>
        </row>
        <row r="53">
          <cell r="A53">
            <v>0</v>
          </cell>
        </row>
        <row r="54">
          <cell r="A54" t="str">
            <v>G&amp;A</v>
          </cell>
        </row>
        <row r="55">
          <cell r="A55" t="str">
            <v>General &amp; Administration - Salaries and social benefits</v>
          </cell>
        </row>
        <row r="56">
          <cell r="A56" t="str">
            <v>General &amp; Administration - Office occupancy - total</v>
          </cell>
        </row>
        <row r="57">
          <cell r="A57" t="str">
            <v>General &amp; Administration - Total - office maintenance</v>
          </cell>
        </row>
        <row r="58">
          <cell r="A58" t="str">
            <v>General &amp; Administration - Phones &amp; Internet</v>
          </cell>
        </row>
        <row r="59">
          <cell r="A59" t="str">
            <v>General &amp; Administration - Total cost of travel abroad</v>
          </cell>
        </row>
        <row r="60">
          <cell r="A60" t="str">
            <v>General &amp; Administration - Relocation expenses</v>
          </cell>
        </row>
        <row r="61">
          <cell r="A61" t="str">
            <v>General &amp; Administration - Total - insurance</v>
          </cell>
        </row>
        <row r="62">
          <cell r="A62" t="str">
            <v>General &amp; Administration - Total for accounting services</v>
          </cell>
        </row>
        <row r="63">
          <cell r="A63" t="str">
            <v>General &amp; Administration - Legal and profesional</v>
          </cell>
        </row>
        <row r="64">
          <cell r="A64" t="str">
            <v>General &amp; Administration - IT</v>
          </cell>
        </row>
        <row r="65">
          <cell r="A65" t="str">
            <v>General &amp; Administration - other expenses</v>
          </cell>
        </row>
        <row r="66">
          <cell r="A66" t="str">
            <v>General &amp; Administration - Contingency (% of salaries+fixed exp.)</v>
          </cell>
        </row>
        <row r="67">
          <cell r="A67">
            <v>0</v>
          </cell>
        </row>
        <row r="68">
          <cell r="A68">
            <v>0</v>
          </cell>
        </row>
        <row r="69">
          <cell r="A69" t="str">
            <v>Non cash expenses</v>
          </cell>
        </row>
        <row r="70">
          <cell r="A70" t="str">
            <v>Non cash expenses. - Depreciation of fixed assets</v>
          </cell>
        </row>
        <row r="71">
          <cell r="A71" t="str">
            <v>Non cash expenses. - Chief sciense expected funding</v>
          </cell>
        </row>
        <row r="72">
          <cell r="A72" t="str">
            <v>Non cash expenses. - Net interest income (expense)</v>
          </cell>
        </row>
        <row r="73">
          <cell r="A73" t="str">
            <v>Non cash expenses. - Interest on long term loan</v>
          </cell>
        </row>
        <row r="74">
          <cell r="A74" t="str">
            <v>Non cash expenses. - Taxation provision</v>
          </cell>
        </row>
        <row r="75">
          <cell r="A75">
            <v>0</v>
          </cell>
        </row>
        <row r="76">
          <cell r="A76">
            <v>0</v>
          </cell>
        </row>
        <row r="77">
          <cell r="A77" t="str">
            <v>Current Assets</v>
          </cell>
        </row>
        <row r="78">
          <cell r="A78" t="str">
            <v>Current Assets - Cash &amp; cash equivalents ISRAEL</v>
          </cell>
        </row>
        <row r="79">
          <cell r="A79" t="str">
            <v xml:space="preserve">Current Assets - Cash &amp; cash equivalents US </v>
          </cell>
        </row>
        <row r="80">
          <cell r="A80" t="str">
            <v>Current Assets - Accounts receivable</v>
          </cell>
        </row>
        <row r="81">
          <cell r="A81" t="str">
            <v xml:space="preserve">Current Assets - Prepaid expenses </v>
          </cell>
        </row>
        <row r="82">
          <cell r="A82" t="str">
            <v>Current Assets - Other current assets</v>
          </cell>
        </row>
        <row r="83">
          <cell r="A83">
            <v>0</v>
          </cell>
        </row>
        <row r="84">
          <cell r="A84" t="str">
            <v>Property and Equipments</v>
          </cell>
        </row>
        <row r="85">
          <cell r="A85" t="str">
            <v>Property and Equipments - Computer equipment &amp; software</v>
          </cell>
        </row>
        <row r="86">
          <cell r="A86" t="str">
            <v>Property and Equipments - Office furniture and equipment</v>
          </cell>
        </row>
        <row r="87">
          <cell r="A87" t="str">
            <v>Property and Equipments - Hardware</v>
          </cell>
        </row>
        <row r="88">
          <cell r="A88" t="str">
            <v>Property and Equipments - Less accumulated depreciation</v>
          </cell>
        </row>
        <row r="89">
          <cell r="A89">
            <v>0</v>
          </cell>
        </row>
        <row r="90">
          <cell r="A90" t="str">
            <v>Intangibles</v>
          </cell>
        </row>
        <row r="91">
          <cell r="A91" t="str">
            <v>Intangibles - Inventory</v>
          </cell>
        </row>
        <row r="92">
          <cell r="A92" t="str">
            <v>Intangibles - Less accumulated amortization</v>
          </cell>
        </row>
        <row r="93">
          <cell r="A93">
            <v>0</v>
          </cell>
        </row>
        <row r="94">
          <cell r="A94" t="str">
            <v>Other Long term Assets</v>
          </cell>
        </row>
        <row r="95">
          <cell r="A95" t="str">
            <v>Other Long term Assets - Long term prepayments</v>
          </cell>
        </row>
        <row r="96">
          <cell r="A96" t="str">
            <v>Other Long term Assets - Other long term assets</v>
          </cell>
        </row>
        <row r="97">
          <cell r="A97">
            <v>0</v>
          </cell>
        </row>
        <row r="98">
          <cell r="A98" t="str">
            <v>Current Liabilities</v>
          </cell>
        </row>
        <row r="99">
          <cell r="A99" t="str">
            <v>Current Liabilities - Bank overdraft and short term loans</v>
          </cell>
        </row>
        <row r="100">
          <cell r="A100" t="str">
            <v>Current Liabilities - Other short term loans</v>
          </cell>
        </row>
        <row r="101">
          <cell r="A101" t="str">
            <v>Current Liabilities - Accounts payable</v>
          </cell>
        </row>
        <row r="102">
          <cell r="A102" t="str">
            <v>Current Liabilities - Accrued expenses</v>
          </cell>
        </row>
        <row r="103">
          <cell r="A103" t="str">
            <v>Current Liabilities - Employee payables</v>
          </cell>
        </row>
        <row r="104">
          <cell r="A104" t="str">
            <v>Current Liabilities - Employee institution</v>
          </cell>
        </row>
        <row r="105">
          <cell r="A105" t="str">
            <v>Current Liabilities - Short term provisions - holiday accrual</v>
          </cell>
        </row>
        <row r="106">
          <cell r="A106" t="str">
            <v>Current Liabilities - Cadence/Synopsys</v>
          </cell>
        </row>
        <row r="107">
          <cell r="A107" t="str">
            <v>Current Liabilities - Others</v>
          </cell>
        </row>
        <row r="108">
          <cell r="A108">
            <v>0</v>
          </cell>
        </row>
        <row r="109">
          <cell r="A109" t="str">
            <v>Long term liabilities</v>
          </cell>
        </row>
        <row r="110">
          <cell r="A110" t="str">
            <v>Long term liabilities - Long term loans</v>
          </cell>
        </row>
        <row r="111">
          <cell r="A111" t="str">
            <v>Long term liabilities - Long term provisions</v>
          </cell>
        </row>
        <row r="112">
          <cell r="A112" t="str">
            <v>Long term liabilities - Other long term liabilities</v>
          </cell>
        </row>
        <row r="113">
          <cell r="A113">
            <v>0</v>
          </cell>
        </row>
        <row r="114">
          <cell r="A114" t="str">
            <v>Shareholders equity</v>
          </cell>
        </row>
        <row r="115">
          <cell r="A115" t="str">
            <v>Shareholders equity - Preferred &amp; Common Stock</v>
          </cell>
        </row>
        <row r="116">
          <cell r="A116" t="str">
            <v>Shareholders equity - Additional investment</v>
          </cell>
        </row>
        <row r="117">
          <cell r="A117" t="str">
            <v>Shareholders equity - Fair value of Leader Warrants</v>
          </cell>
        </row>
        <row r="118">
          <cell r="A118" t="str">
            <v xml:space="preserve">Shareholders equity - FAS123R </v>
          </cell>
        </row>
        <row r="119">
          <cell r="A119" t="str">
            <v>Shareholders equity -    תקבולים ע"ח Warrant של Leader</v>
          </cell>
        </row>
        <row r="120">
          <cell r="A120" t="str">
            <v>Shareholders equity - Accumulated deficit</v>
          </cell>
        </row>
        <row r="121">
          <cell r="A121" t="str">
            <v>Shareholders equity - Profit (loss) - this year</v>
          </cell>
        </row>
        <row r="122">
          <cell r="A122">
            <v>0</v>
          </cell>
        </row>
        <row r="123">
          <cell r="A12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JE"/>
      <sheetName val="summary"/>
      <sheetName val="P&amp;L"/>
      <sheetName val="Sheet1"/>
      <sheetName val="summary including 17.75M$"/>
      <sheetName val="Cash waterfall 2008"/>
      <sheetName val="BS"/>
      <sheetName val="CF"/>
      <sheetName val="Data"/>
      <sheetName val="general ledger"/>
      <sheetName val="BP&amp;L"/>
      <sheetName val="BBS"/>
      <sheetName val="Cash waterfall"/>
      <sheetName val="Expenses waterfall"/>
      <sheetName val="BCF"/>
    </sheetNames>
    <sheetDataSet>
      <sheetData sheetId="0">
        <row r="3">
          <cell r="A3" t="str">
            <v xml:space="preserve">Incomes - </v>
          </cell>
        </row>
        <row r="4">
          <cell r="A4" t="e">
            <v>#REF!</v>
          </cell>
        </row>
        <row r="5">
          <cell r="A5" t="e">
            <v>#REF!</v>
          </cell>
        </row>
        <row r="6">
          <cell r="A6" t="e">
            <v>#REF!</v>
          </cell>
        </row>
        <row r="7">
          <cell r="A7">
            <v>0</v>
          </cell>
        </row>
        <row r="8">
          <cell r="A8">
            <v>0</v>
          </cell>
        </row>
        <row r="9">
          <cell r="A9" t="str">
            <v>R&amp;D</v>
          </cell>
        </row>
        <row r="10">
          <cell r="A10" t="str">
            <v>Research and Development - Salaries and social benefits</v>
          </cell>
        </row>
        <row r="11">
          <cell r="A11" t="str">
            <v>Research and Development - Employee recruitment</v>
          </cell>
        </row>
        <row r="12">
          <cell r="A12" t="str">
            <v>Research and Development - RF Tos</v>
          </cell>
        </row>
        <row r="13">
          <cell r="A13" t="str">
            <v>Research and Development - Digital Tos</v>
          </cell>
        </row>
        <row r="14">
          <cell r="A14" t="str">
            <v>Research and Development - Packaging</v>
          </cell>
        </row>
        <row r="15">
          <cell r="A15" t="str">
            <v>Research and Development - Long term contract:</v>
          </cell>
        </row>
        <row r="16">
          <cell r="A16" t="str">
            <v>Research and Development - Cadence Tools</v>
          </cell>
        </row>
        <row r="17">
          <cell r="A17" t="str">
            <v>Research and Development - Synopsys Tools</v>
          </cell>
        </row>
        <row r="18">
          <cell r="A18" t="str">
            <v>Research and Development - Gen 1 Design Services</v>
          </cell>
        </row>
        <row r="19">
          <cell r="A19" t="str">
            <v>Research and Development - IP Licensing</v>
          </cell>
        </row>
        <row r="20">
          <cell r="A20" t="str">
            <v>Research and Development - Materials</v>
          </cell>
        </row>
        <row r="21">
          <cell r="A21" t="str">
            <v>Research and Development - Radio Design Outsource</v>
          </cell>
        </row>
        <row r="22">
          <cell r="A22" t="str">
            <v>Research and Development - Analog  Design Outsource</v>
          </cell>
        </row>
        <row r="23">
          <cell r="A23" t="str">
            <v>Research and Development - Contractors</v>
          </cell>
        </row>
        <row r="24">
          <cell r="A24" t="str">
            <v>Research and Development - Testing infastructure</v>
          </cell>
        </row>
        <row r="25">
          <cell r="A25" t="str">
            <v>Research and Development - PoC/Hardware</v>
          </cell>
        </row>
        <row r="26">
          <cell r="A26" t="str">
            <v>Research and Development - Lab Rental</v>
          </cell>
        </row>
        <row r="27">
          <cell r="A27" t="str">
            <v>Research and Development - Certifications</v>
          </cell>
        </row>
        <row r="28">
          <cell r="A28" t="str">
            <v>Research and Development - Software Rental</v>
          </cell>
        </row>
        <row r="29">
          <cell r="A29" t="str">
            <v>Research and Development - Patent and TM</v>
          </cell>
        </row>
        <row r="30">
          <cell r="A30" t="str">
            <v>Research and Development - Training &amp; Literature</v>
          </cell>
        </row>
        <row r="31">
          <cell r="A31" t="str">
            <v>Research and Development - Total cost of travel abroad</v>
          </cell>
        </row>
        <row r="32">
          <cell r="A32" t="str">
            <v>Research and Development - food</v>
          </cell>
        </row>
        <row r="33">
          <cell r="A33" t="str">
            <v>Research and Development - Contingency (% of salaries+fixed exp.)</v>
          </cell>
        </row>
        <row r="34">
          <cell r="A34">
            <v>0</v>
          </cell>
        </row>
        <row r="35">
          <cell r="A35">
            <v>0</v>
          </cell>
        </row>
        <row r="36">
          <cell r="A36">
            <v>0</v>
          </cell>
        </row>
        <row r="37">
          <cell r="A37">
            <v>0</v>
          </cell>
        </row>
        <row r="38">
          <cell r="A38">
            <v>0</v>
          </cell>
        </row>
        <row r="39">
          <cell r="A39">
            <v>0</v>
          </cell>
        </row>
        <row r="40">
          <cell r="A40" t="str">
            <v xml:space="preserve">Sales &amp; Marketing  </v>
          </cell>
        </row>
        <row r="41">
          <cell r="A41" t="str">
            <v>Sales &amp; Marketing - Salaries and social benefits</v>
          </cell>
        </row>
        <row r="42">
          <cell r="A42" t="str">
            <v>Sales &amp; Marketing - Recruitment</v>
          </cell>
        </row>
        <row r="43">
          <cell r="A43" t="str">
            <v>Sales &amp; Marketing - Relocation</v>
          </cell>
        </row>
        <row r="44">
          <cell r="A44" t="str">
            <v>Sales &amp; Marketing - US office costs:</v>
          </cell>
        </row>
        <row r="45">
          <cell r="A45" t="str">
            <v>Sales &amp; Marketing - Allocation of expenses to Operation</v>
          </cell>
        </row>
        <row r="46">
          <cell r="A46" t="str">
            <v>Sales &amp; Marketing - Allocation of expenses to Sales</v>
          </cell>
        </row>
        <row r="47">
          <cell r="A47" t="str">
            <v>Sales &amp; Marketing - Communication</v>
          </cell>
        </row>
        <row r="48">
          <cell r="A48" t="str">
            <v>Sales &amp; Marketing - Tradeshows/events</v>
          </cell>
        </row>
        <row r="49">
          <cell r="A49" t="str">
            <v>Sales &amp; Marketing - Accounting and payroll services</v>
          </cell>
        </row>
        <row r="50">
          <cell r="A50" t="str">
            <v>Sales &amp; Marketing - Tax report</v>
          </cell>
        </row>
        <row r="51">
          <cell r="A51" t="str">
            <v>Sales &amp; Marketing - Total cost of travel abroad</v>
          </cell>
        </row>
        <row r="52">
          <cell r="A52" t="str">
            <v>Sales &amp; Marketing - Contingency (% of salaries+fixed exp.)</v>
          </cell>
        </row>
        <row r="53">
          <cell r="A53">
            <v>0</v>
          </cell>
        </row>
        <row r="54">
          <cell r="A54" t="str">
            <v>G&amp;A</v>
          </cell>
        </row>
        <row r="55">
          <cell r="A55" t="str">
            <v>General &amp; Administration - Salaries and social benefits</v>
          </cell>
        </row>
        <row r="56">
          <cell r="A56" t="str">
            <v>General &amp; Administration - Office occupancy - total</v>
          </cell>
        </row>
        <row r="57">
          <cell r="A57" t="str">
            <v>General &amp; Administration - Total - office maintenance</v>
          </cell>
        </row>
        <row r="58">
          <cell r="A58" t="str">
            <v>General &amp; Administration - Phones &amp; Internet</v>
          </cell>
        </row>
        <row r="59">
          <cell r="A59" t="str">
            <v>General &amp; Administration - Total cost of travel abroad</v>
          </cell>
        </row>
        <row r="60">
          <cell r="A60" t="str">
            <v>General &amp; Administration - Relocation expenses</v>
          </cell>
        </row>
        <row r="61">
          <cell r="A61" t="str">
            <v>General &amp; Administration - Total - insurance</v>
          </cell>
        </row>
        <row r="62">
          <cell r="A62" t="str">
            <v>General &amp; Administration - Total for accounting services</v>
          </cell>
        </row>
        <row r="63">
          <cell r="A63" t="str">
            <v>General &amp; Administration - Legal and profesional</v>
          </cell>
        </row>
        <row r="64">
          <cell r="A64" t="str">
            <v>General &amp; Administration - IT</v>
          </cell>
        </row>
        <row r="65">
          <cell r="A65" t="str">
            <v>General &amp; Administration - other expenses</v>
          </cell>
        </row>
        <row r="66">
          <cell r="A66" t="str">
            <v>General &amp; Administration - Contingency (% of salaries+fixed exp.)</v>
          </cell>
        </row>
        <row r="67">
          <cell r="A67">
            <v>0</v>
          </cell>
        </row>
        <row r="68">
          <cell r="A68">
            <v>0</v>
          </cell>
        </row>
        <row r="69">
          <cell r="A69" t="str">
            <v>Non cash expenses</v>
          </cell>
        </row>
        <row r="70">
          <cell r="A70" t="str">
            <v>Non cash expenses. - Depreciation of fixed assets</v>
          </cell>
        </row>
        <row r="71">
          <cell r="A71" t="str">
            <v>Non cash expenses. - Chief sciense expected funding</v>
          </cell>
        </row>
        <row r="72">
          <cell r="A72" t="str">
            <v>Non cash expenses. - Net interest income (expense)</v>
          </cell>
        </row>
        <row r="73">
          <cell r="A73" t="str">
            <v>Non cash expenses. - Interest on long term loan</v>
          </cell>
        </row>
        <row r="74">
          <cell r="A74" t="str">
            <v>Non cash expenses. - Taxation provision</v>
          </cell>
        </row>
        <row r="75">
          <cell r="A75">
            <v>0</v>
          </cell>
        </row>
        <row r="76">
          <cell r="A76">
            <v>0</v>
          </cell>
        </row>
        <row r="77">
          <cell r="A77" t="str">
            <v>Current Assets</v>
          </cell>
        </row>
        <row r="78">
          <cell r="A78" t="str">
            <v>Current Assets - Cash &amp; cash equivalents ISRAEL</v>
          </cell>
        </row>
        <row r="79">
          <cell r="A79" t="str">
            <v xml:space="preserve">Current Assets - Cash &amp; cash equivalents US </v>
          </cell>
        </row>
        <row r="80">
          <cell r="A80" t="str">
            <v>Current Assets - Accounts receivable</v>
          </cell>
        </row>
        <row r="81">
          <cell r="A81" t="str">
            <v xml:space="preserve">Current Assets - Prepaid expenses </v>
          </cell>
        </row>
        <row r="82">
          <cell r="A82" t="str">
            <v>Current Assets - Other current assets</v>
          </cell>
        </row>
        <row r="83">
          <cell r="A83">
            <v>0</v>
          </cell>
        </row>
        <row r="84">
          <cell r="A84" t="str">
            <v>Property and Equipments</v>
          </cell>
        </row>
        <row r="85">
          <cell r="A85" t="str">
            <v>Property and Equipments - Computer equipment &amp; software</v>
          </cell>
        </row>
        <row r="86">
          <cell r="A86" t="str">
            <v>Property and Equipments - Office furniture and equipment</v>
          </cell>
        </row>
        <row r="87">
          <cell r="A87" t="str">
            <v>Property and Equipments - Hardware</v>
          </cell>
        </row>
        <row r="88">
          <cell r="A88" t="str">
            <v>Property and Equipments - Less accumulated depreciation</v>
          </cell>
        </row>
        <row r="89">
          <cell r="A89">
            <v>0</v>
          </cell>
        </row>
        <row r="90">
          <cell r="A90" t="str">
            <v>Intangibles</v>
          </cell>
        </row>
        <row r="91">
          <cell r="A91" t="str">
            <v>Intangibles - Inventory</v>
          </cell>
        </row>
        <row r="92">
          <cell r="A92" t="str">
            <v>Intangibles - Less accumulated amortization</v>
          </cell>
        </row>
        <row r="93">
          <cell r="A93">
            <v>0</v>
          </cell>
        </row>
        <row r="94">
          <cell r="A94" t="str">
            <v>Other Long term Assets</v>
          </cell>
        </row>
        <row r="95">
          <cell r="A95" t="str">
            <v>Other Long term Assets - Long term prepayments</v>
          </cell>
        </row>
        <row r="96">
          <cell r="A96" t="str">
            <v>Other Long term Assets - Other long term assets</v>
          </cell>
        </row>
        <row r="97">
          <cell r="A97">
            <v>0</v>
          </cell>
        </row>
        <row r="98">
          <cell r="A98" t="str">
            <v>Current Liabilities</v>
          </cell>
        </row>
        <row r="99">
          <cell r="A99" t="str">
            <v>Current Liabilities - Bank overdraft and short term loans</v>
          </cell>
        </row>
        <row r="100">
          <cell r="A100" t="str">
            <v>Current Liabilities - Other short term loans</v>
          </cell>
        </row>
        <row r="101">
          <cell r="A101" t="str">
            <v>Current Liabilities - Accounts payable</v>
          </cell>
        </row>
        <row r="102">
          <cell r="A102" t="str">
            <v>Current Liabilities - Accrued expenses</v>
          </cell>
        </row>
        <row r="103">
          <cell r="A103" t="str">
            <v>Current Liabilities - Employee payables</v>
          </cell>
        </row>
        <row r="104">
          <cell r="A104" t="str">
            <v>Current Liabilities - Employee institution</v>
          </cell>
        </row>
        <row r="105">
          <cell r="A105" t="str">
            <v>Current Liabilities - Short term provisions - holiday accrual</v>
          </cell>
        </row>
        <row r="106">
          <cell r="A106" t="str">
            <v>Current Liabilities - Cadence/Synopsys</v>
          </cell>
        </row>
        <row r="107">
          <cell r="A107" t="str">
            <v>Current Liabilities - Others</v>
          </cell>
        </row>
        <row r="108">
          <cell r="A108">
            <v>0</v>
          </cell>
        </row>
        <row r="109">
          <cell r="A109" t="str">
            <v>Long term liabilities</v>
          </cell>
        </row>
        <row r="110">
          <cell r="A110" t="str">
            <v>Long term liabilities - Long term loans</v>
          </cell>
        </row>
        <row r="111">
          <cell r="A111" t="str">
            <v>Long term liabilities - Long term provisions</v>
          </cell>
        </row>
        <row r="112">
          <cell r="A112" t="str">
            <v>Long term liabilities - Other long term liabilities</v>
          </cell>
        </row>
        <row r="113">
          <cell r="A113">
            <v>0</v>
          </cell>
        </row>
        <row r="114">
          <cell r="A114" t="str">
            <v>Shareholders equity</v>
          </cell>
        </row>
        <row r="115">
          <cell r="A115" t="str">
            <v>Shareholders equity - Preferred &amp; Common Stock</v>
          </cell>
        </row>
        <row r="116">
          <cell r="A116" t="str">
            <v>Shareholders equity - Additional investment</v>
          </cell>
        </row>
        <row r="117">
          <cell r="A117" t="str">
            <v>Shareholders equity - Fair value of Leader Warrants</v>
          </cell>
        </row>
        <row r="118">
          <cell r="A118" t="str">
            <v xml:space="preserve">Shareholders equity - FAS123R </v>
          </cell>
        </row>
        <row r="119">
          <cell r="A119" t="str">
            <v>Shareholders equity -    תקבולים ע"ח Warrant של Leader</v>
          </cell>
        </row>
        <row r="120">
          <cell r="A120" t="str">
            <v>Shareholders equity - Accumulated deficit</v>
          </cell>
        </row>
        <row r="121">
          <cell r="A121" t="str">
            <v>Shareholders equity - Profit (loss) - this year</v>
          </cell>
        </row>
        <row r="122">
          <cell r="A122">
            <v>0</v>
          </cell>
        </row>
        <row r="123">
          <cell r="A12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Ls_XLB_WorkbookFile"/>
      <sheetName val="Sheet1"/>
      <sheetName val="Client Acc Listing Dept"/>
      <sheetName val="Ls_AgXLB_WorkbookFile"/>
    </sheetNames>
    <sheetDataSet>
      <sheetData sheetId="0" refreshError="1">
        <row r="10">
          <cell r="E10" t="str">
            <v>OYU</v>
          </cell>
        </row>
      </sheetData>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JE"/>
      <sheetName val="general ledger"/>
      <sheetName val="BP&amp;L"/>
      <sheetName val="BBS"/>
      <sheetName val="BCF"/>
      <sheetName val="P&amp;L"/>
      <sheetName val="BS"/>
      <sheetName val="CF"/>
      <sheetName val="summary"/>
    </sheetNames>
    <sheetDataSet>
      <sheetData sheetId="0">
        <row r="3">
          <cell r="A3" t="str">
            <v xml:space="preserve">Incomes - </v>
          </cell>
          <cell r="B3">
            <v>0</v>
          </cell>
        </row>
        <row r="4">
          <cell r="A4" t="str">
            <v>Incomes - Gross turnover</v>
          </cell>
          <cell r="B4">
            <v>800000</v>
          </cell>
        </row>
        <row r="5">
          <cell r="A5" t="str">
            <v>Incomes - Rev. shate</v>
          </cell>
          <cell r="B5">
            <v>0</v>
          </cell>
        </row>
        <row r="6">
          <cell r="A6" t="str">
            <v>Incomes - Net revenues</v>
          </cell>
        </row>
        <row r="9">
          <cell r="A9" t="str">
            <v>R&amp;D</v>
          </cell>
        </row>
        <row r="10">
          <cell r="A10" t="str">
            <v>Research and Development - Salaries and social benefits</v>
          </cell>
          <cell r="B10">
            <v>820000</v>
          </cell>
        </row>
        <row r="11">
          <cell r="A11" t="str">
            <v>Research and Development - Employee recruitment</v>
          </cell>
          <cell r="B11">
            <v>820001</v>
          </cell>
        </row>
        <row r="12">
          <cell r="A12" t="str">
            <v>Research and Development - Cedence 1</v>
          </cell>
          <cell r="B12">
            <v>820016</v>
          </cell>
        </row>
        <row r="13">
          <cell r="A13" t="str">
            <v>Research and Development - Cedence 2</v>
          </cell>
          <cell r="B13">
            <v>820018</v>
          </cell>
        </row>
        <row r="14">
          <cell r="A14" t="str">
            <v>Research and Development - Synopsis</v>
          </cell>
          <cell r="B14">
            <v>820017</v>
          </cell>
        </row>
        <row r="15">
          <cell r="A15" t="str">
            <v>Research and Development - Tape Outs &amp; Si material</v>
          </cell>
          <cell r="B15">
            <v>820002</v>
          </cell>
        </row>
        <row r="16">
          <cell r="A16" t="str">
            <v>Research and Development - Lab equipment (rent)</v>
          </cell>
          <cell r="B16">
            <v>820003</v>
          </cell>
        </row>
        <row r="17">
          <cell r="A17" t="str">
            <v>Research and Development - Software tools (annual rent)</v>
          </cell>
          <cell r="B17">
            <v>820004</v>
          </cell>
        </row>
        <row r="18">
          <cell r="A18" t="str">
            <v>Research and Development - RTL subcontractor (Ronny)</v>
          </cell>
          <cell r="B18">
            <v>820005</v>
          </cell>
        </row>
        <row r="19">
          <cell r="A19" t="str">
            <v>Research and Development - HW subcontractor (Yehezkel)</v>
          </cell>
          <cell r="B19">
            <v>820006</v>
          </cell>
        </row>
        <row r="20">
          <cell r="A20" t="str">
            <v>Research and Development - PD subcontractor (TBH)</v>
          </cell>
          <cell r="B20">
            <v>820007</v>
          </cell>
        </row>
        <row r="21">
          <cell r="A21" t="str">
            <v>Research and Development - Demo Dev. - Digital</v>
          </cell>
          <cell r="B21">
            <v>820008</v>
          </cell>
        </row>
        <row r="22">
          <cell r="A22" t="str">
            <v>Research and Development - Demo Dev. - RF</v>
          </cell>
          <cell r="B22">
            <v>820009</v>
          </cell>
        </row>
        <row r="23">
          <cell r="A23" t="str">
            <v>Research and Development - Demo Dev. - RF FE</v>
          </cell>
          <cell r="B23">
            <v>820010</v>
          </cell>
        </row>
        <row r="24">
          <cell r="A24" t="str">
            <v>Research and Development - Patent and TM</v>
          </cell>
          <cell r="B24">
            <v>820011</v>
          </cell>
        </row>
        <row r="25">
          <cell r="A25" t="str">
            <v>Research and Development - Training &amp; Literature</v>
          </cell>
          <cell r="B25">
            <v>820012</v>
          </cell>
        </row>
        <row r="26">
          <cell r="A26" t="str">
            <v>Research and Development - Total cost of travel abroad</v>
          </cell>
          <cell r="B26">
            <v>820013</v>
          </cell>
        </row>
        <row r="27">
          <cell r="A27" t="str">
            <v>Research and Development - food</v>
          </cell>
          <cell r="B27">
            <v>820014</v>
          </cell>
        </row>
        <row r="28">
          <cell r="A28" t="str">
            <v>Research and Development - Contingency (% of salaries+fixed exp.)</v>
          </cell>
          <cell r="B28">
            <v>820015</v>
          </cell>
        </row>
        <row r="30">
          <cell r="A30" t="str">
            <v>Marketing</v>
          </cell>
        </row>
        <row r="31">
          <cell r="A31" t="str">
            <v>Marketing - Salaries and social benefits</v>
          </cell>
          <cell r="B31">
            <v>840000</v>
          </cell>
        </row>
        <row r="32">
          <cell r="A32" t="str">
            <v>Marketing - Total cost of travel abroad</v>
          </cell>
          <cell r="B32">
            <v>840001</v>
          </cell>
        </row>
        <row r="33">
          <cell r="A33" t="str">
            <v>Marketing - Phones&amp;Internet</v>
          </cell>
          <cell r="B33">
            <v>840002</v>
          </cell>
        </row>
        <row r="34">
          <cell r="A34" t="str">
            <v>Marketing - Office Suppliers</v>
          </cell>
          <cell r="B34">
            <v>840004</v>
          </cell>
        </row>
        <row r="35">
          <cell r="A35" t="str">
            <v>Marketing - Contingency (% of salaries+fixed exp.)</v>
          </cell>
          <cell r="B35">
            <v>840005</v>
          </cell>
        </row>
        <row r="37">
          <cell r="A37" t="str">
            <v>G&amp;A</v>
          </cell>
        </row>
        <row r="38">
          <cell r="A38" t="str">
            <v>General &amp; Administration - Salaries and social benefits</v>
          </cell>
          <cell r="B38">
            <v>850000</v>
          </cell>
        </row>
        <row r="39">
          <cell r="A39" t="str">
            <v>General &amp; Administration - Office occupancy - total</v>
          </cell>
          <cell r="B39">
            <v>850001</v>
          </cell>
        </row>
        <row r="40">
          <cell r="A40" t="str">
            <v>General &amp; Administration - Total - office maintenance</v>
          </cell>
          <cell r="B40">
            <v>850002</v>
          </cell>
        </row>
        <row r="41">
          <cell r="A41" t="str">
            <v>General &amp; Administration - Phones &amp; Internet</v>
          </cell>
          <cell r="B41">
            <v>850003</v>
          </cell>
        </row>
        <row r="42">
          <cell r="A42" t="str">
            <v>General &amp; Administration - Total cost of travel abroad</v>
          </cell>
          <cell r="B42">
            <v>850004</v>
          </cell>
        </row>
        <row r="43">
          <cell r="A43" t="str">
            <v>General &amp; Administration - Training &amp; Course &amp; Conferences</v>
          </cell>
          <cell r="B43">
            <v>850005</v>
          </cell>
        </row>
        <row r="44">
          <cell r="A44" t="str">
            <v>General &amp; Administration - Total - insurance</v>
          </cell>
          <cell r="B44">
            <v>850006</v>
          </cell>
        </row>
        <row r="45">
          <cell r="A45" t="str">
            <v>General &amp; Administration - Total for accounting services</v>
          </cell>
          <cell r="B45">
            <v>850007</v>
          </cell>
        </row>
        <row r="46">
          <cell r="A46" t="str">
            <v>General &amp; Administration - Legal and profesional</v>
          </cell>
          <cell r="B46">
            <v>850008</v>
          </cell>
        </row>
        <row r="47">
          <cell r="A47" t="str">
            <v>General &amp; Administration - IT</v>
          </cell>
          <cell r="B47">
            <v>850009</v>
          </cell>
        </row>
        <row r="48">
          <cell r="A48" t="str">
            <v>General &amp; Administration - Contingency (% of salaries+fixed exp.)</v>
          </cell>
          <cell r="B48">
            <v>850010</v>
          </cell>
        </row>
        <row r="51">
          <cell r="A51" t="str">
            <v>Non cash expenses</v>
          </cell>
        </row>
        <row r="52">
          <cell r="A52" t="str">
            <v>Non cash expenses. - Depreciation of fixed assets</v>
          </cell>
          <cell r="B52">
            <v>890000</v>
          </cell>
        </row>
        <row r="53">
          <cell r="A53" t="str">
            <v>Non cash expenses. - Chief sciense expected funding</v>
          </cell>
          <cell r="B53">
            <v>870099</v>
          </cell>
        </row>
        <row r="54">
          <cell r="A54" t="str">
            <v>Non cash expenses. - Net interest income (expense)</v>
          </cell>
          <cell r="B54">
            <v>890002</v>
          </cell>
        </row>
        <row r="55">
          <cell r="A55" t="str">
            <v>Non cash expenses. - Interest on long term loan</v>
          </cell>
          <cell r="B55">
            <v>890003</v>
          </cell>
        </row>
        <row r="56">
          <cell r="A56" t="str">
            <v>Non cash expenses. - Taxation provision</v>
          </cell>
          <cell r="B56">
            <v>890004</v>
          </cell>
        </row>
        <row r="59">
          <cell r="A59" t="str">
            <v>Current Assets</v>
          </cell>
        </row>
        <row r="60">
          <cell r="A60" t="str">
            <v>Current Assets - Cash &amp; cash equivalents ISRAEL</v>
          </cell>
          <cell r="B60">
            <v>100000</v>
          </cell>
        </row>
        <row r="61">
          <cell r="A61" t="str">
            <v xml:space="preserve">Current Assets - Cash &amp; cash equivalents US </v>
          </cell>
          <cell r="B61">
            <v>110000</v>
          </cell>
        </row>
        <row r="62">
          <cell r="A62" t="str">
            <v>Current Assets - Accounts receivable</v>
          </cell>
          <cell r="B62">
            <v>120000</v>
          </cell>
        </row>
        <row r="63">
          <cell r="A63" t="str">
            <v xml:space="preserve">Current Assets - Prepaid expenses </v>
          </cell>
          <cell r="B63">
            <v>130000</v>
          </cell>
        </row>
        <row r="64">
          <cell r="A64" t="str">
            <v>Current Assets - Other current assets</v>
          </cell>
          <cell r="B64">
            <v>140000</v>
          </cell>
        </row>
        <row r="65">
          <cell r="B65">
            <v>0</v>
          </cell>
        </row>
        <row r="66">
          <cell r="A66" t="str">
            <v>Property and Equipments</v>
          </cell>
          <cell r="B66">
            <v>0</v>
          </cell>
        </row>
        <row r="67">
          <cell r="A67" t="str">
            <v>Property and Equipments - Computer equipment &amp; software</v>
          </cell>
          <cell r="B67">
            <v>300000</v>
          </cell>
        </row>
        <row r="68">
          <cell r="A68" t="str">
            <v>Property and Equipments - Office furniture and equipment</v>
          </cell>
          <cell r="B68">
            <v>300001</v>
          </cell>
        </row>
        <row r="69">
          <cell r="A69" t="str">
            <v>Property and Equipments - Hardware</v>
          </cell>
          <cell r="B69">
            <v>300002</v>
          </cell>
        </row>
        <row r="70">
          <cell r="A70" t="str">
            <v>Property and Equipments - Less accumulated depreciation</v>
          </cell>
          <cell r="B70">
            <v>310000</v>
          </cell>
        </row>
        <row r="72">
          <cell r="A72" t="str">
            <v>Intangibles</v>
          </cell>
          <cell r="B72">
            <v>0</v>
          </cell>
        </row>
        <row r="73">
          <cell r="A73" t="str">
            <v>Intangibles - Inventory</v>
          </cell>
          <cell r="B73">
            <v>400000</v>
          </cell>
        </row>
        <row r="74">
          <cell r="A74" t="str">
            <v>Intangibles - Less accumulated amortization</v>
          </cell>
          <cell r="B74">
            <v>410000</v>
          </cell>
        </row>
        <row r="75">
          <cell r="B75">
            <v>0</v>
          </cell>
        </row>
        <row r="76">
          <cell r="A76" t="str">
            <v>Other Long term Assets</v>
          </cell>
          <cell r="B76">
            <v>0</v>
          </cell>
        </row>
        <row r="77">
          <cell r="A77" t="str">
            <v>Other Long term Assets - Long term prepayments</v>
          </cell>
          <cell r="B77">
            <v>450000</v>
          </cell>
        </row>
        <row r="78">
          <cell r="A78" t="str">
            <v>Other Long term Assets - Other long term assets</v>
          </cell>
          <cell r="B78">
            <v>451000</v>
          </cell>
        </row>
        <row r="79">
          <cell r="B79">
            <v>0</v>
          </cell>
        </row>
        <row r="80">
          <cell r="A80" t="str">
            <v>Current Liabilities</v>
          </cell>
          <cell r="B80">
            <v>0</v>
          </cell>
        </row>
        <row r="81">
          <cell r="A81" t="str">
            <v>Current Liabilities - Bank overdraft and short term loans</v>
          </cell>
          <cell r="B81">
            <v>500000</v>
          </cell>
        </row>
        <row r="82">
          <cell r="A82" t="str">
            <v>Current Liabilities - Other short term loans</v>
          </cell>
          <cell r="B82">
            <v>510000</v>
          </cell>
        </row>
        <row r="83">
          <cell r="A83" t="str">
            <v>Current Liabilities - Accounts payable</v>
          </cell>
          <cell r="B83">
            <v>520000</v>
          </cell>
        </row>
        <row r="84">
          <cell r="A84" t="str">
            <v>Current Liabilities - Accrued expenses</v>
          </cell>
          <cell r="B84">
            <v>530000</v>
          </cell>
        </row>
        <row r="85">
          <cell r="A85" t="str">
            <v>Current Liabilities - Employee payables</v>
          </cell>
          <cell r="B85">
            <v>540000</v>
          </cell>
        </row>
        <row r="86">
          <cell r="A86" t="str">
            <v>Current Liabilities - Employee institution</v>
          </cell>
          <cell r="B86">
            <v>550000</v>
          </cell>
        </row>
        <row r="87">
          <cell r="A87" t="str">
            <v>Current Liabilities - Short term provisions - holiday accrual</v>
          </cell>
          <cell r="B87">
            <v>560000</v>
          </cell>
        </row>
        <row r="88">
          <cell r="A88" t="str">
            <v>Current Liabilities - Other short term liabilities</v>
          </cell>
          <cell r="B88">
            <v>570000</v>
          </cell>
        </row>
        <row r="89">
          <cell r="B89">
            <v>0</v>
          </cell>
        </row>
        <row r="90">
          <cell r="A90" t="str">
            <v>Long term liabilities</v>
          </cell>
          <cell r="B90">
            <v>0</v>
          </cell>
        </row>
        <row r="91">
          <cell r="A91" t="str">
            <v>Long term liabilities - Long term loans</v>
          </cell>
          <cell r="B91">
            <v>600000</v>
          </cell>
        </row>
        <row r="92">
          <cell r="A92" t="str">
            <v>Long term liabilities - Long term provisions</v>
          </cell>
          <cell r="B92">
            <v>610000</v>
          </cell>
        </row>
        <row r="93">
          <cell r="A93" t="str">
            <v>Long term liabilities - Other long term liabilities</v>
          </cell>
          <cell r="B93">
            <v>620000</v>
          </cell>
        </row>
        <row r="94">
          <cell r="B94">
            <v>0</v>
          </cell>
        </row>
        <row r="95">
          <cell r="A95" t="str">
            <v>Shareholders equity</v>
          </cell>
          <cell r="B95">
            <v>0</v>
          </cell>
        </row>
        <row r="96">
          <cell r="A96" t="str">
            <v>Shareholders equity - Preferred &amp; Common Stock</v>
          </cell>
          <cell r="B96">
            <v>700000</v>
          </cell>
        </row>
        <row r="97">
          <cell r="A97" t="str">
            <v>Shareholders equity - Additional investment</v>
          </cell>
          <cell r="B97">
            <v>740000</v>
          </cell>
        </row>
        <row r="98">
          <cell r="A98" t="str">
            <v>Shareholders equity - Accumulated deficit</v>
          </cell>
          <cell r="B98">
            <v>720000</v>
          </cell>
        </row>
        <row r="99">
          <cell r="A99" t="str">
            <v>Shareholders equity - Profit (loss) - this year</v>
          </cell>
          <cell r="B99">
            <v>730000</v>
          </cell>
        </row>
      </sheetData>
      <sheetData sheetId="1">
        <row r="4">
          <cell r="A4" t="str">
            <v>Apr. JE</v>
          </cell>
          <cell r="C4">
            <v>60607</v>
          </cell>
        </row>
        <row r="5">
          <cell r="A5" t="str">
            <v>Apr. JE</v>
          </cell>
          <cell r="C5">
            <v>1</v>
          </cell>
        </row>
        <row r="7">
          <cell r="A7" t="str">
            <v>Apr. JE</v>
          </cell>
          <cell r="C7">
            <v>70606</v>
          </cell>
        </row>
        <row r="8">
          <cell r="A8" t="str">
            <v>Apr. JE</v>
          </cell>
          <cell r="C8">
            <v>21000</v>
          </cell>
        </row>
        <row r="17">
          <cell r="A17" t="str">
            <v>May. JE</v>
          </cell>
          <cell r="C17">
            <v>60607</v>
          </cell>
        </row>
        <row r="18">
          <cell r="A18" t="str">
            <v>May. JE</v>
          </cell>
          <cell r="C18">
            <v>1</v>
          </cell>
        </row>
        <row r="20">
          <cell r="A20" t="str">
            <v>May. JE</v>
          </cell>
          <cell r="C20">
            <v>10102</v>
          </cell>
        </row>
        <row r="21">
          <cell r="A21" t="str">
            <v>May. JE</v>
          </cell>
          <cell r="C21">
            <v>90001</v>
          </cell>
        </row>
        <row r="23">
          <cell r="A23" t="str">
            <v>May. JE</v>
          </cell>
          <cell r="C23">
            <v>70605</v>
          </cell>
        </row>
        <row r="24">
          <cell r="A24" t="str">
            <v>May. JE</v>
          </cell>
          <cell r="C24">
            <v>21000</v>
          </cell>
        </row>
        <row r="26">
          <cell r="A26" t="str">
            <v>May. JE</v>
          </cell>
          <cell r="C26">
            <v>70606</v>
          </cell>
        </row>
        <row r="27">
          <cell r="A27" t="str">
            <v>May. JE</v>
          </cell>
          <cell r="C27">
            <v>21000</v>
          </cell>
        </row>
        <row r="29">
          <cell r="A29" t="str">
            <v>May. JE</v>
          </cell>
          <cell r="C29">
            <v>60606</v>
          </cell>
        </row>
        <row r="30">
          <cell r="A30" t="str">
            <v>May. JE</v>
          </cell>
          <cell r="C30">
            <v>70606</v>
          </cell>
        </row>
        <row r="31">
          <cell r="A31" t="str">
            <v>May. JE</v>
          </cell>
        </row>
        <row r="32">
          <cell r="A32" t="str">
            <v>May. JE</v>
          </cell>
        </row>
        <row r="34">
          <cell r="A34" t="str">
            <v>May. JE</v>
          </cell>
          <cell r="C34">
            <v>70606</v>
          </cell>
        </row>
        <row r="35">
          <cell r="A35" t="str">
            <v>May. JE</v>
          </cell>
          <cell r="C35">
            <v>21000</v>
          </cell>
        </row>
        <row r="37">
          <cell r="A37" t="str">
            <v>May. JE</v>
          </cell>
          <cell r="C37">
            <v>60614</v>
          </cell>
        </row>
        <row r="38">
          <cell r="A38" t="str">
            <v>May. JE</v>
          </cell>
          <cell r="C38">
            <v>21000</v>
          </cell>
        </row>
        <row r="40">
          <cell r="A40" t="str">
            <v>May. JE</v>
          </cell>
          <cell r="C40">
            <v>60618</v>
          </cell>
        </row>
        <row r="41">
          <cell r="A41" t="str">
            <v>May. JE</v>
          </cell>
          <cell r="C41">
            <v>21000</v>
          </cell>
        </row>
        <row r="43">
          <cell r="A43" t="str">
            <v>May. JE</v>
          </cell>
          <cell r="C43">
            <v>60607</v>
          </cell>
        </row>
        <row r="44">
          <cell r="A44" t="str">
            <v>May. JE</v>
          </cell>
          <cell r="C44">
            <v>21000</v>
          </cell>
        </row>
        <row r="46">
          <cell r="A46" t="str">
            <v>May. JE</v>
          </cell>
          <cell r="C46">
            <v>70903</v>
          </cell>
        </row>
        <row r="47">
          <cell r="A47" t="str">
            <v>May. JE</v>
          </cell>
          <cell r="C47">
            <v>21000</v>
          </cell>
        </row>
        <row r="49">
          <cell r="A49" t="str">
            <v>Jun. JE</v>
          </cell>
          <cell r="C49">
            <v>70605</v>
          </cell>
        </row>
        <row r="50">
          <cell r="A50" t="str">
            <v>Jun. JE</v>
          </cell>
          <cell r="C50">
            <v>21000</v>
          </cell>
        </row>
        <row r="52">
          <cell r="A52" t="str">
            <v>Jul. JE</v>
          </cell>
          <cell r="C52">
            <v>70605</v>
          </cell>
        </row>
        <row r="53">
          <cell r="A53" t="str">
            <v>Jul. JE</v>
          </cell>
          <cell r="C53">
            <v>21000</v>
          </cell>
        </row>
        <row r="55">
          <cell r="A55" t="str">
            <v>Jun. JE</v>
          </cell>
          <cell r="C55">
            <v>2</v>
          </cell>
        </row>
        <row r="56">
          <cell r="A56" t="str">
            <v>Jun. JE</v>
          </cell>
          <cell r="C56">
            <v>70000</v>
          </cell>
        </row>
        <row r="58">
          <cell r="A58" t="str">
            <v>Jul. JE</v>
          </cell>
          <cell r="C58">
            <v>2</v>
          </cell>
        </row>
        <row r="59">
          <cell r="A59" t="str">
            <v>Jul. JE</v>
          </cell>
          <cell r="C59">
            <v>70000</v>
          </cell>
        </row>
        <row r="61">
          <cell r="A61" t="str">
            <v>Jun. JE</v>
          </cell>
          <cell r="C61">
            <v>3</v>
          </cell>
        </row>
        <row r="62">
          <cell r="A62" t="str">
            <v>Jun. JE</v>
          </cell>
          <cell r="C62">
            <v>21000</v>
          </cell>
        </row>
        <row r="64">
          <cell r="A64" t="str">
            <v>Jul. JE</v>
          </cell>
          <cell r="C64">
            <v>60606</v>
          </cell>
        </row>
        <row r="65">
          <cell r="A65" t="str">
            <v>Jul. JE</v>
          </cell>
          <cell r="C65">
            <v>3</v>
          </cell>
        </row>
        <row r="67">
          <cell r="A67" t="str">
            <v>Jun. JE</v>
          </cell>
          <cell r="C67">
            <v>60606</v>
          </cell>
        </row>
        <row r="68">
          <cell r="A68" t="str">
            <v>Jun. JE</v>
          </cell>
          <cell r="C68">
            <v>70606</v>
          </cell>
        </row>
        <row r="70">
          <cell r="A70" t="str">
            <v>Jun. JE</v>
          </cell>
          <cell r="C70">
            <v>60606</v>
          </cell>
        </row>
        <row r="71">
          <cell r="A71" t="str">
            <v>Jun. JE</v>
          </cell>
          <cell r="C71">
            <v>99999</v>
          </cell>
        </row>
        <row r="73">
          <cell r="A73" t="str">
            <v>Jun. JE</v>
          </cell>
          <cell r="C73">
            <v>70606</v>
          </cell>
        </row>
        <row r="74">
          <cell r="A74" t="str">
            <v>Jun. JE</v>
          </cell>
          <cell r="C74">
            <v>21000</v>
          </cell>
        </row>
        <row r="76">
          <cell r="A76" t="str">
            <v>Jul. JE</v>
          </cell>
          <cell r="C76">
            <v>70606</v>
          </cell>
        </row>
        <row r="77">
          <cell r="A77" t="str">
            <v>Jul. JE</v>
          </cell>
          <cell r="C77">
            <v>21000</v>
          </cell>
        </row>
        <row r="79">
          <cell r="A79" t="str">
            <v>Jun. JE</v>
          </cell>
          <cell r="C79">
            <v>70606</v>
          </cell>
        </row>
        <row r="80">
          <cell r="A80" t="str">
            <v>Jun. JE</v>
          </cell>
          <cell r="C80">
            <v>21000</v>
          </cell>
        </row>
        <row r="82">
          <cell r="A82" t="str">
            <v>Jun. JE</v>
          </cell>
          <cell r="C82">
            <v>70606</v>
          </cell>
        </row>
        <row r="83">
          <cell r="A83" t="str">
            <v>Jun. JE</v>
          </cell>
          <cell r="C83">
            <v>21000</v>
          </cell>
        </row>
        <row r="85">
          <cell r="A85" t="str">
            <v>Jul. JE</v>
          </cell>
          <cell r="C85">
            <v>70606</v>
          </cell>
        </row>
        <row r="86">
          <cell r="A86" t="str">
            <v>Jul. JE</v>
          </cell>
          <cell r="C86">
            <v>21000</v>
          </cell>
        </row>
        <row r="88">
          <cell r="A88" t="str">
            <v>Jun. JE</v>
          </cell>
          <cell r="C88">
            <v>70606</v>
          </cell>
        </row>
        <row r="89">
          <cell r="A89" t="str">
            <v>Jun. JE</v>
          </cell>
          <cell r="C89">
            <v>21000</v>
          </cell>
        </row>
        <row r="91">
          <cell r="A91" t="str">
            <v>Jun. JE</v>
          </cell>
          <cell r="C91">
            <v>70606</v>
          </cell>
        </row>
        <row r="92">
          <cell r="A92" t="str">
            <v>Jun. JE</v>
          </cell>
          <cell r="C92">
            <v>21000</v>
          </cell>
        </row>
        <row r="94">
          <cell r="A94" t="str">
            <v>Jun. JE</v>
          </cell>
          <cell r="C94">
            <v>10000</v>
          </cell>
        </row>
        <row r="95">
          <cell r="A95" t="str">
            <v>Jun. JE</v>
          </cell>
          <cell r="C95">
            <v>20901</v>
          </cell>
        </row>
        <row r="97">
          <cell r="A97" t="str">
            <v>Jun. JE</v>
          </cell>
          <cell r="C97">
            <v>10102</v>
          </cell>
        </row>
        <row r="98">
          <cell r="A98" t="str">
            <v>Jun. JE</v>
          </cell>
          <cell r="C98">
            <v>90102</v>
          </cell>
        </row>
        <row r="100">
          <cell r="A100" t="str">
            <v>Jul. JE</v>
          </cell>
          <cell r="C100">
            <v>10102</v>
          </cell>
        </row>
        <row r="101">
          <cell r="A101" t="str">
            <v>Jul. JE</v>
          </cell>
          <cell r="C101">
            <v>90102</v>
          </cell>
        </row>
        <row r="103">
          <cell r="A103" t="str">
            <v>Jun. JE</v>
          </cell>
          <cell r="C103">
            <v>4</v>
          </cell>
        </row>
        <row r="104">
          <cell r="A104" t="str">
            <v>Jun. JE</v>
          </cell>
          <cell r="C104">
            <v>21000</v>
          </cell>
        </row>
        <row r="106">
          <cell r="A106" t="str">
            <v>Jul. JE</v>
          </cell>
          <cell r="C106">
            <v>4</v>
          </cell>
        </row>
        <row r="107">
          <cell r="A107" t="str">
            <v>Jul. JE</v>
          </cell>
          <cell r="C107">
            <v>21000</v>
          </cell>
        </row>
        <row r="109">
          <cell r="A109" t="str">
            <v>Jul. JE</v>
          </cell>
          <cell r="C109">
            <v>60606</v>
          </cell>
        </row>
        <row r="110">
          <cell r="A110" t="str">
            <v>Jul. JE</v>
          </cell>
          <cell r="C110">
            <v>4</v>
          </cell>
        </row>
        <row r="112">
          <cell r="A112" t="str">
            <v>Jul. JE</v>
          </cell>
          <cell r="C112">
            <v>4</v>
          </cell>
        </row>
        <row r="113">
          <cell r="A113" t="str">
            <v>Jul. JE</v>
          </cell>
          <cell r="C113">
            <v>21000</v>
          </cell>
        </row>
        <row r="115">
          <cell r="A115" t="str">
            <v>Jun. JE</v>
          </cell>
          <cell r="C115">
            <v>60618</v>
          </cell>
        </row>
        <row r="116">
          <cell r="A116" t="str">
            <v>Jun. JE</v>
          </cell>
          <cell r="C116">
            <v>21000</v>
          </cell>
        </row>
        <row r="118">
          <cell r="A118" t="str">
            <v>Jun. JE</v>
          </cell>
          <cell r="C118">
            <v>60607</v>
          </cell>
        </row>
        <row r="119">
          <cell r="A119" t="str">
            <v>Jun. JE</v>
          </cell>
          <cell r="C119">
            <v>1</v>
          </cell>
        </row>
        <row r="121">
          <cell r="A121" t="str">
            <v>Jun. JE</v>
          </cell>
          <cell r="C121">
            <v>60607</v>
          </cell>
        </row>
        <row r="122">
          <cell r="A122" t="str">
            <v>Jun. JE</v>
          </cell>
          <cell r="C122">
            <v>21000</v>
          </cell>
        </row>
        <row r="124">
          <cell r="A124" t="str">
            <v>Jul. JE</v>
          </cell>
          <cell r="C124">
            <v>5</v>
          </cell>
        </row>
        <row r="125">
          <cell r="A125" t="str">
            <v>Jul. JE</v>
          </cell>
          <cell r="C125">
            <v>21000</v>
          </cell>
        </row>
        <row r="127">
          <cell r="A127" t="str">
            <v>Jul. JE</v>
          </cell>
          <cell r="C127">
            <v>6</v>
          </cell>
        </row>
        <row r="128">
          <cell r="A128" t="str">
            <v>Jul. JE</v>
          </cell>
          <cell r="C128">
            <v>21000</v>
          </cell>
        </row>
        <row r="130">
          <cell r="A130" t="str">
            <v>Jul. JE</v>
          </cell>
          <cell r="C130">
            <v>60606</v>
          </cell>
        </row>
        <row r="131">
          <cell r="A131" t="str">
            <v>Jul. JE</v>
          </cell>
          <cell r="C131">
            <v>70606</v>
          </cell>
        </row>
        <row r="133">
          <cell r="A133" t="str">
            <v>Jul. JE</v>
          </cell>
          <cell r="C133">
            <v>60606</v>
          </cell>
        </row>
        <row r="134">
          <cell r="A134" t="str">
            <v>Jul. JE</v>
          </cell>
          <cell r="C134">
            <v>70606</v>
          </cell>
        </row>
        <row r="136">
          <cell r="A136" t="str">
            <v>Jul. JE</v>
          </cell>
          <cell r="C136">
            <v>7</v>
          </cell>
        </row>
        <row r="137">
          <cell r="A137" t="str">
            <v>Jul. JE</v>
          </cell>
          <cell r="C137">
            <v>21000</v>
          </cell>
        </row>
        <row r="139">
          <cell r="A139" t="str">
            <v>Jul. JE</v>
          </cell>
          <cell r="C139">
            <v>60614</v>
          </cell>
        </row>
        <row r="140">
          <cell r="A140" t="str">
            <v>Jul. JE</v>
          </cell>
          <cell r="C140">
            <v>21000</v>
          </cell>
        </row>
        <row r="142">
          <cell r="A142" t="str">
            <v>Jul. JE</v>
          </cell>
          <cell r="C142">
            <v>60607</v>
          </cell>
        </row>
        <row r="143">
          <cell r="A143" t="str">
            <v>Jul. JE</v>
          </cell>
          <cell r="C143">
            <v>1</v>
          </cell>
        </row>
        <row r="145">
          <cell r="A145" t="str">
            <v>Jun. JE</v>
          </cell>
          <cell r="C145">
            <v>60607</v>
          </cell>
        </row>
        <row r="146">
          <cell r="A146" t="str">
            <v>Jun. JE</v>
          </cell>
          <cell r="C146">
            <v>21000</v>
          </cell>
        </row>
        <row r="148">
          <cell r="A148" t="str">
            <v>Jul. JE</v>
          </cell>
          <cell r="C148">
            <v>1</v>
          </cell>
        </row>
        <row r="149">
          <cell r="A149" t="str">
            <v>Jul. JE</v>
          </cell>
          <cell r="C149">
            <v>20014</v>
          </cell>
        </row>
        <row r="151">
          <cell r="A151" t="str">
            <v>Apr. JE</v>
          </cell>
          <cell r="C151">
            <v>60618</v>
          </cell>
        </row>
        <row r="152">
          <cell r="A152" t="str">
            <v>Apr. JE</v>
          </cell>
          <cell r="C152">
            <v>21000</v>
          </cell>
        </row>
        <row r="154">
          <cell r="A154" t="str">
            <v>May. JE</v>
          </cell>
          <cell r="C154">
            <v>60618</v>
          </cell>
        </row>
        <row r="155">
          <cell r="A155" t="str">
            <v>May. JE</v>
          </cell>
          <cell r="C155">
            <v>21000</v>
          </cell>
        </row>
        <row r="157">
          <cell r="A157" t="str">
            <v>Jun. JE</v>
          </cell>
          <cell r="C157">
            <v>60618</v>
          </cell>
        </row>
        <row r="158">
          <cell r="A158" t="str">
            <v>Jun. JE</v>
          </cell>
          <cell r="C158">
            <v>21000</v>
          </cell>
        </row>
        <row r="160">
          <cell r="A160" t="str">
            <v>Jul. JE</v>
          </cell>
          <cell r="C160">
            <v>60618</v>
          </cell>
        </row>
        <row r="161">
          <cell r="A161" t="str">
            <v>Jul. JE</v>
          </cell>
          <cell r="C161">
            <v>21000</v>
          </cell>
        </row>
        <row r="163">
          <cell r="A163" t="str">
            <v>Jul. JE</v>
          </cell>
          <cell r="C163">
            <v>60607</v>
          </cell>
        </row>
        <row r="164">
          <cell r="A164" t="str">
            <v>Jul. JE</v>
          </cell>
          <cell r="C164">
            <v>21000</v>
          </cell>
        </row>
        <row r="166">
          <cell r="A166" t="str">
            <v>Aug. JE</v>
          </cell>
          <cell r="C166">
            <v>2</v>
          </cell>
        </row>
        <row r="167">
          <cell r="A167" t="str">
            <v>Aug. JE</v>
          </cell>
          <cell r="C167">
            <v>70000</v>
          </cell>
        </row>
        <row r="169">
          <cell r="A169" t="str">
            <v>Aug. JE</v>
          </cell>
          <cell r="C169">
            <v>5</v>
          </cell>
        </row>
        <row r="170">
          <cell r="A170" t="str">
            <v>Aug. JE</v>
          </cell>
          <cell r="C170">
            <v>21000</v>
          </cell>
        </row>
        <row r="172">
          <cell r="A172" t="str">
            <v>Aug. JE</v>
          </cell>
          <cell r="C172">
            <v>6</v>
          </cell>
        </row>
        <row r="173">
          <cell r="A173" t="str">
            <v>Aug. JE</v>
          </cell>
          <cell r="C173">
            <v>21000</v>
          </cell>
        </row>
        <row r="175">
          <cell r="A175" t="str">
            <v>Aug. JE</v>
          </cell>
          <cell r="C175">
            <v>60606</v>
          </cell>
        </row>
        <row r="176">
          <cell r="A176" t="str">
            <v>Aug. JE</v>
          </cell>
          <cell r="C176">
            <v>3</v>
          </cell>
        </row>
        <row r="178">
          <cell r="A178" t="str">
            <v>Aug. JE</v>
          </cell>
          <cell r="C178">
            <v>60606</v>
          </cell>
        </row>
        <row r="179">
          <cell r="A179" t="str">
            <v>Aug. JE</v>
          </cell>
          <cell r="C179">
            <v>70606</v>
          </cell>
        </row>
        <row r="181">
          <cell r="A181" t="str">
            <v>Aug. JE</v>
          </cell>
          <cell r="C181">
            <v>4</v>
          </cell>
        </row>
        <row r="182">
          <cell r="A182" t="str">
            <v>Aug. JE</v>
          </cell>
          <cell r="C182">
            <v>70606</v>
          </cell>
        </row>
        <row r="184">
          <cell r="A184" t="str">
            <v>Aug. JE</v>
          </cell>
          <cell r="C184">
            <v>7</v>
          </cell>
        </row>
        <row r="185">
          <cell r="A185" t="str">
            <v>Aug. JE</v>
          </cell>
          <cell r="C185">
            <v>70606</v>
          </cell>
        </row>
        <row r="187">
          <cell r="A187" t="str">
            <v>Aug. JE</v>
          </cell>
          <cell r="C187">
            <v>7</v>
          </cell>
        </row>
        <row r="188">
          <cell r="A188" t="str">
            <v>Aug. JE</v>
          </cell>
          <cell r="C188">
            <v>70606</v>
          </cell>
        </row>
        <row r="190">
          <cell r="A190" t="str">
            <v>Aug. JE</v>
          </cell>
          <cell r="C190">
            <v>70606</v>
          </cell>
        </row>
        <row r="191">
          <cell r="A191" t="str">
            <v>Aug. JE</v>
          </cell>
          <cell r="C191">
            <v>21000</v>
          </cell>
        </row>
        <row r="193">
          <cell r="A193" t="str">
            <v>Aug. JE</v>
          </cell>
          <cell r="C193">
            <v>70606</v>
          </cell>
        </row>
        <row r="194">
          <cell r="A194" t="str">
            <v>Aug. JE</v>
          </cell>
          <cell r="C194">
            <v>21000</v>
          </cell>
        </row>
        <row r="196">
          <cell r="A196" t="str">
            <v>Aug. JE</v>
          </cell>
          <cell r="C196">
            <v>4</v>
          </cell>
        </row>
        <row r="197">
          <cell r="A197" t="str">
            <v>Aug. JE</v>
          </cell>
          <cell r="C197">
            <v>70606</v>
          </cell>
        </row>
        <row r="199">
          <cell r="A199" t="str">
            <v>Aug. JE</v>
          </cell>
          <cell r="C199">
            <v>4</v>
          </cell>
        </row>
        <row r="200">
          <cell r="A200" t="str">
            <v>Aug. JE</v>
          </cell>
          <cell r="C200">
            <v>21000</v>
          </cell>
        </row>
        <row r="202">
          <cell r="A202" t="str">
            <v>Aug. JE</v>
          </cell>
          <cell r="C202">
            <v>7</v>
          </cell>
        </row>
        <row r="203">
          <cell r="A203" t="str">
            <v>Aug. JE</v>
          </cell>
          <cell r="C203">
            <v>21000</v>
          </cell>
        </row>
        <row r="205">
          <cell r="A205" t="str">
            <v>Aug. JE</v>
          </cell>
          <cell r="C205">
            <v>60614</v>
          </cell>
        </row>
        <row r="206">
          <cell r="A206" t="str">
            <v>Aug. JE</v>
          </cell>
          <cell r="C206">
            <v>21000</v>
          </cell>
        </row>
        <row r="208">
          <cell r="A208" t="str">
            <v>Aug. JE</v>
          </cell>
          <cell r="C208">
            <v>60618</v>
          </cell>
        </row>
        <row r="209">
          <cell r="A209" t="str">
            <v>Aug. JE</v>
          </cell>
          <cell r="C209">
            <v>21000</v>
          </cell>
        </row>
        <row r="211">
          <cell r="A211" t="str">
            <v>Aug. JE</v>
          </cell>
          <cell r="C211">
            <v>10102</v>
          </cell>
        </row>
        <row r="212">
          <cell r="A212" t="str">
            <v>Aug. JE</v>
          </cell>
          <cell r="C212">
            <v>90102</v>
          </cell>
        </row>
        <row r="214">
          <cell r="A214" t="str">
            <v>Sep. JE</v>
          </cell>
          <cell r="C214">
            <v>2</v>
          </cell>
        </row>
        <row r="215">
          <cell r="A215" t="str">
            <v>Sep. JE</v>
          </cell>
          <cell r="C215">
            <v>70000</v>
          </cell>
        </row>
        <row r="217">
          <cell r="A217" t="str">
            <v>Sep. JE</v>
          </cell>
          <cell r="C217">
            <v>70612</v>
          </cell>
        </row>
        <row r="218">
          <cell r="A218" t="str">
            <v>Sep. JE</v>
          </cell>
          <cell r="C218">
            <v>21000</v>
          </cell>
        </row>
        <row r="220">
          <cell r="A220" t="str">
            <v>Sep. JE</v>
          </cell>
          <cell r="C220">
            <v>60614</v>
          </cell>
        </row>
        <row r="221">
          <cell r="A221" t="str">
            <v>Sep. JE</v>
          </cell>
          <cell r="C221">
            <v>21000</v>
          </cell>
        </row>
        <row r="223">
          <cell r="A223" t="str">
            <v>Sep. JE</v>
          </cell>
          <cell r="C223">
            <v>70914</v>
          </cell>
        </row>
        <row r="224">
          <cell r="A224" t="str">
            <v>Sep. JE</v>
          </cell>
          <cell r="C224">
            <v>10700</v>
          </cell>
        </row>
        <row r="226">
          <cell r="A226" t="str">
            <v>Sep. JE</v>
          </cell>
          <cell r="C226">
            <v>70614</v>
          </cell>
        </row>
        <row r="227">
          <cell r="A227" t="str">
            <v>Sep. JE</v>
          </cell>
          <cell r="C227">
            <v>21000</v>
          </cell>
        </row>
        <row r="229">
          <cell r="A229" t="str">
            <v>Sep. JE</v>
          </cell>
          <cell r="C229">
            <v>70613</v>
          </cell>
        </row>
        <row r="230">
          <cell r="A230" t="str">
            <v>Sep. JE</v>
          </cell>
          <cell r="C230">
            <v>21000</v>
          </cell>
        </row>
        <row r="232">
          <cell r="A232" t="str">
            <v>Sep. JE</v>
          </cell>
          <cell r="C232">
            <v>60610</v>
          </cell>
        </row>
        <row r="233">
          <cell r="A233" t="str">
            <v>Sep. JE</v>
          </cell>
          <cell r="C233">
            <v>21000</v>
          </cell>
        </row>
        <row r="235">
          <cell r="A235" t="str">
            <v>Sep. JE</v>
          </cell>
          <cell r="C235">
            <v>60622</v>
          </cell>
        </row>
        <row r="236">
          <cell r="A236" t="str">
            <v>Sep. JE</v>
          </cell>
          <cell r="C236">
            <v>10700</v>
          </cell>
        </row>
        <row r="238">
          <cell r="A238" t="str">
            <v>Sep. JE</v>
          </cell>
          <cell r="C238">
            <v>60618</v>
          </cell>
        </row>
        <row r="239">
          <cell r="A239" t="str">
            <v>Sep. JE</v>
          </cell>
          <cell r="C239">
            <v>21000</v>
          </cell>
        </row>
        <row r="241">
          <cell r="A241" t="str">
            <v>Oct. JE</v>
          </cell>
          <cell r="C241">
            <v>9</v>
          </cell>
        </row>
        <row r="242">
          <cell r="A242" t="str">
            <v>Oct. JE</v>
          </cell>
          <cell r="C242">
            <v>2400</v>
          </cell>
        </row>
        <row r="244">
          <cell r="A244" t="str">
            <v>Nov. JE</v>
          </cell>
          <cell r="C244">
            <v>9</v>
          </cell>
        </row>
        <row r="245">
          <cell r="A245" t="str">
            <v>Nov. JE</v>
          </cell>
          <cell r="C245">
            <v>2400</v>
          </cell>
        </row>
        <row r="247">
          <cell r="A247" t="str">
            <v>Oct. JE</v>
          </cell>
          <cell r="C247">
            <v>6810</v>
          </cell>
        </row>
        <row r="248">
          <cell r="A248" t="str">
            <v>Oct. JE</v>
          </cell>
          <cell r="C248">
            <v>15200</v>
          </cell>
        </row>
        <row r="249">
          <cell r="A249" t="str">
            <v>Oct. JE</v>
          </cell>
          <cell r="C249">
            <v>2400</v>
          </cell>
        </row>
        <row r="251">
          <cell r="A251" t="str">
            <v>Nov. JE</v>
          </cell>
          <cell r="C251">
            <v>6810</v>
          </cell>
        </row>
        <row r="252">
          <cell r="A252" t="str">
            <v>Nov. JE</v>
          </cell>
          <cell r="C252">
            <v>15200</v>
          </cell>
        </row>
        <row r="253">
          <cell r="A253" t="str">
            <v>Nov. JE</v>
          </cell>
          <cell r="C253">
            <v>2400</v>
          </cell>
        </row>
        <row r="255">
          <cell r="A255" t="str">
            <v>Oct. JE</v>
          </cell>
          <cell r="C255">
            <v>2</v>
          </cell>
        </row>
        <row r="256">
          <cell r="A256" t="str">
            <v>Oct. JE</v>
          </cell>
          <cell r="C256">
            <v>70000</v>
          </cell>
        </row>
        <row r="258">
          <cell r="A258" t="str">
            <v>Nov. JE</v>
          </cell>
          <cell r="C258">
            <v>2</v>
          </cell>
        </row>
        <row r="259">
          <cell r="A259" t="str">
            <v>Nov. JE</v>
          </cell>
          <cell r="C259">
            <v>70000</v>
          </cell>
        </row>
        <row r="261">
          <cell r="A261" t="str">
            <v>Oct. JE</v>
          </cell>
          <cell r="C261">
            <v>70610</v>
          </cell>
        </row>
        <row r="262">
          <cell r="A262" t="str">
            <v>Oct. JE</v>
          </cell>
          <cell r="C262">
            <v>21000</v>
          </cell>
        </row>
        <row r="263">
          <cell r="A263" t="str">
            <v>Jul. JE</v>
          </cell>
          <cell r="C263">
            <v>70610</v>
          </cell>
        </row>
        <row r="264">
          <cell r="A264" t="str">
            <v>Jul. JE</v>
          </cell>
          <cell r="C264">
            <v>21000</v>
          </cell>
        </row>
        <row r="265">
          <cell r="A265" t="str">
            <v>Aug. JE</v>
          </cell>
          <cell r="C265">
            <v>70610</v>
          </cell>
        </row>
        <row r="266">
          <cell r="A266" t="str">
            <v>Aug. JE</v>
          </cell>
          <cell r="C266">
            <v>21000</v>
          </cell>
        </row>
        <row r="267">
          <cell r="A267" t="str">
            <v>Sep. JE</v>
          </cell>
          <cell r="C267">
            <v>70610</v>
          </cell>
        </row>
        <row r="268">
          <cell r="A268" t="str">
            <v>Sep. JE</v>
          </cell>
          <cell r="C268">
            <v>21000</v>
          </cell>
        </row>
        <row r="270">
          <cell r="A270" t="str">
            <v>Nov. JE</v>
          </cell>
          <cell r="C270">
            <v>70610</v>
          </cell>
        </row>
        <row r="271">
          <cell r="A271" t="str">
            <v>Nov. JE</v>
          </cell>
          <cell r="C271">
            <v>21000</v>
          </cell>
        </row>
        <row r="273">
          <cell r="A273" t="str">
            <v>May. JE</v>
          </cell>
          <cell r="C273">
            <v>70618</v>
          </cell>
        </row>
        <row r="274">
          <cell r="A274" t="str">
            <v>May. JE</v>
          </cell>
          <cell r="C274">
            <v>21000</v>
          </cell>
        </row>
        <row r="275">
          <cell r="A275" t="str">
            <v>Jun. JE</v>
          </cell>
          <cell r="C275">
            <v>70618</v>
          </cell>
        </row>
        <row r="276">
          <cell r="A276" t="str">
            <v>Jun. JE</v>
          </cell>
          <cell r="C276">
            <v>21000</v>
          </cell>
        </row>
        <row r="277">
          <cell r="A277" t="str">
            <v>Jul. JE</v>
          </cell>
          <cell r="C277">
            <v>70618</v>
          </cell>
        </row>
        <row r="278">
          <cell r="A278" t="str">
            <v>Jul. JE</v>
          </cell>
          <cell r="C278">
            <v>21000</v>
          </cell>
        </row>
        <row r="279">
          <cell r="A279" t="str">
            <v>Aug. JE</v>
          </cell>
          <cell r="C279">
            <v>70618</v>
          </cell>
        </row>
        <row r="280">
          <cell r="A280" t="str">
            <v>Aug. JE</v>
          </cell>
          <cell r="C280">
            <v>21000</v>
          </cell>
        </row>
        <row r="281">
          <cell r="A281" t="str">
            <v>Sep. JE</v>
          </cell>
          <cell r="C281">
            <v>70618</v>
          </cell>
        </row>
        <row r="282">
          <cell r="A282" t="str">
            <v>Sep. JE</v>
          </cell>
          <cell r="C282">
            <v>21000</v>
          </cell>
        </row>
        <row r="283">
          <cell r="A283" t="str">
            <v>Oct. JE</v>
          </cell>
          <cell r="C283">
            <v>70618</v>
          </cell>
        </row>
        <row r="284">
          <cell r="A284" t="str">
            <v>Oct. JE</v>
          </cell>
          <cell r="C284">
            <v>10700</v>
          </cell>
        </row>
        <row r="285">
          <cell r="A285" t="str">
            <v>Nov. JE</v>
          </cell>
          <cell r="C285">
            <v>70618</v>
          </cell>
        </row>
        <row r="286">
          <cell r="A286" t="str">
            <v>Nov. JE</v>
          </cell>
          <cell r="C286">
            <v>10700</v>
          </cell>
        </row>
        <row r="288">
          <cell r="A288" t="str">
            <v>Sep. JE</v>
          </cell>
          <cell r="C288">
            <v>70611</v>
          </cell>
        </row>
        <row r="289">
          <cell r="A289" t="str">
            <v>Sep. JE</v>
          </cell>
          <cell r="C289">
            <v>10700</v>
          </cell>
        </row>
        <row r="290">
          <cell r="A290" t="str">
            <v>Oct. JE</v>
          </cell>
          <cell r="C290">
            <v>70611</v>
          </cell>
        </row>
        <row r="291">
          <cell r="A291" t="str">
            <v>Oct. JE</v>
          </cell>
          <cell r="C291">
            <v>10700</v>
          </cell>
        </row>
        <row r="292">
          <cell r="A292" t="str">
            <v>Nov. JE</v>
          </cell>
          <cell r="C292">
            <v>70611</v>
          </cell>
        </row>
        <row r="293">
          <cell r="A293" t="str">
            <v>Nov. JE</v>
          </cell>
          <cell r="C293">
            <v>10700</v>
          </cell>
        </row>
        <row r="294">
          <cell r="A294" t="str">
            <v>Dec. JE</v>
          </cell>
          <cell r="C294">
            <v>70611</v>
          </cell>
        </row>
        <row r="295">
          <cell r="A295" t="str">
            <v>Dec. JE</v>
          </cell>
          <cell r="C295">
            <v>10700</v>
          </cell>
        </row>
        <row r="297">
          <cell r="A297" t="str">
            <v>Oct. JE</v>
          </cell>
          <cell r="C297">
            <v>70604</v>
          </cell>
        </row>
        <row r="298">
          <cell r="A298" t="str">
            <v>Oct. JE</v>
          </cell>
          <cell r="C298">
            <v>70601</v>
          </cell>
        </row>
        <row r="300">
          <cell r="A300" t="str">
            <v>Nov. JE</v>
          </cell>
          <cell r="C300">
            <v>70604</v>
          </cell>
        </row>
        <row r="301">
          <cell r="A301" t="str">
            <v>Nov. JE</v>
          </cell>
          <cell r="C301">
            <v>70601</v>
          </cell>
        </row>
        <row r="304">
          <cell r="A304" t="str">
            <v>Nov. JE</v>
          </cell>
          <cell r="C304">
            <v>70604</v>
          </cell>
        </row>
        <row r="305">
          <cell r="A305" t="str">
            <v>Nov. JE</v>
          </cell>
          <cell r="C305">
            <v>21000</v>
          </cell>
        </row>
        <row r="307">
          <cell r="A307" t="str">
            <v>Nov. JE</v>
          </cell>
          <cell r="C307">
            <v>60610</v>
          </cell>
        </row>
        <row r="308">
          <cell r="A308" t="str">
            <v>Nov. JE</v>
          </cell>
          <cell r="C308">
            <v>10700</v>
          </cell>
        </row>
        <row r="310">
          <cell r="A310" t="str">
            <v>Nov. JE</v>
          </cell>
          <cell r="C310">
            <v>60603</v>
          </cell>
        </row>
        <row r="311">
          <cell r="A311" t="str">
            <v>Nov. JE</v>
          </cell>
          <cell r="C311">
            <v>21000</v>
          </cell>
        </row>
        <row r="313">
          <cell r="A313" t="str">
            <v>Sep. JE</v>
          </cell>
          <cell r="C313">
            <v>60607</v>
          </cell>
        </row>
        <row r="314">
          <cell r="A314" t="str">
            <v>Sep. JE</v>
          </cell>
          <cell r="C314">
            <v>21000</v>
          </cell>
        </row>
        <row r="316">
          <cell r="A316" t="str">
            <v>Oct. JE</v>
          </cell>
          <cell r="C316">
            <v>6120</v>
          </cell>
        </row>
        <row r="317">
          <cell r="A317" t="str">
            <v>Oct. JE</v>
          </cell>
          <cell r="C317">
            <v>2310</v>
          </cell>
        </row>
        <row r="319">
          <cell r="A319" t="str">
            <v>Nov. JE</v>
          </cell>
          <cell r="C319">
            <v>70613</v>
          </cell>
        </row>
        <row r="320">
          <cell r="A320" t="str">
            <v>Nov. JE</v>
          </cell>
          <cell r="C320">
            <v>21000</v>
          </cell>
        </row>
        <row r="322">
          <cell r="A322" t="str">
            <v>Nov. JE</v>
          </cell>
          <cell r="C322">
            <v>60607</v>
          </cell>
        </row>
        <row r="323">
          <cell r="A323" t="str">
            <v>Nov. JE</v>
          </cell>
          <cell r="C323">
            <v>21000</v>
          </cell>
        </row>
        <row r="325">
          <cell r="A325" t="str">
            <v>Oct. JE</v>
          </cell>
          <cell r="C325">
            <v>60618</v>
          </cell>
        </row>
        <row r="326">
          <cell r="A326" t="str">
            <v>Oct. JE</v>
          </cell>
          <cell r="C326">
            <v>21000</v>
          </cell>
        </row>
        <row r="328">
          <cell r="A328" t="str">
            <v>Nov. JE</v>
          </cell>
          <cell r="C328">
            <v>60618</v>
          </cell>
        </row>
        <row r="329">
          <cell r="A329" t="str">
            <v>Nov. JE</v>
          </cell>
          <cell r="C329">
            <v>21000</v>
          </cell>
        </row>
        <row r="331">
          <cell r="A331" t="str">
            <v>Dec. JE</v>
          </cell>
          <cell r="C331">
            <v>70620</v>
          </cell>
        </row>
        <row r="332">
          <cell r="A332" t="str">
            <v>Dec. JE</v>
          </cell>
          <cell r="C332">
            <v>10700</v>
          </cell>
        </row>
        <row r="334">
          <cell r="A334" t="str">
            <v>Dec. JE</v>
          </cell>
          <cell r="C334">
            <v>70610</v>
          </cell>
        </row>
        <row r="335">
          <cell r="A335" t="str">
            <v>Dec. JE</v>
          </cell>
          <cell r="C335">
            <v>21000</v>
          </cell>
        </row>
        <row r="337">
          <cell r="A337" t="str">
            <v>Dec. JE</v>
          </cell>
          <cell r="C337">
            <v>2</v>
          </cell>
        </row>
        <row r="338">
          <cell r="A338" t="str">
            <v>Dec. JE</v>
          </cell>
          <cell r="C338">
            <v>70000</v>
          </cell>
        </row>
        <row r="340">
          <cell r="A340" t="str">
            <v>Dec. JE</v>
          </cell>
          <cell r="C340">
            <v>10003</v>
          </cell>
        </row>
        <row r="341">
          <cell r="A341" t="str">
            <v>Dec. JE</v>
          </cell>
          <cell r="C341">
            <v>10700</v>
          </cell>
        </row>
        <row r="343">
          <cell r="A343" t="str">
            <v>Dec. JE</v>
          </cell>
          <cell r="C343">
            <v>9</v>
          </cell>
        </row>
        <row r="344">
          <cell r="A344" t="str">
            <v>Dec. JE</v>
          </cell>
          <cell r="C344">
            <v>2400</v>
          </cell>
        </row>
        <row r="346">
          <cell r="A346" t="str">
            <v>Dec. JE</v>
          </cell>
          <cell r="C346">
            <v>60618</v>
          </cell>
        </row>
        <row r="347">
          <cell r="A347" t="str">
            <v>Dec. JE</v>
          </cell>
          <cell r="C347">
            <v>21000</v>
          </cell>
        </row>
        <row r="349">
          <cell r="A349" t="str">
            <v>Nov. JE</v>
          </cell>
          <cell r="C349">
            <v>60618</v>
          </cell>
        </row>
        <row r="350">
          <cell r="A350" t="str">
            <v>Nov. JE</v>
          </cell>
          <cell r="C350">
            <v>21000</v>
          </cell>
        </row>
        <row r="352">
          <cell r="A352" t="str">
            <v>Oct. JE</v>
          </cell>
          <cell r="C352">
            <v>60618</v>
          </cell>
        </row>
        <row r="353">
          <cell r="A353" t="str">
            <v>Oct. JE</v>
          </cell>
          <cell r="C353">
            <v>21000</v>
          </cell>
        </row>
        <row r="355">
          <cell r="A355" t="str">
            <v>Nov. JE</v>
          </cell>
          <cell r="C355">
            <v>6250</v>
          </cell>
        </row>
        <row r="356">
          <cell r="A356" t="str">
            <v>Nov. JE</v>
          </cell>
          <cell r="C356">
            <v>2200</v>
          </cell>
        </row>
        <row r="358">
          <cell r="A358" t="str">
            <v>Oct. JE</v>
          </cell>
          <cell r="C358">
            <v>6250</v>
          </cell>
        </row>
        <row r="359">
          <cell r="A359" t="str">
            <v>Oct. JE</v>
          </cell>
          <cell r="C359">
            <v>2200</v>
          </cell>
        </row>
        <row r="361">
          <cell r="A361" t="str">
            <v>Dec. JE</v>
          </cell>
          <cell r="C361">
            <v>60607</v>
          </cell>
        </row>
        <row r="362">
          <cell r="A362" t="str">
            <v>Dec. JE</v>
          </cell>
          <cell r="C362">
            <v>21000</v>
          </cell>
        </row>
        <row r="364">
          <cell r="A364" t="str">
            <v>Dec. JE</v>
          </cell>
          <cell r="C364">
            <v>60610</v>
          </cell>
        </row>
        <row r="365">
          <cell r="A365" t="str">
            <v>Dec. JE</v>
          </cell>
          <cell r="C365">
            <v>10700</v>
          </cell>
        </row>
        <row r="367">
          <cell r="A367" t="str">
            <v>Dec. JE</v>
          </cell>
          <cell r="C367">
            <v>10102</v>
          </cell>
        </row>
        <row r="368">
          <cell r="A368" t="str">
            <v>Dec. JE</v>
          </cell>
          <cell r="C368">
            <v>90102</v>
          </cell>
        </row>
      </sheetData>
      <sheetData sheetId="2"/>
      <sheetData sheetId="3"/>
      <sheetData sheetId="4">
        <row r="12">
          <cell r="A12">
            <v>100000</v>
          </cell>
        </row>
        <row r="13">
          <cell r="A13">
            <v>110000</v>
          </cell>
        </row>
        <row r="14">
          <cell r="A14">
            <v>120000</v>
          </cell>
        </row>
        <row r="15">
          <cell r="A15">
            <v>130000</v>
          </cell>
        </row>
        <row r="16">
          <cell r="A16">
            <v>140000</v>
          </cell>
        </row>
        <row r="19">
          <cell r="A19">
            <v>300000</v>
          </cell>
        </row>
        <row r="20">
          <cell r="A20">
            <v>300001</v>
          </cell>
        </row>
        <row r="21">
          <cell r="A21">
            <v>300002</v>
          </cell>
        </row>
        <row r="22">
          <cell r="A22">
            <v>310000</v>
          </cell>
        </row>
        <row r="25">
          <cell r="A25">
            <v>400000</v>
          </cell>
        </row>
        <row r="26">
          <cell r="A26">
            <v>410000</v>
          </cell>
        </row>
        <row r="29">
          <cell r="A29">
            <v>450000</v>
          </cell>
        </row>
        <row r="30">
          <cell r="A30">
            <v>451000</v>
          </cell>
        </row>
        <row r="37">
          <cell r="A37">
            <v>500000</v>
          </cell>
        </row>
        <row r="38">
          <cell r="A38">
            <v>510000</v>
          </cell>
        </row>
        <row r="39">
          <cell r="A39">
            <v>520000</v>
          </cell>
        </row>
        <row r="40">
          <cell r="A40">
            <v>530000</v>
          </cell>
        </row>
        <row r="41">
          <cell r="A41">
            <v>540000</v>
          </cell>
        </row>
        <row r="42">
          <cell r="A42">
            <v>550000</v>
          </cell>
        </row>
        <row r="43">
          <cell r="A43">
            <v>560000</v>
          </cell>
        </row>
        <row r="44">
          <cell r="A44">
            <v>570000</v>
          </cell>
        </row>
        <row r="47">
          <cell r="A47">
            <v>600000</v>
          </cell>
        </row>
        <row r="48">
          <cell r="A48">
            <v>620000</v>
          </cell>
        </row>
        <row r="51">
          <cell r="A51">
            <v>700000</v>
          </cell>
        </row>
        <row r="52">
          <cell r="A52">
            <v>740000</v>
          </cell>
        </row>
        <row r="53">
          <cell r="A53">
            <v>720000</v>
          </cell>
        </row>
        <row r="54">
          <cell r="A54">
            <v>730000</v>
          </cell>
        </row>
      </sheetData>
      <sheetData sheetId="5"/>
      <sheetData sheetId="6">
        <row r="2">
          <cell r="K2">
            <v>39417</v>
          </cell>
        </row>
      </sheetData>
      <sheetData sheetId="7"/>
      <sheetData sheetId="8"/>
      <sheetData sheetId="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E Master Instructions"/>
      <sheetName val="JE Log"/>
      <sheetName val="JE1"/>
      <sheetName val="JE2"/>
      <sheetName val="JE3"/>
      <sheetName val="JE4"/>
      <sheetName val="JE5"/>
      <sheetName val="JE6"/>
      <sheetName val="JE7"/>
      <sheetName val="JE8"/>
      <sheetName val="JE9"/>
      <sheetName val="JE10"/>
      <sheetName val="JE11"/>
      <sheetName val="JE12"/>
      <sheetName val="JE13"/>
      <sheetName val="JE14"/>
      <sheetName val="JE15"/>
      <sheetName val="JE16"/>
      <sheetName val="JE17"/>
      <sheetName val="JE18"/>
      <sheetName val="JE19"/>
      <sheetName val="JE20"/>
      <sheetName val="JE21"/>
      <sheetName val="JE22"/>
      <sheetName val="JE23"/>
      <sheetName val="JE24"/>
      <sheetName val="JE25"/>
      <sheetName val="Criteria"/>
      <sheetName val="Amended TB"/>
      <sheetName val="Revenue calculation"/>
      <sheetName val="JE_Log"/>
      <sheetName val="JE_Master_Instructions"/>
      <sheetName val="JE_Log1"/>
      <sheetName val="Amended_TB"/>
      <sheetName val="Revenue_calculation"/>
      <sheetName val="JE_Master_Instructions1"/>
      <sheetName val="JE_Log2"/>
      <sheetName val="HP-lead"/>
      <sheetName val="Balance Sheet"/>
      <sheetName val="tariff"/>
      <sheetName val="cost"/>
      <sheetName val="Work Paper"/>
      <sheetName val="TB"/>
      <sheetName val="source-1"/>
      <sheetName val="Entity Data"/>
      <sheetName val="Sheet2"/>
      <sheetName val="YTD Cash Report CAD "/>
      <sheetName val="YTD Cash Report "/>
      <sheetName val="COA"/>
      <sheetName val="ALFMULT"/>
      <sheetName val="Parameters"/>
      <sheetName val="1030006 A"/>
      <sheetName val="COGS"/>
      <sheetName val="Sales"/>
      <sheetName val="A"/>
      <sheetName val="key"/>
      <sheetName val="Mach &amp; equip"/>
      <sheetName val="MV"/>
      <sheetName val="Freezers"/>
      <sheetName val="Comp equip"/>
      <sheetName val="Building"/>
      <sheetName val="C101"/>
      <sheetName val="I101"/>
      <sheetName val="H101 "/>
      <sheetName val="N101"/>
      <sheetName val="T101 "/>
      <sheetName val="PL 2013"/>
      <sheetName val="P&amp;L Projections"/>
      <sheetName val="04-020 Compensation Adjustments"/>
      <sheetName val="00-020 General"/>
      <sheetName val="PL_2013"/>
      <sheetName val="P&amp;L_Projections"/>
      <sheetName val="04-020_Compensation_Adjustments"/>
      <sheetName val="00-020_General"/>
      <sheetName val="PL_20131"/>
      <sheetName val="P&amp;L_Projections1"/>
      <sheetName val="JE_Master_Instructions2"/>
      <sheetName val="JE_Log3"/>
      <sheetName val="PL_20132"/>
      <sheetName val="P&amp;L_Projections2"/>
      <sheetName val="04-020_Compensation_Adjustment1"/>
      <sheetName val="00-020_General1"/>
      <sheetName val="JE_Master_Instructions3"/>
      <sheetName val="JE_Log4"/>
      <sheetName val="PL_20133"/>
      <sheetName val="P&amp;L_Projections3"/>
      <sheetName val="04-020_Compensation_Adjustment2"/>
      <sheetName val="00-020_General2"/>
      <sheetName val="Weights"/>
      <sheetName val="Element list"/>
      <sheetName val="Comps"/>
      <sheetName val="Return Type"/>
      <sheetName val="Validate Account"/>
      <sheetName val="Zip Code"/>
      <sheetName val="Current Cap Table"/>
      <sheetName val="Values"/>
      <sheetName val="Lookups1"/>
      <sheetName val="Input page"/>
      <sheetName val="Customize Your Invoice"/>
      <sheetName val="Amended_TB1"/>
      <sheetName val="Revenue_calculation1"/>
      <sheetName val="Balance_Sheet"/>
      <sheetName val="Work_Paper"/>
      <sheetName val="Entity_Data"/>
      <sheetName val="1030006_A"/>
      <sheetName val="Mach_&amp;_equip"/>
      <sheetName val="Comp_equip"/>
      <sheetName val="H101_"/>
      <sheetName val="T101_"/>
      <sheetName val="Element_list"/>
      <sheetName val="Return_Type"/>
      <sheetName val="Validate_Account"/>
      <sheetName val="Zip_Code"/>
      <sheetName val="Current_Cap_Table"/>
      <sheetName val="Input_page"/>
      <sheetName val="Customize_Your_Invo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1">
          <cell r="A1" t="str">
            <v>SAMPLE COMPANY</v>
          </cell>
        </row>
        <row r="4">
          <cell r="D4" t="str">
            <v>July</v>
          </cell>
        </row>
      </sheetData>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y 2000"/>
      <sheetName val="May2000 Bank reconciliation"/>
      <sheetName val="June 2000"/>
      <sheetName val="June 2000 Bank reconciliation "/>
      <sheetName val="July 2000 C&amp;L Bank"/>
      <sheetName val="July 2000 C&amp;L Bank recon"/>
      <sheetName val="July 2000 CacheFlow Current Ac"/>
      <sheetName val="July 2000 Curr Acct Bank recon "/>
      <sheetName val="August 2000 C&amp;L Bank "/>
      <sheetName val="Aug 2000 C&amp;L Bank recon "/>
      <sheetName val="Aug 2000 Current account"/>
      <sheetName val="Aug 2000 Curr Acct Bank Recon"/>
      <sheetName val="Sept 2000 Current account"/>
      <sheetName val="Sept 2000 Curr Acct Bank Recn"/>
      <sheetName val="Sept 2000 Call Deposit account"/>
      <sheetName val="Oct 2000 Current account "/>
      <sheetName val="Oct 2000 Curr Acct Bank Recon"/>
      <sheetName val="Oct 2000 Call Deposit account"/>
      <sheetName val="Nov 2000 Current account  "/>
      <sheetName val="Nov 2000 Curr Acct Bank Rec "/>
      <sheetName val="Nov 2000 Call Deposit account"/>
      <sheetName val="Sheet3"/>
      <sheetName val="pr-midmonth"/>
      <sheetName val="pr-monthend "/>
      <sheetName val="ADP Fee "/>
      <sheetName val="Interest"/>
      <sheetName val="Comdisco Warrants"/>
      <sheetName val="Reclass HW"/>
      <sheetName val="Debts"/>
      <sheetName val="Aus"/>
      <sheetName val="Aus2"/>
      <sheetName val="Aus (3)"/>
      <sheetName val="Canada (2)"/>
      <sheetName val="Canada (3)"/>
      <sheetName val="Canada (4)"/>
      <sheetName val="Japan"/>
      <sheetName val="Taiwan"/>
      <sheetName val="UK"/>
      <sheetName val="UK (2)"/>
      <sheetName val=" Facilities-Allocation (2)"/>
      <sheetName val="Suspense (2)"/>
      <sheetName val="Demo Units"/>
      <sheetName val="Commission"/>
      <sheetName val="Comdisco (5)"/>
      <sheetName val="Comdisco (2)"/>
      <sheetName val="Comdisco (3)"/>
      <sheetName val="Comdisco (4)"/>
      <sheetName val="accrual"/>
      <sheetName val="vacation"/>
      <sheetName val="depreciation"/>
      <sheetName val="Stock"/>
      <sheetName val="prepaid"/>
      <sheetName val="defersales (4)"/>
      <sheetName val="defersales (5)"/>
      <sheetName val="Suspense"/>
      <sheetName val="DeferrredMaint"/>
      <sheetName val="Bad Debt"/>
      <sheetName val="Variances"/>
      <sheetName val="Recl Resv"/>
      <sheetName val="OD Int"/>
      <sheetName val="FA"/>
      <sheetName val="FY 99 YE"/>
      <sheetName val="Reclass"/>
      <sheetName val=" Facilities-Allocation"/>
      <sheetName val="Facilities-Allocation  (4)"/>
      <sheetName val="Facilities-Allocation  (3)"/>
      <sheetName val="ICS-Allocation "/>
      <sheetName val="Headcount-ICS "/>
      <sheetName val="Headcount-Facilities"/>
      <sheetName val="May_20004"/>
      <sheetName val="May2000_Bank_reconciliation4"/>
      <sheetName val="June_20004"/>
      <sheetName val="June_2000_Bank_reconciliation_4"/>
      <sheetName val="July_2000_C&amp;L_Bank4"/>
      <sheetName val="July_2000_C&amp;L_Bank_recon4"/>
      <sheetName val="July_2000_CacheFlow_Current_Ac4"/>
      <sheetName val="July_2000_Curr_Acct_Bank_recon4"/>
      <sheetName val="August_2000_C&amp;L_Bank_4"/>
      <sheetName val="Aug_2000_C&amp;L_Bank_recon_4"/>
      <sheetName val="Aug_2000_Current_account4"/>
      <sheetName val="Aug_2000_Curr_Acct_Bank_Recon4"/>
      <sheetName val="Sept_2000_Current_account4"/>
      <sheetName val="Sept_2000_Curr_Acct_Bank_Recn4"/>
      <sheetName val="Sept_2000_Call_Deposit_account4"/>
      <sheetName val="Oct_2000_Current_account_4"/>
      <sheetName val="Oct_2000_Curr_Acct_Bank_Recon4"/>
      <sheetName val="Oct_2000_Call_Deposit_account4"/>
      <sheetName val="Nov_2000_Current_account__4"/>
      <sheetName val="Nov_2000_Curr_Acct_Bank_Rec_4"/>
      <sheetName val="Nov_2000_Call_Deposit_account4"/>
      <sheetName val="pr-monthend_4"/>
      <sheetName val="ADP_Fee_4"/>
      <sheetName val="Comdisco_Warrants4"/>
      <sheetName val="Reclass_HW4"/>
      <sheetName val="Aus_(3)4"/>
      <sheetName val="Canada_(2)4"/>
      <sheetName val="Canada_(3)4"/>
      <sheetName val="Canada_(4)4"/>
      <sheetName val="UK_(2)4"/>
      <sheetName val="_Facilities-Allocation_(2)4"/>
      <sheetName val="Suspense_(2)4"/>
      <sheetName val="Demo_Units4"/>
      <sheetName val="Comdisco_(5)4"/>
      <sheetName val="Comdisco_(2)4"/>
      <sheetName val="Comdisco_(3)4"/>
      <sheetName val="Comdisco_(4)4"/>
      <sheetName val="defersales_(4)4"/>
      <sheetName val="defersales_(5)4"/>
      <sheetName val="Bad_Debt4"/>
      <sheetName val="Recl_Resv4"/>
      <sheetName val="OD_Int4"/>
      <sheetName val="FY_99_YE4"/>
      <sheetName val="_Facilities-Allocation4"/>
      <sheetName val="Facilities-Allocation__(4)4"/>
      <sheetName val="Facilities-Allocation__(3)4"/>
      <sheetName val="ICS-Allocation_4"/>
      <sheetName val="Headcount-ICS_4"/>
      <sheetName val="May_2000"/>
      <sheetName val="May2000_Bank_reconciliation"/>
      <sheetName val="June_2000"/>
      <sheetName val="June_2000_Bank_reconciliation_"/>
      <sheetName val="July_2000_C&amp;L_Bank"/>
      <sheetName val="July_2000_C&amp;L_Bank_recon"/>
      <sheetName val="July_2000_CacheFlow_Current_Ac"/>
      <sheetName val="July_2000_Curr_Acct_Bank_recon_"/>
      <sheetName val="August_2000_C&amp;L_Bank_"/>
      <sheetName val="Aug_2000_C&amp;L_Bank_recon_"/>
      <sheetName val="Aug_2000_Current_account"/>
      <sheetName val="Aug_2000_Curr_Acct_Bank_Recon"/>
      <sheetName val="Sept_2000_Current_account"/>
      <sheetName val="Sept_2000_Curr_Acct_Bank_Recn"/>
      <sheetName val="Sept_2000_Call_Deposit_account"/>
      <sheetName val="Oct_2000_Current_account_"/>
      <sheetName val="Oct_2000_Curr_Acct_Bank_Recon"/>
      <sheetName val="Oct_2000_Call_Deposit_account"/>
      <sheetName val="Nov_2000_Current_account__"/>
      <sheetName val="Nov_2000_Curr_Acct_Bank_Rec_"/>
      <sheetName val="Nov_2000_Call_Deposit_account"/>
      <sheetName val="pr-monthend_"/>
      <sheetName val="ADP_Fee_"/>
      <sheetName val="Comdisco_Warrants"/>
      <sheetName val="Reclass_HW"/>
      <sheetName val="Aus_(3)"/>
      <sheetName val="Canada_(2)"/>
      <sheetName val="Canada_(3)"/>
      <sheetName val="Canada_(4)"/>
      <sheetName val="UK_(2)"/>
      <sheetName val="_Facilities-Allocation_(2)"/>
      <sheetName val="Suspense_(2)"/>
      <sheetName val="Demo_Units"/>
      <sheetName val="Comdisco_(5)"/>
      <sheetName val="Comdisco_(2)"/>
      <sheetName val="Comdisco_(3)"/>
      <sheetName val="Comdisco_(4)"/>
      <sheetName val="defersales_(4)"/>
      <sheetName val="defersales_(5)"/>
      <sheetName val="Bad_Debt"/>
      <sheetName val="Recl_Resv"/>
      <sheetName val="OD_Int"/>
      <sheetName val="FY_99_YE"/>
      <sheetName val="_Facilities-Allocation"/>
      <sheetName val="Facilities-Allocation__(4)"/>
      <sheetName val="Facilities-Allocation__(3)"/>
      <sheetName val="ICS-Allocation_"/>
      <sheetName val="Headcount-ICS_"/>
      <sheetName val="May_20001"/>
      <sheetName val="May2000_Bank_reconciliation1"/>
      <sheetName val="June_20001"/>
      <sheetName val="June_2000_Bank_reconciliation_1"/>
      <sheetName val="July_2000_C&amp;L_Bank1"/>
      <sheetName val="July_2000_C&amp;L_Bank_recon1"/>
      <sheetName val="July_2000_CacheFlow_Current_Ac1"/>
      <sheetName val="July_2000_Curr_Acct_Bank_recon1"/>
      <sheetName val="August_2000_C&amp;L_Bank_1"/>
      <sheetName val="Aug_2000_C&amp;L_Bank_recon_1"/>
      <sheetName val="Aug_2000_Current_account1"/>
      <sheetName val="Aug_2000_Curr_Acct_Bank_Recon1"/>
      <sheetName val="Sept_2000_Current_account1"/>
      <sheetName val="Sept_2000_Curr_Acct_Bank_Recn1"/>
      <sheetName val="Sept_2000_Call_Deposit_account1"/>
      <sheetName val="Oct_2000_Current_account_1"/>
      <sheetName val="Oct_2000_Curr_Acct_Bank_Recon1"/>
      <sheetName val="Oct_2000_Call_Deposit_account1"/>
      <sheetName val="Nov_2000_Current_account__1"/>
      <sheetName val="Nov_2000_Curr_Acct_Bank_Rec_1"/>
      <sheetName val="Nov_2000_Call_Deposit_account1"/>
      <sheetName val="pr-monthend_1"/>
      <sheetName val="ADP_Fee_1"/>
      <sheetName val="Comdisco_Warrants1"/>
      <sheetName val="Reclass_HW1"/>
      <sheetName val="Aus_(3)1"/>
      <sheetName val="Canada_(2)1"/>
      <sheetName val="Canada_(3)1"/>
      <sheetName val="Canada_(4)1"/>
      <sheetName val="UK_(2)1"/>
      <sheetName val="_Facilities-Allocation_(2)1"/>
      <sheetName val="Suspense_(2)1"/>
      <sheetName val="Demo_Units1"/>
      <sheetName val="Comdisco_(5)1"/>
      <sheetName val="Comdisco_(2)1"/>
      <sheetName val="Comdisco_(3)1"/>
      <sheetName val="Comdisco_(4)1"/>
      <sheetName val="defersales_(4)1"/>
      <sheetName val="defersales_(5)1"/>
      <sheetName val="Bad_Debt1"/>
      <sheetName val="Recl_Resv1"/>
      <sheetName val="OD_Int1"/>
      <sheetName val="FY_99_YE1"/>
      <sheetName val="_Facilities-Allocation1"/>
      <sheetName val="Facilities-Allocation__(4)1"/>
      <sheetName val="Facilities-Allocation__(3)1"/>
      <sheetName val="ICS-Allocation_1"/>
      <sheetName val="Headcount-ICS_1"/>
      <sheetName val="May_20002"/>
      <sheetName val="May2000_Bank_reconciliation2"/>
      <sheetName val="June_20002"/>
      <sheetName val="June_2000_Bank_reconciliation_2"/>
      <sheetName val="July_2000_C&amp;L_Bank2"/>
      <sheetName val="July_2000_C&amp;L_Bank_recon2"/>
      <sheetName val="July_2000_CacheFlow_Current_Ac2"/>
      <sheetName val="July_2000_Curr_Acct_Bank_recon2"/>
      <sheetName val="August_2000_C&amp;L_Bank_2"/>
      <sheetName val="Aug_2000_C&amp;L_Bank_recon_2"/>
      <sheetName val="Aug_2000_Current_account2"/>
      <sheetName val="Aug_2000_Curr_Acct_Bank_Recon2"/>
      <sheetName val="Sept_2000_Current_account2"/>
      <sheetName val="Sept_2000_Curr_Acct_Bank_Recn2"/>
      <sheetName val="Sept_2000_Call_Deposit_account2"/>
      <sheetName val="Oct_2000_Current_account_2"/>
      <sheetName val="Oct_2000_Curr_Acct_Bank_Recon2"/>
      <sheetName val="Oct_2000_Call_Deposit_account2"/>
      <sheetName val="Nov_2000_Current_account__2"/>
      <sheetName val="Nov_2000_Curr_Acct_Bank_Rec_2"/>
      <sheetName val="Nov_2000_Call_Deposit_account2"/>
      <sheetName val="pr-monthend_2"/>
      <sheetName val="ADP_Fee_2"/>
      <sheetName val="Comdisco_Warrants2"/>
      <sheetName val="Reclass_HW2"/>
      <sheetName val="Aus_(3)2"/>
      <sheetName val="Canada_(2)2"/>
      <sheetName val="Canada_(3)2"/>
      <sheetName val="Canada_(4)2"/>
      <sheetName val="UK_(2)2"/>
      <sheetName val="_Facilities-Allocation_(2)2"/>
      <sheetName val="Suspense_(2)2"/>
      <sheetName val="Demo_Units2"/>
      <sheetName val="Comdisco_(5)2"/>
      <sheetName val="Comdisco_(2)2"/>
      <sheetName val="Comdisco_(3)2"/>
      <sheetName val="Comdisco_(4)2"/>
      <sheetName val="defersales_(4)2"/>
      <sheetName val="defersales_(5)2"/>
      <sheetName val="Bad_Debt2"/>
      <sheetName val="Recl_Resv2"/>
      <sheetName val="OD_Int2"/>
      <sheetName val="FY_99_YE2"/>
      <sheetName val="_Facilities-Allocation2"/>
      <sheetName val="Facilities-Allocation__(4)2"/>
      <sheetName val="Facilities-Allocation__(3)2"/>
      <sheetName val="ICS-Allocation_2"/>
      <sheetName val="Headcount-ICS_2"/>
      <sheetName val="May_20003"/>
      <sheetName val="May2000_Bank_reconciliation3"/>
      <sheetName val="June_20003"/>
      <sheetName val="June_2000_Bank_reconciliation_3"/>
      <sheetName val="July_2000_C&amp;L_Bank3"/>
      <sheetName val="July_2000_C&amp;L_Bank_recon3"/>
      <sheetName val="July_2000_CacheFlow_Current_Ac3"/>
      <sheetName val="July_2000_Curr_Acct_Bank_recon3"/>
      <sheetName val="August_2000_C&amp;L_Bank_3"/>
      <sheetName val="Aug_2000_C&amp;L_Bank_recon_3"/>
      <sheetName val="Aug_2000_Current_account3"/>
      <sheetName val="Aug_2000_Curr_Acct_Bank_Recon3"/>
      <sheetName val="Sept_2000_Current_account3"/>
      <sheetName val="Sept_2000_Curr_Acct_Bank_Recn3"/>
      <sheetName val="Sept_2000_Call_Deposit_account3"/>
      <sheetName val="Oct_2000_Current_account_3"/>
      <sheetName val="Oct_2000_Curr_Acct_Bank_Recon3"/>
      <sheetName val="Oct_2000_Call_Deposit_account3"/>
      <sheetName val="Nov_2000_Current_account__3"/>
      <sheetName val="Nov_2000_Curr_Acct_Bank_Rec_3"/>
      <sheetName val="Nov_2000_Call_Deposit_account3"/>
      <sheetName val="pr-monthend_3"/>
      <sheetName val="ADP_Fee_3"/>
      <sheetName val="Comdisco_Warrants3"/>
      <sheetName val="Reclass_HW3"/>
      <sheetName val="Aus_(3)3"/>
      <sheetName val="Canada_(2)3"/>
      <sheetName val="Canada_(3)3"/>
      <sheetName val="Canada_(4)3"/>
      <sheetName val="UK_(2)3"/>
      <sheetName val="_Facilities-Allocation_(2)3"/>
      <sheetName val="Suspense_(2)3"/>
      <sheetName val="Demo_Units3"/>
      <sheetName val="Comdisco_(5)3"/>
      <sheetName val="Comdisco_(2)3"/>
      <sheetName val="Comdisco_(3)3"/>
      <sheetName val="Comdisco_(4)3"/>
      <sheetName val="defersales_(4)3"/>
      <sheetName val="defersales_(5)3"/>
      <sheetName val="Bad_Debt3"/>
      <sheetName val="Recl_Resv3"/>
      <sheetName val="OD_Int3"/>
      <sheetName val="FY_99_YE3"/>
      <sheetName val="_Facilities-Allocation3"/>
      <sheetName val="Facilities-Allocation__(4)3"/>
      <sheetName val="Facilities-Allocation__(3)3"/>
      <sheetName val="ICS-Allocation_3"/>
      <sheetName val="Headcount-ICS_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fmx"/>
      <sheetName val="קופולק"/>
      <sheetName val="index"/>
      <sheetName val="shar"/>
      <sheetName val="ind_kofimx"/>
      <sheetName val="מחלקה"/>
      <sheetName val="גיליון2"/>
      <sheetName val="גיליון3"/>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fmx"/>
      <sheetName val="קופולק"/>
      <sheetName val="index"/>
      <sheetName val="shar"/>
      <sheetName val="ind_kofimx"/>
      <sheetName val="מחלקה"/>
      <sheetName val="גיליון2"/>
      <sheetName val="גיליון3"/>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VVVVa"/>
      <sheetName val="נסיעות לחו&quot;ל"/>
      <sheetName val="TRAVEL96"/>
      <sheetName val="תאום לצורך מס"/>
      <sheetName val="גיליון 3"/>
    </sheetNames>
    <sheetDataSet>
      <sheetData sheetId="0" refreshError="1"/>
      <sheetData sheetId="1" refreshError="1"/>
      <sheetData sheetId="2" refreshError="1"/>
      <sheetData sheetId="3" refreshError="1"/>
      <sheetData sheetId="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VVVVa"/>
      <sheetName val="נסיעות לחו&quot;ל"/>
      <sheetName val="TRAVEL96"/>
      <sheetName val="תאום לצורך מס"/>
      <sheetName val="גיליון 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Pivot"/>
      <sheetName val="master"/>
      <sheetName val="Ruling (draft)"/>
      <sheetName val="Ruling EE's data"/>
      <sheetName val="181207 BOD - Cancellation"/>
      <sheetName val="250209 BOD grant"/>
      <sheetName val="Trustee"/>
      <sheetName val="181207 BOD - Grants"/>
      <sheetName val="190208 BOD - Grants"/>
      <sheetName val="July 08 BOD grant 3rd tranche"/>
      <sheetName val="July 08 C round grant"/>
      <sheetName val="July 08 C round grant-directors"/>
      <sheetName val="July 08 C round grant-AGM sched"/>
      <sheetName val="240908 BOD grant"/>
      <sheetName val="Ruling"/>
      <sheetName val="EEs details"/>
      <sheetName val="FAS 123 &amp; APB 25 Q407"/>
      <sheetName val="Fas 123 &amp; APB 25 Q108"/>
      <sheetName val="Fas 123 &amp; APB 25 Q208"/>
      <sheetName val="Fas 123 &amp; APB 25 Q308"/>
      <sheetName val="Fas 123 &amp; APB 25 Q408"/>
      <sheetName val="Fas 123 &amp; APB 25 Q109"/>
      <sheetName val="B&amp;S bnft - option grant FAS 123"/>
      <sheetName val="MMDD BOD grant"/>
      <sheetName val="Sheet1 (2)"/>
      <sheetName val="EE Index"/>
    </sheetNames>
    <sheetDataSet>
      <sheetData sheetId="0"/>
      <sheetData sheetId="1"/>
      <sheetData sheetId="2">
        <row r="1">
          <cell r="P1">
            <v>4</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ITERIA2"/>
      <sheetName val="M5200_06"/>
      <sheetName val="Data"/>
      <sheetName val="Spain Input"/>
      <sheetName val="Spain  Data"/>
      <sheetName val="Ireland  Data"/>
      <sheetName val="Ireland &amp; Spain Vouchers"/>
      <sheetName val="CRITERIA3"/>
      <sheetName val="CODE"/>
      <sheetName val="Ireland &amp; Spain Jnl"/>
      <sheetName val="Salary Jnl"/>
      <sheetName val="CRITERIA1"/>
      <sheetName val="Deductions Jnl"/>
      <sheetName val="Contributions Jnl"/>
      <sheetName val="Overtime Jnl"/>
      <sheetName val="Exp Voucher court"/>
      <sheetName val="Car Deductions"/>
      <sheetName val="ESPP YTD Jul-Dec"/>
      <sheetName val="ESPP YTD Jan-Jun"/>
      <sheetName val="ESPP"/>
      <sheetName val="Pension  Vouchers"/>
      <sheetName val="Senior Pension"/>
      <sheetName val="Staff Pension"/>
      <sheetName val="Exp Voucher Bardos"/>
      <sheetName val="Bardo Membership No"/>
      <sheetName val="Bardos list "/>
      <sheetName val="Exp Voucher PAYE"/>
      <sheetName val="Personal Accident"/>
      <sheetName val="HSA email"/>
      <sheetName val="Exp Voucher HSA"/>
      <sheetName val="Child Support"/>
      <sheetName val="Paying Back Float"/>
      <sheetName val="Directors Breakdown"/>
      <sheetName val="Cost Centres Report"/>
      <sheetName val="Overtime Acc"/>
      <sheetName val="Comm"/>
      <sheetName val="MBO"/>
      <sheetName val="Share Optons"/>
      <sheetName val="Cost Centres"/>
      <sheetName val="Richard and Jean"/>
      <sheetName val="Auditors Payroll"/>
      <sheetName val="Directory"/>
      <sheetName val="Exp Voucher Racal Rec"/>
      <sheetName val="Racal Rec Data"/>
      <sheetName val="Racal Rec Vouchers"/>
      <sheetName val="C Van Gaalen"/>
      <sheetName val="Parameters"/>
      <sheetName val="Mappings"/>
      <sheetName val="MasterTrial"/>
    </sheetNames>
    <sheetDataSet>
      <sheetData sheetId="0">
        <row r="3">
          <cell r="I3" t="str">
            <v>Isted            PK Mr</v>
          </cell>
        </row>
      </sheetData>
      <sheetData sheetId="1">
        <row r="3">
          <cell r="I3" t="str">
            <v>Isted            PK Mr</v>
          </cell>
          <cell r="J3">
            <v>1030</v>
          </cell>
          <cell r="K3">
            <v>10</v>
          </cell>
          <cell r="L3">
            <v>2152.83</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125.32</v>
          </cell>
          <cell r="AS3">
            <v>0</v>
          </cell>
          <cell r="AT3">
            <v>0</v>
          </cell>
          <cell r="AU3">
            <v>0</v>
          </cell>
          <cell r="AV3">
            <v>0</v>
          </cell>
          <cell r="AW3">
            <v>0</v>
          </cell>
          <cell r="AX3">
            <v>0</v>
          </cell>
          <cell r="AY3">
            <v>0</v>
          </cell>
          <cell r="AZ3">
            <v>2278.15</v>
          </cell>
          <cell r="BA3">
            <v>7</v>
          </cell>
          <cell r="BB3">
            <v>125.32</v>
          </cell>
          <cell r="BC3">
            <v>0</v>
          </cell>
          <cell r="BD3">
            <v>31.33</v>
          </cell>
          <cell r="BM3">
            <v>205.7</v>
          </cell>
          <cell r="BN3">
            <v>0</v>
          </cell>
          <cell r="BO3">
            <v>392.27</v>
          </cell>
          <cell r="BP3">
            <v>0</v>
          </cell>
          <cell r="BQ3">
            <v>0</v>
          </cell>
          <cell r="BR3">
            <v>0</v>
          </cell>
          <cell r="BS3">
            <v>0</v>
          </cell>
          <cell r="BT3">
            <v>0</v>
          </cell>
          <cell r="BU3">
            <v>0</v>
          </cell>
          <cell r="BV3">
            <v>14.72</v>
          </cell>
          <cell r="BW3">
            <v>0</v>
          </cell>
          <cell r="BX3">
            <v>0</v>
          </cell>
          <cell r="BY3">
            <v>0</v>
          </cell>
          <cell r="BZ3">
            <v>0</v>
          </cell>
          <cell r="CA3">
            <v>0</v>
          </cell>
          <cell r="CB3">
            <v>0</v>
          </cell>
          <cell r="CC3">
            <v>0</v>
          </cell>
          <cell r="CD3">
            <v>0</v>
          </cell>
          <cell r="CE3">
            <v>0</v>
          </cell>
          <cell r="CF3">
            <v>0</v>
          </cell>
          <cell r="CG3">
            <v>0</v>
          </cell>
          <cell r="CH3">
            <v>0</v>
          </cell>
          <cell r="CI3">
            <v>0</v>
          </cell>
          <cell r="CJ3">
            <v>0</v>
          </cell>
          <cell r="CK3">
            <v>0</v>
          </cell>
          <cell r="CL3">
            <v>0</v>
          </cell>
          <cell r="CM3">
            <v>0</v>
          </cell>
          <cell r="CN3">
            <v>0</v>
          </cell>
          <cell r="CO3">
            <v>239.36</v>
          </cell>
          <cell r="CP3">
            <v>0</v>
          </cell>
          <cell r="CQ3">
            <v>0</v>
          </cell>
          <cell r="CR3">
            <v>0</v>
          </cell>
          <cell r="CS3">
            <v>0</v>
          </cell>
          <cell r="CT3">
            <v>0</v>
          </cell>
          <cell r="CU3">
            <v>2732.79</v>
          </cell>
          <cell r="CV3">
            <v>210.7</v>
          </cell>
          <cell r="CW3">
            <v>0</v>
          </cell>
          <cell r="CX3">
            <v>0</v>
          </cell>
          <cell r="CY3">
            <v>335.84</v>
          </cell>
          <cell r="CZ3">
            <v>215.28</v>
          </cell>
          <cell r="DR3" t="str">
            <v>1</v>
          </cell>
          <cell r="DS3">
            <v>0</v>
          </cell>
          <cell r="DT3">
            <v>0</v>
          </cell>
          <cell r="DU3">
            <v>0</v>
          </cell>
          <cell r="DW3">
            <v>0</v>
          </cell>
          <cell r="DX3" t="str">
            <v>1</v>
          </cell>
          <cell r="DY3">
            <v>0</v>
          </cell>
          <cell r="DZ3" t="str">
            <v>1</v>
          </cell>
          <cell r="EA3">
            <v>0</v>
          </cell>
          <cell r="ED3">
            <v>25833.96</v>
          </cell>
          <cell r="EE3" t="str">
            <v>1</v>
          </cell>
          <cell r="EF3">
            <v>125.32</v>
          </cell>
          <cell r="EG3" t="str">
            <v>1</v>
          </cell>
          <cell r="EH3" t="str">
            <v>Isted            PK Mr</v>
          </cell>
          <cell r="EI3">
            <v>2259</v>
          </cell>
          <cell r="EJ3">
            <v>-1053.5</v>
          </cell>
          <cell r="EK3">
            <v>0</v>
          </cell>
        </row>
        <row r="4">
          <cell r="I4" t="str">
            <v>Norman           JA Ms</v>
          </cell>
          <cell r="J4">
            <v>1030</v>
          </cell>
          <cell r="K4">
            <v>10</v>
          </cell>
          <cell r="L4">
            <v>1962.5</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228.48</v>
          </cell>
          <cell r="AS4">
            <v>0</v>
          </cell>
          <cell r="AT4">
            <v>0</v>
          </cell>
          <cell r="AU4">
            <v>0</v>
          </cell>
          <cell r="AV4">
            <v>0</v>
          </cell>
          <cell r="AW4">
            <v>0</v>
          </cell>
          <cell r="AX4">
            <v>0</v>
          </cell>
          <cell r="AY4">
            <v>0</v>
          </cell>
          <cell r="AZ4">
            <v>2190.98</v>
          </cell>
          <cell r="BA4">
            <v>14</v>
          </cell>
          <cell r="BB4">
            <v>228.48</v>
          </cell>
          <cell r="BC4">
            <v>0</v>
          </cell>
          <cell r="BD4">
            <v>57.12</v>
          </cell>
          <cell r="BM4">
            <v>196.02</v>
          </cell>
          <cell r="BN4">
            <v>0</v>
          </cell>
          <cell r="BO4">
            <v>371.37</v>
          </cell>
          <cell r="BP4">
            <v>0</v>
          </cell>
          <cell r="BQ4">
            <v>0</v>
          </cell>
          <cell r="BR4">
            <v>0</v>
          </cell>
          <cell r="BS4">
            <v>0</v>
          </cell>
          <cell r="BT4">
            <v>0</v>
          </cell>
          <cell r="BU4">
            <v>0</v>
          </cell>
          <cell r="BV4">
            <v>0</v>
          </cell>
          <cell r="BW4">
            <v>0</v>
          </cell>
          <cell r="BX4">
            <v>0</v>
          </cell>
          <cell r="BY4">
            <v>0</v>
          </cell>
          <cell r="BZ4">
            <v>28</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228.1</v>
          </cell>
          <cell r="CP4">
            <v>0</v>
          </cell>
          <cell r="CQ4">
            <v>0</v>
          </cell>
          <cell r="CR4">
            <v>0</v>
          </cell>
          <cell r="CS4">
            <v>0</v>
          </cell>
          <cell r="CT4">
            <v>0</v>
          </cell>
          <cell r="CU4">
            <v>2419.08</v>
          </cell>
          <cell r="CV4">
            <v>39.25</v>
          </cell>
          <cell r="DR4">
            <v>0</v>
          </cell>
          <cell r="DS4">
            <v>0</v>
          </cell>
          <cell r="DT4">
            <v>0</v>
          </cell>
          <cell r="DU4" t="str">
            <v>1</v>
          </cell>
          <cell r="DV4">
            <v>22</v>
          </cell>
          <cell r="DW4">
            <v>0</v>
          </cell>
          <cell r="DX4">
            <v>0</v>
          </cell>
          <cell r="DY4">
            <v>0</v>
          </cell>
          <cell r="DZ4" t="str">
            <v>1</v>
          </cell>
          <cell r="EA4">
            <v>0</v>
          </cell>
          <cell r="ED4">
            <v>23550</v>
          </cell>
          <cell r="EE4" t="str">
            <v>1</v>
          </cell>
          <cell r="EF4">
            <v>228.48</v>
          </cell>
          <cell r="EG4" t="str">
            <v>1</v>
          </cell>
          <cell r="EH4" t="str">
            <v>Norman           JA Ms</v>
          </cell>
          <cell r="EI4">
            <v>4808</v>
          </cell>
          <cell r="EK4">
            <v>0</v>
          </cell>
        </row>
        <row r="5">
          <cell r="I5" t="str">
            <v>Gilbert          AS Mr</v>
          </cell>
          <cell r="J5">
            <v>1050</v>
          </cell>
          <cell r="K5">
            <v>10</v>
          </cell>
          <cell r="L5">
            <v>2110.83</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43.88</v>
          </cell>
          <cell r="AS5">
            <v>0</v>
          </cell>
          <cell r="AT5">
            <v>0</v>
          </cell>
          <cell r="AU5">
            <v>0</v>
          </cell>
          <cell r="AV5">
            <v>0</v>
          </cell>
          <cell r="AW5">
            <v>0</v>
          </cell>
          <cell r="AX5">
            <v>0</v>
          </cell>
          <cell r="AY5">
            <v>0</v>
          </cell>
          <cell r="AZ5">
            <v>2154.71</v>
          </cell>
          <cell r="BA5">
            <v>2.5</v>
          </cell>
          <cell r="BB5">
            <v>43.88</v>
          </cell>
          <cell r="BC5">
            <v>0</v>
          </cell>
          <cell r="BD5">
            <v>10.97</v>
          </cell>
          <cell r="BM5">
            <v>192.06</v>
          </cell>
          <cell r="BN5">
            <v>0</v>
          </cell>
          <cell r="BO5">
            <v>363.45</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223.49</v>
          </cell>
          <cell r="CP5">
            <v>0</v>
          </cell>
          <cell r="CQ5">
            <v>0</v>
          </cell>
          <cell r="CR5">
            <v>0</v>
          </cell>
          <cell r="CS5">
            <v>0</v>
          </cell>
          <cell r="CT5">
            <v>0</v>
          </cell>
          <cell r="CU5">
            <v>2589.2800000000002</v>
          </cell>
          <cell r="CV5">
            <v>0</v>
          </cell>
          <cell r="CW5">
            <v>0</v>
          </cell>
          <cell r="CX5">
            <v>0</v>
          </cell>
          <cell r="CY5">
            <v>82.32</v>
          </cell>
          <cell r="CZ5">
            <v>211.08</v>
          </cell>
          <cell r="DA5">
            <v>0</v>
          </cell>
          <cell r="DB5">
            <v>0</v>
          </cell>
          <cell r="DC5">
            <v>0</v>
          </cell>
          <cell r="DD5">
            <v>0</v>
          </cell>
          <cell r="DE5">
            <v>0</v>
          </cell>
          <cell r="DF5">
            <v>0</v>
          </cell>
          <cell r="DG5">
            <v>29.11</v>
          </cell>
          <cell r="DR5">
            <v>0</v>
          </cell>
          <cell r="DS5">
            <v>0</v>
          </cell>
          <cell r="DT5">
            <v>0</v>
          </cell>
          <cell r="DU5">
            <v>0</v>
          </cell>
          <cell r="DW5">
            <v>0</v>
          </cell>
          <cell r="DX5" t="str">
            <v>1</v>
          </cell>
          <cell r="DY5">
            <v>0</v>
          </cell>
          <cell r="DZ5">
            <v>0</v>
          </cell>
          <cell r="EA5">
            <v>0</v>
          </cell>
          <cell r="ED5">
            <v>25329.96</v>
          </cell>
          <cell r="EE5" t="str">
            <v>1</v>
          </cell>
          <cell r="EF5">
            <v>43.88</v>
          </cell>
          <cell r="EG5" t="str">
            <v>1</v>
          </cell>
          <cell r="EH5" t="str">
            <v>Gilbert          AS Mr</v>
          </cell>
          <cell r="EI5">
            <v>558</v>
          </cell>
          <cell r="EJ5">
            <v>0</v>
          </cell>
          <cell r="EK5">
            <v>0</v>
          </cell>
        </row>
        <row r="6">
          <cell r="I6" t="str">
            <v>Seaman           R  Mr</v>
          </cell>
          <cell r="J6">
            <v>1050</v>
          </cell>
          <cell r="K6">
            <v>10</v>
          </cell>
          <cell r="L6">
            <v>2858.33</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2858.33</v>
          </cell>
          <cell r="BM6">
            <v>256.7</v>
          </cell>
          <cell r="BN6">
            <v>0</v>
          </cell>
          <cell r="BO6">
            <v>520.52</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313.60000000000002</v>
          </cell>
          <cell r="CP6">
            <v>0</v>
          </cell>
          <cell r="CQ6">
            <v>0</v>
          </cell>
          <cell r="CR6">
            <v>0</v>
          </cell>
          <cell r="CS6">
            <v>0</v>
          </cell>
          <cell r="CT6">
            <v>0</v>
          </cell>
          <cell r="CU6">
            <v>3457.76</v>
          </cell>
          <cell r="CV6">
            <v>281.25</v>
          </cell>
          <cell r="CW6">
            <v>0</v>
          </cell>
          <cell r="CX6">
            <v>0</v>
          </cell>
          <cell r="CY6">
            <v>111.47</v>
          </cell>
          <cell r="CZ6">
            <v>285.83</v>
          </cell>
          <cell r="DR6">
            <v>0</v>
          </cell>
          <cell r="DS6">
            <v>0</v>
          </cell>
          <cell r="DT6">
            <v>0</v>
          </cell>
          <cell r="DU6">
            <v>0</v>
          </cell>
          <cell r="DW6">
            <v>0</v>
          </cell>
          <cell r="DX6" t="str">
            <v>1</v>
          </cell>
          <cell r="DY6">
            <v>0</v>
          </cell>
          <cell r="DZ6" t="str">
            <v>1</v>
          </cell>
          <cell r="EA6">
            <v>0</v>
          </cell>
          <cell r="EB6">
            <v>0</v>
          </cell>
          <cell r="ED6">
            <v>34299.96</v>
          </cell>
          <cell r="EE6">
            <v>0</v>
          </cell>
          <cell r="EF6">
            <v>0</v>
          </cell>
          <cell r="EG6">
            <v>0</v>
          </cell>
          <cell r="EH6" t="str">
            <v>Seaman           R  Mr</v>
          </cell>
          <cell r="EI6">
            <v>2178</v>
          </cell>
          <cell r="EJ6">
            <v>-1203.75</v>
          </cell>
          <cell r="EK6">
            <v>0</v>
          </cell>
        </row>
        <row r="7">
          <cell r="I7" t="str">
            <v>Crick            SJ Mr</v>
          </cell>
          <cell r="J7">
            <v>1050</v>
          </cell>
          <cell r="K7">
            <v>10</v>
          </cell>
          <cell r="L7">
            <v>3545.83</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3929.83</v>
          </cell>
          <cell r="BA7">
            <v>0</v>
          </cell>
          <cell r="BB7">
            <v>0</v>
          </cell>
          <cell r="BC7">
            <v>0</v>
          </cell>
          <cell r="BD7">
            <v>0</v>
          </cell>
          <cell r="BE7">
            <v>0</v>
          </cell>
          <cell r="BF7">
            <v>384</v>
          </cell>
          <cell r="BM7">
            <v>267.41000000000003</v>
          </cell>
          <cell r="BN7">
            <v>0</v>
          </cell>
          <cell r="BO7">
            <v>928.3</v>
          </cell>
          <cell r="BP7">
            <v>0</v>
          </cell>
          <cell r="BQ7">
            <v>0</v>
          </cell>
          <cell r="BR7">
            <v>0</v>
          </cell>
          <cell r="BS7">
            <v>0</v>
          </cell>
          <cell r="BT7">
            <v>0</v>
          </cell>
          <cell r="BU7">
            <v>0</v>
          </cell>
          <cell r="BV7">
            <v>0</v>
          </cell>
          <cell r="BW7">
            <v>0</v>
          </cell>
          <cell r="BX7">
            <v>4.33</v>
          </cell>
          <cell r="BY7">
            <v>0</v>
          </cell>
          <cell r="BZ7">
            <v>28</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450.69</v>
          </cell>
          <cell r="CP7">
            <v>0</v>
          </cell>
          <cell r="CQ7">
            <v>0</v>
          </cell>
          <cell r="CR7">
            <v>0</v>
          </cell>
          <cell r="CS7">
            <v>0</v>
          </cell>
          <cell r="CT7">
            <v>0</v>
          </cell>
          <cell r="CU7">
            <v>4735.1000000000004</v>
          </cell>
          <cell r="CV7">
            <v>0</v>
          </cell>
          <cell r="CW7">
            <v>0</v>
          </cell>
          <cell r="CX7">
            <v>0</v>
          </cell>
          <cell r="CY7">
            <v>138.29</v>
          </cell>
          <cell r="CZ7">
            <v>354.58</v>
          </cell>
          <cell r="DR7">
            <v>0</v>
          </cell>
          <cell r="DS7" t="str">
            <v>1</v>
          </cell>
          <cell r="DT7">
            <v>0</v>
          </cell>
          <cell r="DU7" t="str">
            <v>1</v>
          </cell>
          <cell r="DV7">
            <v>22</v>
          </cell>
          <cell r="DW7" t="str">
            <v>1</v>
          </cell>
          <cell r="DX7" t="str">
            <v>1</v>
          </cell>
          <cell r="DY7">
            <v>0</v>
          </cell>
          <cell r="DZ7">
            <v>0</v>
          </cell>
          <cell r="EA7">
            <v>0</v>
          </cell>
          <cell r="EB7">
            <v>0</v>
          </cell>
          <cell r="ED7">
            <v>42549.96</v>
          </cell>
          <cell r="EE7">
            <v>0</v>
          </cell>
          <cell r="EF7">
            <v>0</v>
          </cell>
          <cell r="EG7">
            <v>0</v>
          </cell>
          <cell r="EH7" t="str">
            <v>Crick            SJ Mr</v>
          </cell>
          <cell r="EI7">
            <v>4786</v>
          </cell>
          <cell r="EJ7">
            <v>-1035.4000000000001</v>
          </cell>
          <cell r="EK7">
            <v>0</v>
          </cell>
        </row>
        <row r="8">
          <cell r="I8" t="str">
            <v>Mirpuri          N  Mr</v>
          </cell>
          <cell r="J8">
            <v>3020</v>
          </cell>
          <cell r="K8">
            <v>20</v>
          </cell>
          <cell r="L8">
            <v>10833.33</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11658.33</v>
          </cell>
          <cell r="BA8">
            <v>0</v>
          </cell>
          <cell r="BB8">
            <v>0</v>
          </cell>
          <cell r="BC8">
            <v>0</v>
          </cell>
          <cell r="BD8">
            <v>0</v>
          </cell>
          <cell r="BE8">
            <v>0</v>
          </cell>
          <cell r="BF8">
            <v>825</v>
          </cell>
          <cell r="BM8">
            <v>344.7</v>
          </cell>
          <cell r="BN8">
            <v>0</v>
          </cell>
          <cell r="BO8">
            <v>3488.7</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1440</v>
          </cell>
          <cell r="CP8">
            <v>0</v>
          </cell>
          <cell r="CQ8">
            <v>0</v>
          </cell>
          <cell r="CR8">
            <v>0</v>
          </cell>
          <cell r="CS8">
            <v>0</v>
          </cell>
          <cell r="CT8">
            <v>0</v>
          </cell>
          <cell r="CU8">
            <v>14181.66</v>
          </cell>
          <cell r="CV8">
            <v>0</v>
          </cell>
          <cell r="CW8">
            <v>0</v>
          </cell>
          <cell r="CX8">
            <v>0</v>
          </cell>
          <cell r="CY8">
            <v>0</v>
          </cell>
          <cell r="CZ8">
            <v>0</v>
          </cell>
          <cell r="DA8">
            <v>0</v>
          </cell>
          <cell r="DB8">
            <v>1083.33</v>
          </cell>
          <cell r="DC8">
            <v>1083.33</v>
          </cell>
          <cell r="DR8">
            <v>0</v>
          </cell>
          <cell r="DS8">
            <v>0</v>
          </cell>
          <cell r="DT8">
            <v>0</v>
          </cell>
          <cell r="DU8">
            <v>0</v>
          </cell>
          <cell r="DW8" t="str">
            <v>1</v>
          </cell>
          <cell r="DX8">
            <v>0</v>
          </cell>
          <cell r="DY8" t="str">
            <v>1</v>
          </cell>
          <cell r="DZ8">
            <v>0</v>
          </cell>
          <cell r="EA8" t="str">
            <v>1</v>
          </cell>
          <cell r="EB8">
            <v>0</v>
          </cell>
          <cell r="ED8">
            <v>129999.95999999999</v>
          </cell>
          <cell r="EE8">
            <v>0</v>
          </cell>
          <cell r="EF8">
            <v>0</v>
          </cell>
          <cell r="EG8">
            <v>0</v>
          </cell>
          <cell r="EH8" t="str">
            <v>Mirpuri          N  Mr</v>
          </cell>
          <cell r="EI8">
            <v>4959</v>
          </cell>
          <cell r="EJ8">
            <v>0</v>
          </cell>
          <cell r="EK8">
            <v>0</v>
          </cell>
        </row>
        <row r="9">
          <cell r="I9" t="str">
            <v>Elford           I  Mr</v>
          </cell>
          <cell r="J9">
            <v>3030</v>
          </cell>
          <cell r="K9">
            <v>350</v>
          </cell>
          <cell r="L9">
            <v>2979.16</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2979.16</v>
          </cell>
          <cell r="BM9">
            <v>257.91000000000003</v>
          </cell>
          <cell r="BN9">
            <v>0</v>
          </cell>
          <cell r="BO9">
            <v>544.95000000000005</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329.09</v>
          </cell>
          <cell r="CP9">
            <v>0</v>
          </cell>
          <cell r="CQ9">
            <v>0</v>
          </cell>
          <cell r="CR9">
            <v>0</v>
          </cell>
          <cell r="CS9">
            <v>0</v>
          </cell>
          <cell r="CT9">
            <v>0</v>
          </cell>
          <cell r="CU9">
            <v>3606.17</v>
          </cell>
          <cell r="CV9">
            <v>0</v>
          </cell>
          <cell r="CW9">
            <v>0</v>
          </cell>
          <cell r="CX9">
            <v>0</v>
          </cell>
          <cell r="CY9">
            <v>116.19</v>
          </cell>
          <cell r="CZ9">
            <v>297.92</v>
          </cell>
          <cell r="DR9">
            <v>0</v>
          </cell>
          <cell r="DS9">
            <v>0</v>
          </cell>
          <cell r="DT9">
            <v>0</v>
          </cell>
          <cell r="DU9">
            <v>0</v>
          </cell>
          <cell r="DW9">
            <v>0</v>
          </cell>
          <cell r="DX9" t="str">
            <v>1</v>
          </cell>
          <cell r="DY9">
            <v>0</v>
          </cell>
          <cell r="DZ9">
            <v>0</v>
          </cell>
          <cell r="EA9">
            <v>0</v>
          </cell>
          <cell r="EB9">
            <v>0</v>
          </cell>
          <cell r="ED9">
            <v>35749.919999999998</v>
          </cell>
          <cell r="EE9">
            <v>0</v>
          </cell>
          <cell r="EF9">
            <v>0</v>
          </cell>
          <cell r="EG9">
            <v>0</v>
          </cell>
          <cell r="EH9" t="str">
            <v>Elford           I  Mr</v>
          </cell>
          <cell r="EI9">
            <v>3751</v>
          </cell>
          <cell r="EJ9">
            <v>0</v>
          </cell>
          <cell r="EK9">
            <v>0</v>
          </cell>
        </row>
        <row r="10">
          <cell r="I10" t="str">
            <v>Walker           AJ Mr</v>
          </cell>
          <cell r="J10">
            <v>3030</v>
          </cell>
          <cell r="K10">
            <v>350</v>
          </cell>
          <cell r="L10">
            <v>2812.5</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2812.5</v>
          </cell>
          <cell r="BM10">
            <v>256.24</v>
          </cell>
          <cell r="BN10">
            <v>0</v>
          </cell>
          <cell r="BO10">
            <v>511.73</v>
          </cell>
          <cell r="BP10">
            <v>50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307.72000000000003</v>
          </cell>
          <cell r="CP10">
            <v>0</v>
          </cell>
          <cell r="CQ10">
            <v>0</v>
          </cell>
          <cell r="CR10">
            <v>0</v>
          </cell>
          <cell r="CS10">
            <v>0</v>
          </cell>
          <cell r="CT10">
            <v>0</v>
          </cell>
          <cell r="CU10">
            <v>3401.47</v>
          </cell>
          <cell r="CV10">
            <v>0</v>
          </cell>
          <cell r="CW10">
            <v>0</v>
          </cell>
          <cell r="CX10">
            <v>0</v>
          </cell>
          <cell r="CY10">
            <v>219.38</v>
          </cell>
          <cell r="CZ10">
            <v>281.25</v>
          </cell>
          <cell r="DR10">
            <v>0</v>
          </cell>
          <cell r="DS10">
            <v>0</v>
          </cell>
          <cell r="DT10">
            <v>0</v>
          </cell>
          <cell r="DU10">
            <v>0</v>
          </cell>
          <cell r="DW10">
            <v>0</v>
          </cell>
          <cell r="DX10" t="str">
            <v>1</v>
          </cell>
          <cell r="DY10">
            <v>0</v>
          </cell>
          <cell r="DZ10">
            <v>0</v>
          </cell>
          <cell r="EA10">
            <v>0</v>
          </cell>
          <cell r="EB10">
            <v>0</v>
          </cell>
          <cell r="ED10">
            <v>33750</v>
          </cell>
          <cell r="EE10">
            <v>0</v>
          </cell>
          <cell r="EF10">
            <v>0</v>
          </cell>
          <cell r="EG10">
            <v>0</v>
          </cell>
          <cell r="EH10" t="str">
            <v>Walker           AJ Mr</v>
          </cell>
          <cell r="EI10">
            <v>4636</v>
          </cell>
          <cell r="EJ10">
            <v>0</v>
          </cell>
          <cell r="EK10">
            <v>0</v>
          </cell>
        </row>
        <row r="11">
          <cell r="I11" t="str">
            <v>Gray             AW Mr</v>
          </cell>
          <cell r="J11">
            <v>3040</v>
          </cell>
          <cell r="K11">
            <v>350</v>
          </cell>
          <cell r="L11">
            <v>3333.33</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3333.33</v>
          </cell>
          <cell r="BM11">
            <v>261.45</v>
          </cell>
          <cell r="BN11">
            <v>0</v>
          </cell>
          <cell r="BO11">
            <v>637.1</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374.4</v>
          </cell>
          <cell r="CP11">
            <v>0</v>
          </cell>
          <cell r="CQ11">
            <v>0</v>
          </cell>
          <cell r="CR11">
            <v>0</v>
          </cell>
          <cell r="CS11">
            <v>0</v>
          </cell>
          <cell r="CT11">
            <v>0</v>
          </cell>
          <cell r="CU11">
            <v>4041.06</v>
          </cell>
          <cell r="CV11">
            <v>0</v>
          </cell>
          <cell r="CW11">
            <v>333.33</v>
          </cell>
          <cell r="CX11">
            <v>0</v>
          </cell>
          <cell r="CY11">
            <v>130</v>
          </cell>
          <cell r="CZ11">
            <v>333.33</v>
          </cell>
          <cell r="DR11">
            <v>0</v>
          </cell>
          <cell r="DS11">
            <v>0</v>
          </cell>
          <cell r="DT11">
            <v>0</v>
          </cell>
          <cell r="DU11">
            <v>0</v>
          </cell>
          <cell r="DW11">
            <v>0</v>
          </cell>
          <cell r="DX11" t="str">
            <v>1</v>
          </cell>
          <cell r="DY11">
            <v>0</v>
          </cell>
          <cell r="DZ11">
            <v>0</v>
          </cell>
          <cell r="EA11">
            <v>0</v>
          </cell>
          <cell r="EB11">
            <v>0</v>
          </cell>
          <cell r="ED11">
            <v>39999.96</v>
          </cell>
          <cell r="EE11">
            <v>0</v>
          </cell>
          <cell r="EF11">
            <v>0</v>
          </cell>
          <cell r="EG11">
            <v>0</v>
          </cell>
          <cell r="EH11" t="str">
            <v>Gray             AW Mr</v>
          </cell>
          <cell r="EI11">
            <v>1767</v>
          </cell>
          <cell r="EJ11">
            <v>0</v>
          </cell>
          <cell r="EK11">
            <v>0</v>
          </cell>
        </row>
        <row r="12">
          <cell r="I12" t="str">
            <v>Callus           M  Mr</v>
          </cell>
          <cell r="J12">
            <v>3040</v>
          </cell>
          <cell r="K12">
            <v>350</v>
          </cell>
          <cell r="L12">
            <v>2312.5</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230.77</v>
          </cell>
          <cell r="AS12">
            <v>0</v>
          </cell>
          <cell r="AT12">
            <v>0</v>
          </cell>
          <cell r="AU12">
            <v>0</v>
          </cell>
          <cell r="AV12">
            <v>0</v>
          </cell>
          <cell r="AW12">
            <v>0</v>
          </cell>
          <cell r="AX12">
            <v>0</v>
          </cell>
          <cell r="AY12">
            <v>0</v>
          </cell>
          <cell r="AZ12">
            <v>2543.27</v>
          </cell>
          <cell r="BA12">
            <v>12</v>
          </cell>
          <cell r="BB12">
            <v>230.77</v>
          </cell>
          <cell r="BC12">
            <v>0</v>
          </cell>
          <cell r="BD12">
            <v>57.69</v>
          </cell>
          <cell r="BM12">
            <v>234.74</v>
          </cell>
          <cell r="BN12">
            <v>0</v>
          </cell>
          <cell r="BO12">
            <v>353.1</v>
          </cell>
          <cell r="BP12">
            <v>0</v>
          </cell>
          <cell r="BQ12">
            <v>0</v>
          </cell>
          <cell r="BR12">
            <v>0</v>
          </cell>
          <cell r="BS12">
            <v>0</v>
          </cell>
          <cell r="BT12">
            <v>0</v>
          </cell>
          <cell r="BU12">
            <v>0</v>
          </cell>
          <cell r="BV12">
            <v>29.44</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273.14999999999998</v>
          </cell>
          <cell r="CP12">
            <v>0</v>
          </cell>
          <cell r="CQ12">
            <v>0</v>
          </cell>
          <cell r="CR12">
            <v>0</v>
          </cell>
          <cell r="CS12">
            <v>0</v>
          </cell>
          <cell r="CT12">
            <v>0</v>
          </cell>
          <cell r="CU12">
            <v>3047.67</v>
          </cell>
          <cell r="CV12">
            <v>226.66</v>
          </cell>
          <cell r="CW12">
            <v>0</v>
          </cell>
          <cell r="CX12">
            <v>0</v>
          </cell>
          <cell r="CY12">
            <v>90.19</v>
          </cell>
          <cell r="CZ12">
            <v>231.25</v>
          </cell>
          <cell r="DR12" t="str">
            <v>1</v>
          </cell>
          <cell r="DS12">
            <v>0</v>
          </cell>
          <cell r="DT12">
            <v>0</v>
          </cell>
          <cell r="DU12">
            <v>0</v>
          </cell>
          <cell r="DW12">
            <v>0</v>
          </cell>
          <cell r="DX12" t="str">
            <v>1</v>
          </cell>
          <cell r="DY12">
            <v>0</v>
          </cell>
          <cell r="DZ12" t="str">
            <v>1</v>
          </cell>
          <cell r="EA12">
            <v>0</v>
          </cell>
          <cell r="EB12">
            <v>0</v>
          </cell>
          <cell r="ED12">
            <v>27750</v>
          </cell>
          <cell r="EE12" t="str">
            <v>1</v>
          </cell>
          <cell r="EF12">
            <v>230.77</v>
          </cell>
          <cell r="EG12" t="str">
            <v>1</v>
          </cell>
          <cell r="EH12" t="str">
            <v>Callus           M  Mr</v>
          </cell>
          <cell r="EI12">
            <v>2186</v>
          </cell>
          <cell r="EJ12">
            <v>0</v>
          </cell>
          <cell r="EK12">
            <v>0</v>
          </cell>
        </row>
        <row r="13">
          <cell r="I13" t="str">
            <v>Hall             A  Mr</v>
          </cell>
          <cell r="J13">
            <v>3040</v>
          </cell>
          <cell r="K13">
            <v>350</v>
          </cell>
          <cell r="L13">
            <v>2312.5</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230.77</v>
          </cell>
          <cell r="AS13">
            <v>0</v>
          </cell>
          <cell r="AT13">
            <v>0</v>
          </cell>
          <cell r="AU13">
            <v>0</v>
          </cell>
          <cell r="AV13">
            <v>0</v>
          </cell>
          <cell r="AW13">
            <v>0</v>
          </cell>
          <cell r="AX13">
            <v>0</v>
          </cell>
          <cell r="AY13">
            <v>0</v>
          </cell>
          <cell r="AZ13">
            <v>2543.27</v>
          </cell>
          <cell r="BA13">
            <v>12</v>
          </cell>
          <cell r="BB13">
            <v>230.77</v>
          </cell>
          <cell r="BC13">
            <v>0</v>
          </cell>
          <cell r="BD13">
            <v>57.69</v>
          </cell>
          <cell r="BM13">
            <v>234.74</v>
          </cell>
          <cell r="BN13">
            <v>0</v>
          </cell>
          <cell r="BO13">
            <v>347.1</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273.14999999999998</v>
          </cell>
          <cell r="CP13">
            <v>0</v>
          </cell>
          <cell r="CQ13">
            <v>0</v>
          </cell>
          <cell r="CR13">
            <v>0</v>
          </cell>
          <cell r="CS13">
            <v>0</v>
          </cell>
          <cell r="CT13">
            <v>0</v>
          </cell>
          <cell r="CU13">
            <v>3047.67</v>
          </cell>
          <cell r="CV13">
            <v>9.16</v>
          </cell>
          <cell r="CW13">
            <v>231.25</v>
          </cell>
          <cell r="CX13">
            <v>0</v>
          </cell>
          <cell r="CY13">
            <v>90.19</v>
          </cell>
          <cell r="CZ13">
            <v>231.25</v>
          </cell>
          <cell r="DR13">
            <v>0</v>
          </cell>
          <cell r="DS13">
            <v>0</v>
          </cell>
          <cell r="DT13">
            <v>0</v>
          </cell>
          <cell r="DU13">
            <v>0</v>
          </cell>
          <cell r="DW13">
            <v>0</v>
          </cell>
          <cell r="DX13" t="str">
            <v>1</v>
          </cell>
          <cell r="DY13">
            <v>0</v>
          </cell>
          <cell r="DZ13" t="str">
            <v>1</v>
          </cell>
          <cell r="EA13">
            <v>0</v>
          </cell>
          <cell r="EB13">
            <v>0</v>
          </cell>
          <cell r="ED13">
            <v>27750</v>
          </cell>
          <cell r="EE13" t="str">
            <v>1</v>
          </cell>
          <cell r="EF13">
            <v>230.77</v>
          </cell>
          <cell r="EG13" t="str">
            <v>1</v>
          </cell>
          <cell r="EH13" t="str">
            <v>Hall             A  Mr</v>
          </cell>
          <cell r="EI13">
            <v>4442</v>
          </cell>
          <cell r="EJ13">
            <v>0</v>
          </cell>
          <cell r="EK13">
            <v>0</v>
          </cell>
        </row>
        <row r="14">
          <cell r="I14" t="str">
            <v>Jones            LT Mr</v>
          </cell>
          <cell r="J14">
            <v>3040</v>
          </cell>
          <cell r="K14">
            <v>350</v>
          </cell>
          <cell r="L14">
            <v>2383.33</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2383.33</v>
          </cell>
          <cell r="BM14">
            <v>217.14</v>
          </cell>
          <cell r="BN14">
            <v>0</v>
          </cell>
          <cell r="BO14">
            <v>415.59</v>
          </cell>
          <cell r="BP14">
            <v>0</v>
          </cell>
          <cell r="BQ14">
            <v>0</v>
          </cell>
          <cell r="BR14">
            <v>0</v>
          </cell>
          <cell r="BS14">
            <v>0</v>
          </cell>
          <cell r="BT14">
            <v>0</v>
          </cell>
          <cell r="BU14">
            <v>0</v>
          </cell>
          <cell r="BV14">
            <v>14.72</v>
          </cell>
          <cell r="BW14">
            <v>0</v>
          </cell>
          <cell r="BX14">
            <v>0</v>
          </cell>
          <cell r="BY14">
            <v>0</v>
          </cell>
          <cell r="BZ14">
            <v>22</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252.67</v>
          </cell>
          <cell r="CP14">
            <v>0</v>
          </cell>
          <cell r="CQ14">
            <v>0</v>
          </cell>
          <cell r="CR14">
            <v>0</v>
          </cell>
          <cell r="CS14">
            <v>0</v>
          </cell>
          <cell r="CT14">
            <v>0</v>
          </cell>
          <cell r="CU14">
            <v>2874.33</v>
          </cell>
          <cell r="CV14">
            <v>233.58</v>
          </cell>
          <cell r="CW14">
            <v>0</v>
          </cell>
          <cell r="CX14">
            <v>0</v>
          </cell>
          <cell r="CY14">
            <v>185.9</v>
          </cell>
          <cell r="CZ14">
            <v>238.33</v>
          </cell>
          <cell r="DR14" t="str">
            <v>1</v>
          </cell>
          <cell r="DS14">
            <v>0</v>
          </cell>
          <cell r="DT14">
            <v>0</v>
          </cell>
          <cell r="DU14" t="str">
            <v>1</v>
          </cell>
          <cell r="DV14">
            <v>22</v>
          </cell>
          <cell r="DW14">
            <v>0</v>
          </cell>
          <cell r="DX14" t="str">
            <v>1</v>
          </cell>
          <cell r="DY14">
            <v>0</v>
          </cell>
          <cell r="DZ14" t="str">
            <v>1</v>
          </cell>
          <cell r="EA14">
            <v>0</v>
          </cell>
          <cell r="EB14">
            <v>0</v>
          </cell>
          <cell r="ED14">
            <v>28599.96</v>
          </cell>
          <cell r="EE14" t="str">
            <v>1</v>
          </cell>
          <cell r="EF14">
            <v>0</v>
          </cell>
          <cell r="EG14">
            <v>0</v>
          </cell>
          <cell r="EH14" t="str">
            <v>Jones            LT Mr</v>
          </cell>
          <cell r="EI14">
            <v>4501</v>
          </cell>
          <cell r="EJ14">
            <v>-1029.1500000000001</v>
          </cell>
          <cell r="EK14">
            <v>0</v>
          </cell>
        </row>
        <row r="15">
          <cell r="I15" t="str">
            <v>Godfrey          E  Mr</v>
          </cell>
          <cell r="J15">
            <v>3040</v>
          </cell>
          <cell r="K15">
            <v>350</v>
          </cell>
          <cell r="L15">
            <v>2383.33</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346.85</v>
          </cell>
          <cell r="AS15">
            <v>0</v>
          </cell>
          <cell r="AT15">
            <v>0</v>
          </cell>
          <cell r="AU15">
            <v>0</v>
          </cell>
          <cell r="AV15">
            <v>0</v>
          </cell>
          <cell r="AW15">
            <v>0</v>
          </cell>
          <cell r="AX15">
            <v>0</v>
          </cell>
          <cell r="AY15">
            <v>0</v>
          </cell>
          <cell r="AZ15">
            <v>2730.18</v>
          </cell>
          <cell r="BA15">
            <v>17.5</v>
          </cell>
          <cell r="BB15">
            <v>346.85</v>
          </cell>
          <cell r="BC15">
            <v>0</v>
          </cell>
          <cell r="BD15">
            <v>86.71</v>
          </cell>
          <cell r="BM15">
            <v>255.42</v>
          </cell>
          <cell r="BN15">
            <v>0</v>
          </cell>
          <cell r="BO15">
            <v>493.69</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297.22000000000003</v>
          </cell>
          <cell r="CP15">
            <v>0</v>
          </cell>
          <cell r="CQ15">
            <v>0</v>
          </cell>
          <cell r="CR15">
            <v>0</v>
          </cell>
          <cell r="CS15">
            <v>0</v>
          </cell>
          <cell r="CT15">
            <v>0</v>
          </cell>
          <cell r="CU15">
            <v>3265.73</v>
          </cell>
          <cell r="CV15">
            <v>0</v>
          </cell>
          <cell r="CW15">
            <v>0</v>
          </cell>
          <cell r="CX15">
            <v>0</v>
          </cell>
          <cell r="CY15">
            <v>92.95</v>
          </cell>
          <cell r="CZ15">
            <v>238.33</v>
          </cell>
          <cell r="DR15">
            <v>0</v>
          </cell>
          <cell r="DS15">
            <v>0</v>
          </cell>
          <cell r="DT15">
            <v>0</v>
          </cell>
          <cell r="DU15">
            <v>0</v>
          </cell>
          <cell r="DW15">
            <v>0</v>
          </cell>
          <cell r="DX15" t="str">
            <v>1</v>
          </cell>
          <cell r="DY15">
            <v>0</v>
          </cell>
          <cell r="DZ15">
            <v>0</v>
          </cell>
          <cell r="EA15">
            <v>0</v>
          </cell>
          <cell r="EB15">
            <v>0</v>
          </cell>
          <cell r="ED15">
            <v>28599.96</v>
          </cell>
          <cell r="EE15" t="str">
            <v>1</v>
          </cell>
          <cell r="EF15">
            <v>346.85</v>
          </cell>
          <cell r="EG15" t="str">
            <v>1</v>
          </cell>
          <cell r="EH15" t="str">
            <v>Godfrey          E  Mr</v>
          </cell>
          <cell r="EI15">
            <v>4541</v>
          </cell>
          <cell r="EJ15">
            <v>-1537.5</v>
          </cell>
          <cell r="EK15">
            <v>0</v>
          </cell>
        </row>
        <row r="16">
          <cell r="I16" t="str">
            <v>Doggett          PG Mr</v>
          </cell>
          <cell r="J16">
            <v>3040</v>
          </cell>
          <cell r="K16">
            <v>350</v>
          </cell>
          <cell r="L16">
            <v>2291.66</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409.73</v>
          </cell>
          <cell r="AS16">
            <v>0</v>
          </cell>
          <cell r="AT16">
            <v>0</v>
          </cell>
          <cell r="AU16">
            <v>0</v>
          </cell>
          <cell r="AV16">
            <v>0</v>
          </cell>
          <cell r="AW16">
            <v>0</v>
          </cell>
          <cell r="AX16">
            <v>0</v>
          </cell>
          <cell r="AY16">
            <v>0</v>
          </cell>
          <cell r="AZ16">
            <v>2701.39</v>
          </cell>
          <cell r="BA16">
            <v>21.5</v>
          </cell>
          <cell r="BB16">
            <v>409.73</v>
          </cell>
          <cell r="BC16">
            <v>0</v>
          </cell>
          <cell r="BD16">
            <v>102.43</v>
          </cell>
          <cell r="BM16">
            <v>252.34</v>
          </cell>
          <cell r="BN16">
            <v>0</v>
          </cell>
          <cell r="BO16">
            <v>517.5</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293.63</v>
          </cell>
          <cell r="CP16">
            <v>0</v>
          </cell>
          <cell r="CQ16">
            <v>0</v>
          </cell>
          <cell r="CR16">
            <v>0</v>
          </cell>
          <cell r="CS16">
            <v>0</v>
          </cell>
          <cell r="CT16">
            <v>0</v>
          </cell>
          <cell r="CU16">
            <v>3224.19</v>
          </cell>
          <cell r="CV16">
            <v>0</v>
          </cell>
          <cell r="CW16">
            <v>229.17</v>
          </cell>
          <cell r="CX16">
            <v>0</v>
          </cell>
          <cell r="CY16">
            <v>178.75</v>
          </cell>
          <cell r="CZ16">
            <v>229.17</v>
          </cell>
          <cell r="DR16">
            <v>0</v>
          </cell>
          <cell r="DS16">
            <v>0</v>
          </cell>
          <cell r="DT16">
            <v>0</v>
          </cell>
          <cell r="DU16">
            <v>0</v>
          </cell>
          <cell r="DW16">
            <v>0</v>
          </cell>
          <cell r="DX16" t="str">
            <v>1</v>
          </cell>
          <cell r="DY16">
            <v>0</v>
          </cell>
          <cell r="DZ16">
            <v>0</v>
          </cell>
          <cell r="EA16">
            <v>0</v>
          </cell>
          <cell r="EB16">
            <v>0</v>
          </cell>
          <cell r="ED16">
            <v>27499.919999999998</v>
          </cell>
          <cell r="EE16" t="str">
            <v>1</v>
          </cell>
          <cell r="EF16">
            <v>409.73</v>
          </cell>
          <cell r="EG16" t="str">
            <v>1</v>
          </cell>
          <cell r="EH16" t="str">
            <v>Doggett          PG Mr</v>
          </cell>
          <cell r="EI16">
            <v>4603</v>
          </cell>
          <cell r="EJ16">
            <v>-1133.3</v>
          </cell>
          <cell r="EK16">
            <v>0</v>
          </cell>
        </row>
        <row r="17">
          <cell r="I17" t="str">
            <v>Currie           AD Mr</v>
          </cell>
          <cell r="J17">
            <v>3040</v>
          </cell>
          <cell r="K17">
            <v>350</v>
          </cell>
          <cell r="L17">
            <v>2312.5</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269.23</v>
          </cell>
          <cell r="AS17">
            <v>0</v>
          </cell>
          <cell r="AT17">
            <v>0</v>
          </cell>
          <cell r="AU17">
            <v>0</v>
          </cell>
          <cell r="AV17">
            <v>0</v>
          </cell>
          <cell r="AW17">
            <v>0</v>
          </cell>
          <cell r="AX17">
            <v>0</v>
          </cell>
          <cell r="AY17">
            <v>0</v>
          </cell>
          <cell r="AZ17">
            <v>2581.73</v>
          </cell>
          <cell r="BA17">
            <v>14</v>
          </cell>
          <cell r="BB17">
            <v>269.23</v>
          </cell>
          <cell r="BC17">
            <v>0</v>
          </cell>
          <cell r="BD17">
            <v>67.31</v>
          </cell>
          <cell r="BM17">
            <v>239.14</v>
          </cell>
          <cell r="BN17">
            <v>0</v>
          </cell>
          <cell r="BO17">
            <v>517.45000000000005</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278.27</v>
          </cell>
          <cell r="CP17">
            <v>0</v>
          </cell>
          <cell r="CQ17">
            <v>0</v>
          </cell>
          <cell r="CR17">
            <v>0</v>
          </cell>
          <cell r="CS17">
            <v>0</v>
          </cell>
          <cell r="CT17">
            <v>0</v>
          </cell>
          <cell r="CU17">
            <v>3091.25</v>
          </cell>
          <cell r="CV17">
            <v>0</v>
          </cell>
          <cell r="CW17">
            <v>231.25</v>
          </cell>
          <cell r="CX17">
            <v>0</v>
          </cell>
          <cell r="CY17">
            <v>450.94</v>
          </cell>
          <cell r="CZ17">
            <v>231.25</v>
          </cell>
          <cell r="DA17">
            <v>0</v>
          </cell>
          <cell r="DB17">
            <v>0</v>
          </cell>
          <cell r="DC17">
            <v>0</v>
          </cell>
          <cell r="DD17">
            <v>0</v>
          </cell>
          <cell r="DE17">
            <v>0</v>
          </cell>
          <cell r="DF17">
            <v>0</v>
          </cell>
          <cell r="DG17">
            <v>29.11</v>
          </cell>
          <cell r="DR17">
            <v>0</v>
          </cell>
          <cell r="DS17">
            <v>0</v>
          </cell>
          <cell r="DT17">
            <v>0</v>
          </cell>
          <cell r="DU17">
            <v>0</v>
          </cell>
          <cell r="DW17">
            <v>0</v>
          </cell>
          <cell r="DX17" t="str">
            <v>1</v>
          </cell>
          <cell r="DY17">
            <v>0</v>
          </cell>
          <cell r="DZ17">
            <v>0</v>
          </cell>
          <cell r="EA17">
            <v>0</v>
          </cell>
          <cell r="EB17">
            <v>0</v>
          </cell>
          <cell r="ED17">
            <v>27750</v>
          </cell>
          <cell r="EE17" t="str">
            <v>1</v>
          </cell>
          <cell r="EF17">
            <v>269.23</v>
          </cell>
          <cell r="EG17" t="str">
            <v>1</v>
          </cell>
          <cell r="EH17" t="str">
            <v>Currie           AD Mr</v>
          </cell>
          <cell r="EI17">
            <v>4712</v>
          </cell>
          <cell r="EJ17">
            <v>0</v>
          </cell>
          <cell r="EK17">
            <v>0</v>
          </cell>
        </row>
        <row r="18">
          <cell r="I18" t="str">
            <v>Wooldridge       SE Mr</v>
          </cell>
          <cell r="J18">
            <v>3050</v>
          </cell>
          <cell r="K18">
            <v>20</v>
          </cell>
          <cell r="L18">
            <v>2074</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1103.83</v>
          </cell>
          <cell r="AS18">
            <v>0</v>
          </cell>
          <cell r="AT18">
            <v>0</v>
          </cell>
          <cell r="AU18">
            <v>0</v>
          </cell>
          <cell r="AV18">
            <v>0</v>
          </cell>
          <cell r="AW18">
            <v>0</v>
          </cell>
          <cell r="AX18">
            <v>0</v>
          </cell>
          <cell r="AY18">
            <v>0</v>
          </cell>
          <cell r="AZ18">
            <v>3177.83</v>
          </cell>
          <cell r="BA18">
            <v>64</v>
          </cell>
          <cell r="BB18">
            <v>1103.83</v>
          </cell>
          <cell r="BC18">
            <v>0</v>
          </cell>
          <cell r="BD18">
            <v>275.95999999999998</v>
          </cell>
          <cell r="BM18">
            <v>259.89</v>
          </cell>
          <cell r="BN18">
            <v>0</v>
          </cell>
          <cell r="BO18">
            <v>711.9</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354.44</v>
          </cell>
          <cell r="CP18">
            <v>0</v>
          </cell>
          <cell r="CQ18">
            <v>0</v>
          </cell>
          <cell r="CR18">
            <v>0</v>
          </cell>
          <cell r="CS18">
            <v>0</v>
          </cell>
          <cell r="CT18">
            <v>0</v>
          </cell>
          <cell r="CU18">
            <v>3739.67</v>
          </cell>
          <cell r="CV18">
            <v>0</v>
          </cell>
          <cell r="CW18">
            <v>0</v>
          </cell>
          <cell r="CX18">
            <v>0</v>
          </cell>
          <cell r="CY18">
            <v>161.77000000000001</v>
          </cell>
          <cell r="CZ18">
            <v>207.4</v>
          </cell>
          <cell r="DR18">
            <v>0</v>
          </cell>
          <cell r="DS18">
            <v>0</v>
          </cell>
          <cell r="DT18">
            <v>0</v>
          </cell>
          <cell r="DU18">
            <v>0</v>
          </cell>
          <cell r="DW18">
            <v>0</v>
          </cell>
          <cell r="DX18" t="str">
            <v>1</v>
          </cell>
          <cell r="DY18">
            <v>0</v>
          </cell>
          <cell r="DZ18">
            <v>0</v>
          </cell>
          <cell r="EA18">
            <v>0</v>
          </cell>
          <cell r="EB18">
            <v>0</v>
          </cell>
          <cell r="ED18">
            <v>24888</v>
          </cell>
          <cell r="EE18" t="str">
            <v>1</v>
          </cell>
          <cell r="EF18">
            <v>1103.83</v>
          </cell>
          <cell r="EG18" t="str">
            <v>1</v>
          </cell>
          <cell r="EH18" t="str">
            <v>Wooldridge       SE Mr</v>
          </cell>
          <cell r="EI18">
            <v>1740</v>
          </cell>
          <cell r="EJ18">
            <v>-1133.3499999999999</v>
          </cell>
          <cell r="EK18">
            <v>0</v>
          </cell>
        </row>
        <row r="19">
          <cell r="I19" t="str">
            <v>Kaca             L  Mrs</v>
          </cell>
          <cell r="J19">
            <v>3050</v>
          </cell>
          <cell r="K19">
            <v>20</v>
          </cell>
          <cell r="L19">
            <v>3850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4500</v>
          </cell>
          <cell r="BA19">
            <v>0</v>
          </cell>
          <cell r="BB19">
            <v>0</v>
          </cell>
          <cell r="BC19">
            <v>0</v>
          </cell>
          <cell r="BD19">
            <v>0</v>
          </cell>
          <cell r="BE19">
            <v>0</v>
          </cell>
          <cell r="BF19">
            <v>650</v>
          </cell>
          <cell r="BM19">
            <v>273.12</v>
          </cell>
          <cell r="BN19">
            <v>0</v>
          </cell>
          <cell r="BO19">
            <v>1129.5</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523.78</v>
          </cell>
          <cell r="CP19">
            <v>0</v>
          </cell>
          <cell r="CQ19">
            <v>0</v>
          </cell>
          <cell r="CR19">
            <v>0</v>
          </cell>
          <cell r="CS19">
            <v>0</v>
          </cell>
          <cell r="CT19">
            <v>0</v>
          </cell>
          <cell r="CU19">
            <v>5408.78</v>
          </cell>
          <cell r="CV19">
            <v>0</v>
          </cell>
          <cell r="CW19">
            <v>0</v>
          </cell>
          <cell r="CX19">
            <v>0</v>
          </cell>
          <cell r="CY19">
            <v>150.15</v>
          </cell>
          <cell r="CZ19">
            <v>385</v>
          </cell>
          <cell r="DR19">
            <v>0</v>
          </cell>
          <cell r="DS19">
            <v>0</v>
          </cell>
          <cell r="DT19">
            <v>0</v>
          </cell>
          <cell r="DU19">
            <v>0</v>
          </cell>
          <cell r="DW19" t="str">
            <v>1</v>
          </cell>
          <cell r="DX19" t="str">
            <v>1</v>
          </cell>
          <cell r="DY19">
            <v>0</v>
          </cell>
          <cell r="DZ19">
            <v>0</v>
          </cell>
          <cell r="EA19">
            <v>0</v>
          </cell>
          <cell r="EB19">
            <v>0</v>
          </cell>
          <cell r="ED19">
            <v>46200</v>
          </cell>
          <cell r="EE19">
            <v>0</v>
          </cell>
          <cell r="EF19">
            <v>0</v>
          </cell>
          <cell r="EG19">
            <v>0</v>
          </cell>
          <cell r="EH19" t="str">
            <v>Kaca             L  Mrs</v>
          </cell>
          <cell r="EI19">
            <v>3211</v>
          </cell>
          <cell r="EJ19">
            <v>-1167.9000000000001</v>
          </cell>
          <cell r="EK19">
            <v>0</v>
          </cell>
        </row>
        <row r="20">
          <cell r="I20" t="str">
            <v>Lindsay          C  Mr</v>
          </cell>
          <cell r="J20">
            <v>3050</v>
          </cell>
          <cell r="K20">
            <v>20</v>
          </cell>
          <cell r="L20">
            <v>2916.66</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3566.66</v>
          </cell>
          <cell r="BA20">
            <v>0</v>
          </cell>
          <cell r="BB20">
            <v>0</v>
          </cell>
          <cell r="BC20">
            <v>0</v>
          </cell>
          <cell r="BD20">
            <v>0</v>
          </cell>
          <cell r="BE20">
            <v>0</v>
          </cell>
          <cell r="BF20">
            <v>650</v>
          </cell>
          <cell r="BM20">
            <v>263.77999999999997</v>
          </cell>
          <cell r="BN20">
            <v>0</v>
          </cell>
          <cell r="BO20">
            <v>649.9</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404.23</v>
          </cell>
          <cell r="CP20">
            <v>0</v>
          </cell>
          <cell r="CQ20">
            <v>0</v>
          </cell>
          <cell r="CR20">
            <v>0</v>
          </cell>
          <cell r="CS20">
            <v>0</v>
          </cell>
          <cell r="CT20">
            <v>0</v>
          </cell>
          <cell r="CU20">
            <v>4262.5600000000004</v>
          </cell>
          <cell r="CV20">
            <v>262.5</v>
          </cell>
          <cell r="CW20">
            <v>0</v>
          </cell>
          <cell r="CX20">
            <v>0</v>
          </cell>
          <cell r="CY20">
            <v>113.75</v>
          </cell>
          <cell r="CZ20">
            <v>291.67</v>
          </cell>
          <cell r="DR20">
            <v>0</v>
          </cell>
          <cell r="DS20">
            <v>0</v>
          </cell>
          <cell r="DT20">
            <v>0</v>
          </cell>
          <cell r="DU20">
            <v>0</v>
          </cell>
          <cell r="DW20" t="str">
            <v>1</v>
          </cell>
          <cell r="DX20" t="str">
            <v>1</v>
          </cell>
          <cell r="DY20">
            <v>0</v>
          </cell>
          <cell r="DZ20" t="str">
            <v>1</v>
          </cell>
          <cell r="EA20">
            <v>0</v>
          </cell>
          <cell r="EB20">
            <v>0</v>
          </cell>
          <cell r="ED20">
            <v>34999.919999999998</v>
          </cell>
          <cell r="EE20">
            <v>0</v>
          </cell>
          <cell r="EF20">
            <v>0</v>
          </cell>
          <cell r="EG20">
            <v>0</v>
          </cell>
          <cell r="EH20" t="str">
            <v>Lindsay          C  Mr</v>
          </cell>
          <cell r="EI20">
            <v>4478</v>
          </cell>
          <cell r="EJ20">
            <v>0</v>
          </cell>
          <cell r="EK20">
            <v>0</v>
          </cell>
        </row>
        <row r="21">
          <cell r="I21" t="str">
            <v>Ovenden          PA Mr</v>
          </cell>
          <cell r="J21">
            <v>3050</v>
          </cell>
          <cell r="K21">
            <v>20</v>
          </cell>
          <cell r="L21">
            <v>2833.33</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350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3460.23</v>
          </cell>
          <cell r="BA21">
            <v>0</v>
          </cell>
          <cell r="BB21">
            <v>0</v>
          </cell>
          <cell r="BC21">
            <v>0</v>
          </cell>
          <cell r="BD21">
            <v>0</v>
          </cell>
          <cell r="BE21">
            <v>0</v>
          </cell>
          <cell r="BF21">
            <v>276.89999999999998</v>
          </cell>
          <cell r="BM21">
            <v>262.72000000000003</v>
          </cell>
          <cell r="BN21">
            <v>0</v>
          </cell>
          <cell r="BO21">
            <v>904.7</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390.66</v>
          </cell>
          <cell r="CP21">
            <v>0</v>
          </cell>
          <cell r="CQ21">
            <v>0</v>
          </cell>
          <cell r="CR21">
            <v>0</v>
          </cell>
          <cell r="CS21">
            <v>0</v>
          </cell>
          <cell r="CT21">
            <v>0</v>
          </cell>
          <cell r="CU21">
            <v>4134.22</v>
          </cell>
          <cell r="CV21">
            <v>0</v>
          </cell>
          <cell r="CW21">
            <v>0</v>
          </cell>
          <cell r="CX21">
            <v>0</v>
          </cell>
          <cell r="CY21">
            <v>110.5</v>
          </cell>
          <cell r="CZ21">
            <v>283.33</v>
          </cell>
          <cell r="DR21">
            <v>0</v>
          </cell>
          <cell r="DS21">
            <v>0</v>
          </cell>
          <cell r="DT21">
            <v>0</v>
          </cell>
          <cell r="DU21">
            <v>0</v>
          </cell>
          <cell r="DW21" t="str">
            <v>1</v>
          </cell>
          <cell r="DX21" t="str">
            <v>1</v>
          </cell>
          <cell r="DY21">
            <v>0</v>
          </cell>
          <cell r="DZ21">
            <v>0</v>
          </cell>
          <cell r="EA21">
            <v>0</v>
          </cell>
          <cell r="EB21">
            <v>0</v>
          </cell>
          <cell r="ED21">
            <v>33999.96</v>
          </cell>
          <cell r="EE21">
            <v>0</v>
          </cell>
          <cell r="EF21">
            <v>350</v>
          </cell>
          <cell r="EG21" t="str">
            <v>1</v>
          </cell>
          <cell r="EH21" t="str">
            <v>Ovenden          PA Mr</v>
          </cell>
          <cell r="EI21">
            <v>4557</v>
          </cell>
          <cell r="EJ21">
            <v>-1116.6500000000001</v>
          </cell>
          <cell r="EK21">
            <v>0</v>
          </cell>
        </row>
        <row r="22">
          <cell r="I22" t="str">
            <v>Shaw             J  Mr</v>
          </cell>
          <cell r="J22">
            <v>3050</v>
          </cell>
          <cell r="K22">
            <v>20</v>
          </cell>
          <cell r="L22">
            <v>3415.08</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3625.08</v>
          </cell>
          <cell r="BA22">
            <v>0</v>
          </cell>
          <cell r="BB22">
            <v>0</v>
          </cell>
          <cell r="BC22">
            <v>0</v>
          </cell>
          <cell r="BD22">
            <v>0</v>
          </cell>
          <cell r="BE22">
            <v>0</v>
          </cell>
          <cell r="BF22">
            <v>210</v>
          </cell>
          <cell r="BM22">
            <v>264.37</v>
          </cell>
          <cell r="BN22">
            <v>0</v>
          </cell>
          <cell r="BO22">
            <v>1091.0999999999999</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411.78</v>
          </cell>
          <cell r="CP22">
            <v>0</v>
          </cell>
          <cell r="CQ22">
            <v>0</v>
          </cell>
          <cell r="CR22">
            <v>0</v>
          </cell>
          <cell r="CS22">
            <v>0</v>
          </cell>
          <cell r="CT22">
            <v>0</v>
          </cell>
          <cell r="CU22">
            <v>4378.37</v>
          </cell>
          <cell r="CV22">
            <v>273.33</v>
          </cell>
          <cell r="CW22">
            <v>0</v>
          </cell>
          <cell r="CX22">
            <v>0</v>
          </cell>
          <cell r="CY22">
            <v>133.19</v>
          </cell>
          <cell r="CZ22">
            <v>341.51</v>
          </cell>
          <cell r="DR22">
            <v>0</v>
          </cell>
          <cell r="DS22">
            <v>0</v>
          </cell>
          <cell r="DT22">
            <v>0</v>
          </cell>
          <cell r="DU22">
            <v>0</v>
          </cell>
          <cell r="DW22" t="str">
            <v>1</v>
          </cell>
          <cell r="DX22" t="str">
            <v>1</v>
          </cell>
          <cell r="DY22">
            <v>0</v>
          </cell>
          <cell r="DZ22" t="str">
            <v>1</v>
          </cell>
          <cell r="EA22">
            <v>0</v>
          </cell>
          <cell r="EB22">
            <v>0</v>
          </cell>
          <cell r="ED22">
            <v>40980.959999999999</v>
          </cell>
          <cell r="EE22">
            <v>0</v>
          </cell>
          <cell r="EF22">
            <v>0</v>
          </cell>
          <cell r="EG22">
            <v>0</v>
          </cell>
          <cell r="EH22" t="str">
            <v>Shaw             J  Mr</v>
          </cell>
          <cell r="EI22">
            <v>4559</v>
          </cell>
          <cell r="EJ22">
            <v>-1083.32</v>
          </cell>
          <cell r="EK22">
            <v>0</v>
          </cell>
        </row>
        <row r="23">
          <cell r="I23" t="str">
            <v>Dolding          GA Mr</v>
          </cell>
          <cell r="J23">
            <v>3050</v>
          </cell>
          <cell r="K23">
            <v>20</v>
          </cell>
          <cell r="L23">
            <v>3333.33</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3333.33</v>
          </cell>
          <cell r="BM23">
            <v>261.45</v>
          </cell>
          <cell r="BN23">
            <v>0</v>
          </cell>
          <cell r="BO23">
            <v>1069.5</v>
          </cell>
          <cell r="BP23">
            <v>0</v>
          </cell>
          <cell r="BQ23">
            <v>0</v>
          </cell>
          <cell r="BR23">
            <v>0</v>
          </cell>
          <cell r="BS23">
            <v>0</v>
          </cell>
          <cell r="BT23">
            <v>0</v>
          </cell>
          <cell r="BU23">
            <v>0</v>
          </cell>
          <cell r="BV23">
            <v>0</v>
          </cell>
          <cell r="BW23">
            <v>0</v>
          </cell>
          <cell r="BX23">
            <v>4.33</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374.4</v>
          </cell>
          <cell r="CP23">
            <v>0</v>
          </cell>
          <cell r="CQ23">
            <v>0</v>
          </cell>
          <cell r="CR23">
            <v>0</v>
          </cell>
          <cell r="CS23">
            <v>0</v>
          </cell>
          <cell r="CT23">
            <v>0</v>
          </cell>
          <cell r="CU23">
            <v>4041.06</v>
          </cell>
          <cell r="CV23">
            <v>0</v>
          </cell>
          <cell r="CW23">
            <v>0</v>
          </cell>
          <cell r="CX23">
            <v>0</v>
          </cell>
          <cell r="CY23">
            <v>130</v>
          </cell>
          <cell r="CZ23">
            <v>333.33</v>
          </cell>
          <cell r="DR23">
            <v>0</v>
          </cell>
          <cell r="DS23" t="str">
            <v>1</v>
          </cell>
          <cell r="DT23">
            <v>0</v>
          </cell>
          <cell r="DU23">
            <v>0</v>
          </cell>
          <cell r="DW23">
            <v>0</v>
          </cell>
          <cell r="DX23" t="str">
            <v>1</v>
          </cell>
          <cell r="DY23">
            <v>0</v>
          </cell>
          <cell r="DZ23">
            <v>0</v>
          </cell>
          <cell r="EA23">
            <v>0</v>
          </cell>
          <cell r="EB23">
            <v>0</v>
          </cell>
          <cell r="ED23">
            <v>39999.96</v>
          </cell>
          <cell r="EE23">
            <v>0</v>
          </cell>
          <cell r="EF23">
            <v>0</v>
          </cell>
          <cell r="EG23">
            <v>0</v>
          </cell>
          <cell r="EH23" t="str">
            <v>Dolding          GA Mr</v>
          </cell>
          <cell r="EI23">
            <v>4609</v>
          </cell>
          <cell r="EJ23">
            <v>0</v>
          </cell>
          <cell r="EK23">
            <v>0</v>
          </cell>
        </row>
        <row r="24">
          <cell r="I24" t="str">
            <v>Bryant           M  Mr</v>
          </cell>
          <cell r="J24">
            <v>3050</v>
          </cell>
          <cell r="K24">
            <v>20</v>
          </cell>
          <cell r="L24">
            <v>3833.33</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175</v>
          </cell>
          <cell r="AM24">
            <v>0</v>
          </cell>
          <cell r="AN24">
            <v>0</v>
          </cell>
          <cell r="AO24">
            <v>0</v>
          </cell>
          <cell r="AP24">
            <v>0</v>
          </cell>
          <cell r="AQ24">
            <v>0</v>
          </cell>
          <cell r="AR24">
            <v>0</v>
          </cell>
          <cell r="AS24">
            <v>0</v>
          </cell>
          <cell r="AT24">
            <v>0</v>
          </cell>
          <cell r="AU24">
            <v>0</v>
          </cell>
          <cell r="AV24">
            <v>0</v>
          </cell>
          <cell r="AW24">
            <v>0</v>
          </cell>
          <cell r="AX24">
            <v>0</v>
          </cell>
          <cell r="AY24">
            <v>0</v>
          </cell>
          <cell r="AZ24">
            <v>4008.33</v>
          </cell>
          <cell r="BM24">
            <v>268.2</v>
          </cell>
          <cell r="BN24">
            <v>0</v>
          </cell>
          <cell r="BO24">
            <v>937.9</v>
          </cell>
          <cell r="BP24">
            <v>0</v>
          </cell>
          <cell r="BQ24">
            <v>0</v>
          </cell>
          <cell r="BR24">
            <v>0</v>
          </cell>
          <cell r="BS24">
            <v>0</v>
          </cell>
          <cell r="BT24">
            <v>0</v>
          </cell>
          <cell r="BU24">
            <v>0</v>
          </cell>
          <cell r="BV24">
            <v>0</v>
          </cell>
          <cell r="BW24">
            <v>0</v>
          </cell>
          <cell r="BX24">
            <v>4.33</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460.8</v>
          </cell>
          <cell r="CP24">
            <v>0</v>
          </cell>
          <cell r="CQ24">
            <v>0</v>
          </cell>
          <cell r="CR24">
            <v>0</v>
          </cell>
          <cell r="CS24">
            <v>0</v>
          </cell>
          <cell r="CT24">
            <v>0</v>
          </cell>
          <cell r="CU24">
            <v>4852.46</v>
          </cell>
          <cell r="CV24">
            <v>306.66000000000003</v>
          </cell>
          <cell r="CW24">
            <v>0</v>
          </cell>
          <cell r="CX24">
            <v>0</v>
          </cell>
          <cell r="CY24">
            <v>149.5</v>
          </cell>
          <cell r="CZ24">
            <v>383.33</v>
          </cell>
          <cell r="DR24">
            <v>0</v>
          </cell>
          <cell r="DS24" t="str">
            <v>1</v>
          </cell>
          <cell r="DT24">
            <v>0</v>
          </cell>
          <cell r="DU24">
            <v>0</v>
          </cell>
          <cell r="DW24">
            <v>0</v>
          </cell>
          <cell r="DX24" t="str">
            <v>1</v>
          </cell>
          <cell r="DY24">
            <v>0</v>
          </cell>
          <cell r="DZ24" t="str">
            <v>1</v>
          </cell>
          <cell r="EA24">
            <v>0</v>
          </cell>
          <cell r="EB24">
            <v>0</v>
          </cell>
          <cell r="ED24">
            <v>45999.96</v>
          </cell>
          <cell r="EE24">
            <v>0</v>
          </cell>
          <cell r="EF24">
            <v>175</v>
          </cell>
          <cell r="EG24" t="str">
            <v>1</v>
          </cell>
          <cell r="EH24" t="str">
            <v>Bryant           M  Mr</v>
          </cell>
          <cell r="EI24">
            <v>4674</v>
          </cell>
          <cell r="EJ24">
            <v>-1562.5</v>
          </cell>
          <cell r="EK24">
            <v>0</v>
          </cell>
        </row>
        <row r="25">
          <cell r="I25" t="str">
            <v>Medway           J  Mr</v>
          </cell>
          <cell r="J25">
            <v>3050</v>
          </cell>
          <cell r="K25">
            <v>20</v>
          </cell>
          <cell r="L25">
            <v>2708.33</v>
          </cell>
          <cell r="M25">
            <v>0</v>
          </cell>
          <cell r="N25">
            <v>0</v>
          </cell>
          <cell r="O25">
            <v>0</v>
          </cell>
          <cell r="P25">
            <v>0</v>
          </cell>
          <cell r="Q25">
            <v>0</v>
          </cell>
          <cell r="R25">
            <v>0</v>
          </cell>
          <cell r="S25">
            <v>0</v>
          </cell>
          <cell r="T25">
            <v>0</v>
          </cell>
          <cell r="U25">
            <v>0</v>
          </cell>
          <cell r="V25">
            <v>-125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350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3533.33</v>
          </cell>
          <cell r="BA25">
            <v>0</v>
          </cell>
          <cell r="BB25">
            <v>0</v>
          </cell>
          <cell r="BC25">
            <v>0</v>
          </cell>
          <cell r="BD25">
            <v>0</v>
          </cell>
          <cell r="BE25">
            <v>0</v>
          </cell>
          <cell r="BF25">
            <v>600</v>
          </cell>
          <cell r="BM25">
            <v>263.45</v>
          </cell>
          <cell r="BN25">
            <v>0</v>
          </cell>
          <cell r="BO25">
            <v>749.9</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400</v>
          </cell>
          <cell r="CP25">
            <v>0</v>
          </cell>
          <cell r="CQ25">
            <v>0</v>
          </cell>
          <cell r="CR25">
            <v>0</v>
          </cell>
          <cell r="CS25">
            <v>0</v>
          </cell>
          <cell r="CT25">
            <v>0</v>
          </cell>
          <cell r="CU25">
            <v>4204.16</v>
          </cell>
          <cell r="CV25">
            <v>0</v>
          </cell>
          <cell r="CW25">
            <v>0</v>
          </cell>
          <cell r="CX25">
            <v>0</v>
          </cell>
          <cell r="CY25">
            <v>105.62</v>
          </cell>
          <cell r="CZ25">
            <v>270.83</v>
          </cell>
          <cell r="DR25">
            <v>0</v>
          </cell>
          <cell r="DS25">
            <v>0</v>
          </cell>
          <cell r="DT25">
            <v>0</v>
          </cell>
          <cell r="DU25">
            <v>0</v>
          </cell>
          <cell r="DW25" t="str">
            <v>1</v>
          </cell>
          <cell r="DX25" t="str">
            <v>1</v>
          </cell>
          <cell r="DY25">
            <v>0</v>
          </cell>
          <cell r="DZ25">
            <v>0</v>
          </cell>
          <cell r="EA25">
            <v>0</v>
          </cell>
          <cell r="EB25">
            <v>0</v>
          </cell>
          <cell r="ED25">
            <v>32499.96</v>
          </cell>
          <cell r="EE25">
            <v>0</v>
          </cell>
          <cell r="EF25">
            <v>350</v>
          </cell>
          <cell r="EG25" t="str">
            <v>1</v>
          </cell>
          <cell r="EH25" t="str">
            <v>Medway           J  Mr</v>
          </cell>
          <cell r="EI25">
            <v>4721</v>
          </cell>
          <cell r="EJ25">
            <v>-1138.98</v>
          </cell>
          <cell r="EK25">
            <v>0</v>
          </cell>
        </row>
        <row r="26">
          <cell r="I26" t="str">
            <v>Gittings         AK Mr</v>
          </cell>
          <cell r="J26">
            <v>3050</v>
          </cell>
          <cell r="K26">
            <v>20</v>
          </cell>
          <cell r="L26">
            <v>4083.33</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7754.23</v>
          </cell>
          <cell r="BA26">
            <v>0</v>
          </cell>
          <cell r="BB26">
            <v>0</v>
          </cell>
          <cell r="BC26">
            <v>0</v>
          </cell>
          <cell r="BD26">
            <v>0</v>
          </cell>
          <cell r="BE26">
            <v>0</v>
          </cell>
          <cell r="BF26">
            <v>650</v>
          </cell>
          <cell r="BG26">
            <v>0</v>
          </cell>
          <cell r="BH26">
            <v>3020.9</v>
          </cell>
          <cell r="BM26">
            <v>305.66000000000003</v>
          </cell>
          <cell r="BN26">
            <v>0</v>
          </cell>
          <cell r="BO26">
            <v>2329.9</v>
          </cell>
          <cell r="BP26">
            <v>1782.33</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940.29</v>
          </cell>
          <cell r="CP26">
            <v>0</v>
          </cell>
          <cell r="CQ26">
            <v>0</v>
          </cell>
          <cell r="CR26">
            <v>0</v>
          </cell>
          <cell r="CS26">
            <v>0</v>
          </cell>
          <cell r="CT26">
            <v>0</v>
          </cell>
          <cell r="CU26">
            <v>9102.85</v>
          </cell>
          <cell r="CV26">
            <v>408.33</v>
          </cell>
          <cell r="CW26">
            <v>0</v>
          </cell>
          <cell r="CX26">
            <v>0</v>
          </cell>
          <cell r="CY26">
            <v>159.25</v>
          </cell>
          <cell r="CZ26">
            <v>408.33</v>
          </cell>
          <cell r="DR26">
            <v>0</v>
          </cell>
          <cell r="DS26">
            <v>0</v>
          </cell>
          <cell r="DT26">
            <v>0</v>
          </cell>
          <cell r="DU26">
            <v>0</v>
          </cell>
          <cell r="DW26" t="str">
            <v>1</v>
          </cell>
          <cell r="DX26" t="str">
            <v>1</v>
          </cell>
          <cell r="DY26">
            <v>0</v>
          </cell>
          <cell r="DZ26" t="str">
            <v>1</v>
          </cell>
          <cell r="EA26">
            <v>0</v>
          </cell>
          <cell r="EB26">
            <v>0</v>
          </cell>
          <cell r="ED26">
            <v>48999.96</v>
          </cell>
          <cell r="EE26">
            <v>0</v>
          </cell>
          <cell r="EF26">
            <v>0</v>
          </cell>
          <cell r="EG26">
            <v>0</v>
          </cell>
          <cell r="EH26" t="str">
            <v>Gittings         AK Mr</v>
          </cell>
          <cell r="EI26">
            <v>4761</v>
          </cell>
          <cell r="EJ26">
            <v>0</v>
          </cell>
          <cell r="EK26">
            <v>0</v>
          </cell>
        </row>
        <row r="27">
          <cell r="I27" t="str">
            <v>Mcnab            CD Mr</v>
          </cell>
          <cell r="J27">
            <v>3050</v>
          </cell>
          <cell r="K27">
            <v>20</v>
          </cell>
          <cell r="L27">
            <v>3833.33</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4483.33</v>
          </cell>
          <cell r="BA27">
            <v>0</v>
          </cell>
          <cell r="BB27">
            <v>0</v>
          </cell>
          <cell r="BC27">
            <v>0</v>
          </cell>
          <cell r="BD27">
            <v>0</v>
          </cell>
          <cell r="BE27">
            <v>0</v>
          </cell>
          <cell r="BF27">
            <v>650</v>
          </cell>
          <cell r="BM27">
            <v>272.95</v>
          </cell>
          <cell r="BN27">
            <v>0</v>
          </cell>
          <cell r="BO27">
            <v>1123.0999999999999</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521.6</v>
          </cell>
          <cell r="CP27">
            <v>0</v>
          </cell>
          <cell r="CQ27">
            <v>0</v>
          </cell>
          <cell r="CR27">
            <v>0</v>
          </cell>
          <cell r="CS27">
            <v>0</v>
          </cell>
          <cell r="CT27">
            <v>0</v>
          </cell>
          <cell r="CU27">
            <v>5004.93</v>
          </cell>
          <cell r="CV27">
            <v>383.33</v>
          </cell>
          <cell r="DR27">
            <v>0</v>
          </cell>
          <cell r="DS27">
            <v>0</v>
          </cell>
          <cell r="DT27">
            <v>0</v>
          </cell>
          <cell r="DU27">
            <v>0</v>
          </cell>
          <cell r="DW27" t="str">
            <v>1</v>
          </cell>
          <cell r="DX27">
            <v>0</v>
          </cell>
          <cell r="DY27">
            <v>0</v>
          </cell>
          <cell r="DZ27" t="str">
            <v>1</v>
          </cell>
          <cell r="EA27">
            <v>0</v>
          </cell>
          <cell r="EB27">
            <v>0</v>
          </cell>
          <cell r="ED27">
            <v>45999.96</v>
          </cell>
          <cell r="EE27">
            <v>0</v>
          </cell>
          <cell r="EF27">
            <v>0</v>
          </cell>
          <cell r="EG27">
            <v>0</v>
          </cell>
          <cell r="EH27" t="str">
            <v>Mcnab            CD Mr</v>
          </cell>
          <cell r="EI27">
            <v>4794</v>
          </cell>
          <cell r="EJ27">
            <v>-1366.65</v>
          </cell>
          <cell r="EK27">
            <v>0</v>
          </cell>
        </row>
        <row r="28">
          <cell r="I28" t="str">
            <v>Jeffrey          S  Mr</v>
          </cell>
          <cell r="J28">
            <v>3050</v>
          </cell>
          <cell r="K28">
            <v>20</v>
          </cell>
          <cell r="L28">
            <v>2916.66</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3566.66</v>
          </cell>
          <cell r="BA28">
            <v>0</v>
          </cell>
          <cell r="BB28">
            <v>0</v>
          </cell>
          <cell r="BC28">
            <v>0</v>
          </cell>
          <cell r="BD28">
            <v>0</v>
          </cell>
          <cell r="BE28">
            <v>0</v>
          </cell>
          <cell r="BF28">
            <v>650</v>
          </cell>
          <cell r="BM28">
            <v>263.77999999999997</v>
          </cell>
          <cell r="BN28">
            <v>0</v>
          </cell>
          <cell r="BO28">
            <v>756.3</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404.23</v>
          </cell>
          <cell r="CP28">
            <v>0</v>
          </cell>
          <cell r="CQ28">
            <v>0</v>
          </cell>
          <cell r="CR28">
            <v>0</v>
          </cell>
          <cell r="CS28">
            <v>0</v>
          </cell>
          <cell r="CT28">
            <v>0</v>
          </cell>
          <cell r="CU28">
            <v>4262.5600000000004</v>
          </cell>
          <cell r="CV28">
            <v>0</v>
          </cell>
          <cell r="CW28">
            <v>87.5</v>
          </cell>
          <cell r="CX28">
            <v>0</v>
          </cell>
          <cell r="CY28">
            <v>113.75</v>
          </cell>
          <cell r="CZ28">
            <v>291.67</v>
          </cell>
          <cell r="DR28">
            <v>0</v>
          </cell>
          <cell r="DS28">
            <v>0</v>
          </cell>
          <cell r="DT28">
            <v>0</v>
          </cell>
          <cell r="DU28">
            <v>0</v>
          </cell>
          <cell r="DW28" t="str">
            <v>1</v>
          </cell>
          <cell r="DX28" t="str">
            <v>1</v>
          </cell>
          <cell r="DY28">
            <v>0</v>
          </cell>
          <cell r="DZ28">
            <v>0</v>
          </cell>
          <cell r="EA28">
            <v>0</v>
          </cell>
          <cell r="EB28">
            <v>0</v>
          </cell>
          <cell r="ED28">
            <v>34999.919999999998</v>
          </cell>
          <cell r="EE28">
            <v>0</v>
          </cell>
          <cell r="EF28">
            <v>0</v>
          </cell>
          <cell r="EG28">
            <v>0</v>
          </cell>
          <cell r="EH28" t="str">
            <v>Jeffrey          S  Mr</v>
          </cell>
          <cell r="EI28">
            <v>4810</v>
          </cell>
          <cell r="EJ28">
            <v>0</v>
          </cell>
          <cell r="EK28">
            <v>0</v>
          </cell>
        </row>
        <row r="29">
          <cell r="I29" t="str">
            <v>Zanzuri          H  Mr</v>
          </cell>
          <cell r="J29">
            <v>3050</v>
          </cell>
          <cell r="K29">
            <v>20</v>
          </cell>
          <cell r="L29">
            <v>4333.33</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525</v>
          </cell>
          <cell r="AM29">
            <v>0</v>
          </cell>
          <cell r="AN29">
            <v>0</v>
          </cell>
          <cell r="AO29">
            <v>0</v>
          </cell>
          <cell r="AP29">
            <v>0</v>
          </cell>
          <cell r="AQ29">
            <v>0</v>
          </cell>
          <cell r="AR29">
            <v>0</v>
          </cell>
          <cell r="AS29">
            <v>0</v>
          </cell>
          <cell r="AT29">
            <v>0</v>
          </cell>
          <cell r="AU29">
            <v>0</v>
          </cell>
          <cell r="AV29">
            <v>0</v>
          </cell>
          <cell r="AW29">
            <v>0</v>
          </cell>
          <cell r="AX29">
            <v>0</v>
          </cell>
          <cell r="AY29">
            <v>0</v>
          </cell>
          <cell r="AZ29">
            <v>5508.33</v>
          </cell>
          <cell r="BA29">
            <v>0</v>
          </cell>
          <cell r="BB29">
            <v>0</v>
          </cell>
          <cell r="BC29">
            <v>0</v>
          </cell>
          <cell r="BD29">
            <v>0</v>
          </cell>
          <cell r="BE29">
            <v>0</v>
          </cell>
          <cell r="BF29">
            <v>650</v>
          </cell>
          <cell r="BM29">
            <v>283.2</v>
          </cell>
          <cell r="BN29">
            <v>0</v>
          </cell>
          <cell r="BO29">
            <v>1533.1</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652.79999999999995</v>
          </cell>
          <cell r="CP29">
            <v>0</v>
          </cell>
          <cell r="CQ29">
            <v>0</v>
          </cell>
          <cell r="CR29">
            <v>0</v>
          </cell>
          <cell r="CS29">
            <v>0</v>
          </cell>
          <cell r="CT29">
            <v>0</v>
          </cell>
          <cell r="CU29">
            <v>6594.46</v>
          </cell>
          <cell r="CV29">
            <v>0</v>
          </cell>
          <cell r="CW29">
            <v>0</v>
          </cell>
          <cell r="CX29">
            <v>0</v>
          </cell>
          <cell r="CY29">
            <v>169</v>
          </cell>
          <cell r="CZ29">
            <v>433.33</v>
          </cell>
          <cell r="DR29">
            <v>0</v>
          </cell>
          <cell r="DS29">
            <v>0</v>
          </cell>
          <cell r="DT29">
            <v>0</v>
          </cell>
          <cell r="DU29">
            <v>0</v>
          </cell>
          <cell r="DW29" t="str">
            <v>1</v>
          </cell>
          <cell r="DX29" t="str">
            <v>1</v>
          </cell>
          <cell r="DY29">
            <v>0</v>
          </cell>
          <cell r="DZ29">
            <v>0</v>
          </cell>
          <cell r="EA29">
            <v>0</v>
          </cell>
          <cell r="EB29">
            <v>0</v>
          </cell>
          <cell r="ED29">
            <v>51999.96</v>
          </cell>
          <cell r="EE29">
            <v>0</v>
          </cell>
          <cell r="EF29">
            <v>525</v>
          </cell>
          <cell r="EG29" t="str">
            <v>1</v>
          </cell>
          <cell r="EH29" t="str">
            <v>Zanzuri          H  Mr</v>
          </cell>
          <cell r="EI29">
            <v>4918</v>
          </cell>
          <cell r="EJ29">
            <v>0</v>
          </cell>
          <cell r="EK29">
            <v>0</v>
          </cell>
        </row>
        <row r="30">
          <cell r="I30" t="str">
            <v>Baker            G  Mr</v>
          </cell>
          <cell r="J30">
            <v>3050</v>
          </cell>
          <cell r="K30">
            <v>20</v>
          </cell>
          <cell r="L30">
            <v>4066.66</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4716.66</v>
          </cell>
          <cell r="BA30">
            <v>0</v>
          </cell>
          <cell r="BB30">
            <v>0</v>
          </cell>
          <cell r="BC30">
            <v>0</v>
          </cell>
          <cell r="BD30">
            <v>0</v>
          </cell>
          <cell r="BE30">
            <v>0</v>
          </cell>
          <cell r="BF30">
            <v>650</v>
          </cell>
          <cell r="BM30">
            <v>275.27999999999997</v>
          </cell>
          <cell r="BN30">
            <v>0</v>
          </cell>
          <cell r="BO30">
            <v>1217.0999999999999</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551.42999999999995</v>
          </cell>
          <cell r="CP30">
            <v>0</v>
          </cell>
          <cell r="CQ30">
            <v>0</v>
          </cell>
          <cell r="CR30">
            <v>0</v>
          </cell>
          <cell r="CS30">
            <v>0</v>
          </cell>
          <cell r="CT30">
            <v>0</v>
          </cell>
          <cell r="CU30">
            <v>5268.09</v>
          </cell>
          <cell r="CV30">
            <v>73.33</v>
          </cell>
          <cell r="DR30">
            <v>0</v>
          </cell>
          <cell r="DS30">
            <v>0</v>
          </cell>
          <cell r="DT30">
            <v>0</v>
          </cell>
          <cell r="DU30">
            <v>0</v>
          </cell>
          <cell r="DW30" t="str">
            <v>1</v>
          </cell>
          <cell r="DX30">
            <v>0</v>
          </cell>
          <cell r="DY30">
            <v>0</v>
          </cell>
          <cell r="DZ30" t="str">
            <v>1</v>
          </cell>
          <cell r="EA30">
            <v>0</v>
          </cell>
          <cell r="EB30">
            <v>0</v>
          </cell>
          <cell r="ED30">
            <v>48799.92</v>
          </cell>
          <cell r="EE30">
            <v>0</v>
          </cell>
          <cell r="EF30">
            <v>0</v>
          </cell>
          <cell r="EG30">
            <v>0</v>
          </cell>
          <cell r="EH30" t="str">
            <v>Baker            G  Mr</v>
          </cell>
          <cell r="EI30">
            <v>4936</v>
          </cell>
          <cell r="EJ30">
            <v>0</v>
          </cell>
          <cell r="EK30">
            <v>0</v>
          </cell>
        </row>
        <row r="31">
          <cell r="I31" t="str">
            <v>Rogers           D  Mr</v>
          </cell>
          <cell r="J31">
            <v>3050</v>
          </cell>
          <cell r="K31">
            <v>20</v>
          </cell>
          <cell r="L31">
            <v>3166.67</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27.28</v>
          </cell>
          <cell r="AU31">
            <v>-27.28</v>
          </cell>
          <cell r="AV31">
            <v>0</v>
          </cell>
          <cell r="AW31">
            <v>0</v>
          </cell>
          <cell r="AX31">
            <v>0</v>
          </cell>
          <cell r="AY31">
            <v>0</v>
          </cell>
          <cell r="AZ31">
            <v>3766.67</v>
          </cell>
          <cell r="BA31">
            <v>0</v>
          </cell>
          <cell r="BB31">
            <v>0</v>
          </cell>
          <cell r="BC31">
            <v>0</v>
          </cell>
          <cell r="BD31">
            <v>0</v>
          </cell>
          <cell r="BE31">
            <v>0</v>
          </cell>
          <cell r="BF31">
            <v>600</v>
          </cell>
          <cell r="BM31">
            <v>265.77999999999997</v>
          </cell>
          <cell r="BN31">
            <v>0</v>
          </cell>
          <cell r="BO31">
            <v>132.69999999999999</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429.83</v>
          </cell>
          <cell r="CP31">
            <v>0</v>
          </cell>
          <cell r="CQ31">
            <v>0</v>
          </cell>
          <cell r="CR31">
            <v>0</v>
          </cell>
          <cell r="CS31">
            <v>0</v>
          </cell>
          <cell r="CT31">
            <v>0</v>
          </cell>
          <cell r="CU31">
            <v>4513.17</v>
          </cell>
          <cell r="CV31">
            <v>316.66000000000003</v>
          </cell>
          <cell r="CW31">
            <v>0</v>
          </cell>
          <cell r="CX31">
            <v>0</v>
          </cell>
          <cell r="CY31">
            <v>123.5</v>
          </cell>
          <cell r="CZ31">
            <v>316.67</v>
          </cell>
          <cell r="DR31">
            <v>0</v>
          </cell>
          <cell r="DS31">
            <v>0</v>
          </cell>
          <cell r="DT31">
            <v>0</v>
          </cell>
          <cell r="DU31">
            <v>0</v>
          </cell>
          <cell r="DW31" t="str">
            <v>1</v>
          </cell>
          <cell r="DX31" t="str">
            <v>1</v>
          </cell>
          <cell r="DY31">
            <v>0</v>
          </cell>
          <cell r="DZ31" t="str">
            <v>1</v>
          </cell>
          <cell r="EA31">
            <v>0</v>
          </cell>
          <cell r="EB31">
            <v>0</v>
          </cell>
          <cell r="ED31">
            <v>38000.04</v>
          </cell>
          <cell r="EE31">
            <v>0</v>
          </cell>
          <cell r="EF31">
            <v>0</v>
          </cell>
          <cell r="EG31">
            <v>0</v>
          </cell>
          <cell r="EH31" t="str">
            <v>Rogers           D  Mr</v>
          </cell>
          <cell r="EI31">
            <v>4952</v>
          </cell>
          <cell r="EK31">
            <v>0</v>
          </cell>
        </row>
        <row r="32">
          <cell r="I32" t="str">
            <v>Barrett          J  Mr</v>
          </cell>
          <cell r="J32">
            <v>3050</v>
          </cell>
          <cell r="K32">
            <v>20</v>
          </cell>
          <cell r="L32">
            <v>2062.5</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106</v>
          </cell>
          <cell r="AU32">
            <v>0</v>
          </cell>
          <cell r="AV32">
            <v>0</v>
          </cell>
          <cell r="AW32">
            <v>0</v>
          </cell>
          <cell r="AX32">
            <v>0</v>
          </cell>
          <cell r="AY32">
            <v>0</v>
          </cell>
          <cell r="AZ32">
            <v>2768.5</v>
          </cell>
          <cell r="BA32">
            <v>0</v>
          </cell>
          <cell r="BB32">
            <v>0</v>
          </cell>
          <cell r="BC32">
            <v>0</v>
          </cell>
          <cell r="BD32">
            <v>0</v>
          </cell>
          <cell r="BE32">
            <v>0</v>
          </cell>
          <cell r="BF32">
            <v>600</v>
          </cell>
          <cell r="BM32">
            <v>255.8</v>
          </cell>
          <cell r="BN32">
            <v>0</v>
          </cell>
          <cell r="BO32">
            <v>431.43</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302.08</v>
          </cell>
          <cell r="CP32">
            <v>0</v>
          </cell>
          <cell r="CQ32">
            <v>0</v>
          </cell>
          <cell r="CR32">
            <v>97.52</v>
          </cell>
          <cell r="CS32">
            <v>0</v>
          </cell>
          <cell r="CT32">
            <v>0</v>
          </cell>
          <cell r="CU32">
            <v>3189.91</v>
          </cell>
          <cell r="CV32">
            <v>0</v>
          </cell>
          <cell r="CW32">
            <v>0</v>
          </cell>
          <cell r="CX32">
            <v>0</v>
          </cell>
          <cell r="CY32">
            <v>84.57</v>
          </cell>
          <cell r="CZ32">
            <v>216.85</v>
          </cell>
          <cell r="DR32">
            <v>0</v>
          </cell>
          <cell r="DS32">
            <v>0</v>
          </cell>
          <cell r="DT32">
            <v>0</v>
          </cell>
          <cell r="DU32">
            <v>0</v>
          </cell>
          <cell r="DW32" t="str">
            <v>1</v>
          </cell>
          <cell r="DX32" t="str">
            <v>1</v>
          </cell>
          <cell r="DY32">
            <v>0</v>
          </cell>
          <cell r="DZ32">
            <v>0</v>
          </cell>
          <cell r="EA32">
            <v>0</v>
          </cell>
          <cell r="EB32">
            <v>0</v>
          </cell>
          <cell r="ED32">
            <v>24750</v>
          </cell>
          <cell r="EE32" t="str">
            <v>1</v>
          </cell>
          <cell r="EF32">
            <v>0</v>
          </cell>
          <cell r="EG32">
            <v>0</v>
          </cell>
          <cell r="EH32" t="str">
            <v>Barrett          J  Mr</v>
          </cell>
          <cell r="EI32">
            <v>4973</v>
          </cell>
          <cell r="EJ32">
            <v>-400</v>
          </cell>
          <cell r="EK32">
            <v>0</v>
          </cell>
        </row>
        <row r="33">
          <cell r="I33" t="str">
            <v>Chagger          S  Mr</v>
          </cell>
          <cell r="J33">
            <v>3050</v>
          </cell>
          <cell r="K33">
            <v>20</v>
          </cell>
          <cell r="L33">
            <v>3000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3600</v>
          </cell>
          <cell r="BA33">
            <v>0</v>
          </cell>
          <cell r="BB33">
            <v>0</v>
          </cell>
          <cell r="BC33">
            <v>0</v>
          </cell>
          <cell r="BD33">
            <v>0</v>
          </cell>
          <cell r="BE33">
            <v>0</v>
          </cell>
          <cell r="BF33">
            <v>600</v>
          </cell>
          <cell r="BM33">
            <v>264.12</v>
          </cell>
          <cell r="BN33">
            <v>0</v>
          </cell>
          <cell r="BO33">
            <v>769.9</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408.58</v>
          </cell>
          <cell r="CP33">
            <v>0</v>
          </cell>
          <cell r="CQ33">
            <v>0</v>
          </cell>
          <cell r="CR33">
            <v>0</v>
          </cell>
          <cell r="CS33">
            <v>0</v>
          </cell>
          <cell r="CT33">
            <v>0</v>
          </cell>
          <cell r="CU33">
            <v>4308.58</v>
          </cell>
          <cell r="CV33">
            <v>0</v>
          </cell>
          <cell r="CW33">
            <v>0</v>
          </cell>
          <cell r="CX33">
            <v>0</v>
          </cell>
          <cell r="CY33">
            <v>117</v>
          </cell>
          <cell r="CZ33">
            <v>300</v>
          </cell>
          <cell r="DA33">
            <v>0</v>
          </cell>
          <cell r="DB33">
            <v>0</v>
          </cell>
          <cell r="DC33">
            <v>0</v>
          </cell>
          <cell r="DD33">
            <v>0</v>
          </cell>
          <cell r="DE33">
            <v>0</v>
          </cell>
          <cell r="DF33">
            <v>0</v>
          </cell>
          <cell r="DG33">
            <v>19.55</v>
          </cell>
          <cell r="DR33">
            <v>0</v>
          </cell>
          <cell r="DS33">
            <v>0</v>
          </cell>
          <cell r="DT33">
            <v>0</v>
          </cell>
          <cell r="DU33">
            <v>0</v>
          </cell>
          <cell r="DW33" t="str">
            <v>1</v>
          </cell>
          <cell r="DX33" t="str">
            <v>1</v>
          </cell>
          <cell r="DY33">
            <v>0</v>
          </cell>
          <cell r="DZ33">
            <v>0</v>
          </cell>
          <cell r="EA33">
            <v>0</v>
          </cell>
          <cell r="EB33">
            <v>0</v>
          </cell>
          <cell r="ED33">
            <v>36000</v>
          </cell>
          <cell r="EE33">
            <v>0</v>
          </cell>
          <cell r="EF33">
            <v>0</v>
          </cell>
          <cell r="EG33">
            <v>0</v>
          </cell>
          <cell r="EH33" t="str">
            <v>Chagger          S  Mr</v>
          </cell>
          <cell r="EI33">
            <v>4974</v>
          </cell>
          <cell r="EJ33">
            <v>0</v>
          </cell>
          <cell r="EK33">
            <v>0</v>
          </cell>
        </row>
        <row r="34">
          <cell r="I34" t="str">
            <v>Harvey           M  Mr</v>
          </cell>
          <cell r="J34">
            <v>3050</v>
          </cell>
          <cell r="K34">
            <v>20</v>
          </cell>
          <cell r="L34">
            <v>6250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6900</v>
          </cell>
          <cell r="BA34">
            <v>0</v>
          </cell>
          <cell r="BB34">
            <v>0</v>
          </cell>
          <cell r="BC34">
            <v>0</v>
          </cell>
          <cell r="BD34">
            <v>0</v>
          </cell>
          <cell r="BE34">
            <v>0</v>
          </cell>
          <cell r="BF34">
            <v>650</v>
          </cell>
          <cell r="BM34">
            <v>297.12</v>
          </cell>
          <cell r="BN34">
            <v>0</v>
          </cell>
          <cell r="BO34">
            <v>2129.5</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830.98</v>
          </cell>
          <cell r="CP34">
            <v>0</v>
          </cell>
          <cell r="CQ34">
            <v>0</v>
          </cell>
          <cell r="CR34">
            <v>0</v>
          </cell>
          <cell r="CS34">
            <v>0</v>
          </cell>
          <cell r="CT34">
            <v>0</v>
          </cell>
          <cell r="CU34">
            <v>8355.98</v>
          </cell>
          <cell r="CV34">
            <v>0</v>
          </cell>
          <cell r="CW34">
            <v>0</v>
          </cell>
          <cell r="CX34">
            <v>0</v>
          </cell>
          <cell r="CY34">
            <v>243.75</v>
          </cell>
          <cell r="CZ34">
            <v>625</v>
          </cell>
          <cell r="DA34">
            <v>0</v>
          </cell>
          <cell r="DB34">
            <v>0</v>
          </cell>
          <cell r="DC34">
            <v>0</v>
          </cell>
          <cell r="DD34">
            <v>0</v>
          </cell>
          <cell r="DE34">
            <v>0</v>
          </cell>
          <cell r="DF34">
            <v>0</v>
          </cell>
          <cell r="DG34">
            <v>14.56</v>
          </cell>
          <cell r="DR34">
            <v>0</v>
          </cell>
          <cell r="DS34">
            <v>0</v>
          </cell>
          <cell r="DT34">
            <v>0</v>
          </cell>
          <cell r="DU34">
            <v>0</v>
          </cell>
          <cell r="DW34" t="str">
            <v>1</v>
          </cell>
          <cell r="DX34" t="str">
            <v>1</v>
          </cell>
          <cell r="DY34">
            <v>0</v>
          </cell>
          <cell r="DZ34">
            <v>0</v>
          </cell>
          <cell r="EA34">
            <v>0</v>
          </cell>
          <cell r="EB34">
            <v>0</v>
          </cell>
          <cell r="ED34">
            <v>75000</v>
          </cell>
          <cell r="EE34">
            <v>0</v>
          </cell>
          <cell r="EF34">
            <v>0</v>
          </cell>
          <cell r="EG34">
            <v>0</v>
          </cell>
          <cell r="EH34" t="str">
            <v>Harvey           M  Mr</v>
          </cell>
          <cell r="EI34">
            <v>4976</v>
          </cell>
          <cell r="EJ34">
            <v>0</v>
          </cell>
          <cell r="EK34">
            <v>0</v>
          </cell>
        </row>
        <row r="35">
          <cell r="I35" t="str">
            <v>Wilson           PA Mr</v>
          </cell>
          <cell r="J35">
            <v>3050</v>
          </cell>
          <cell r="K35">
            <v>20</v>
          </cell>
          <cell r="L35">
            <v>3416.66</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4016.66</v>
          </cell>
          <cell r="BA35">
            <v>0</v>
          </cell>
          <cell r="BB35">
            <v>0</v>
          </cell>
          <cell r="BC35">
            <v>0</v>
          </cell>
          <cell r="BD35">
            <v>0</v>
          </cell>
          <cell r="BE35">
            <v>0</v>
          </cell>
          <cell r="BF35">
            <v>600</v>
          </cell>
          <cell r="BM35">
            <v>268.27999999999997</v>
          </cell>
          <cell r="BN35">
            <v>0</v>
          </cell>
          <cell r="BO35">
            <v>936.3</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461.83</v>
          </cell>
          <cell r="CP35">
            <v>0</v>
          </cell>
          <cell r="CQ35">
            <v>0</v>
          </cell>
          <cell r="CR35">
            <v>0</v>
          </cell>
          <cell r="CS35">
            <v>0</v>
          </cell>
          <cell r="CT35">
            <v>0</v>
          </cell>
          <cell r="CU35">
            <v>4820.16</v>
          </cell>
          <cell r="CV35">
            <v>0</v>
          </cell>
          <cell r="CW35">
            <v>0</v>
          </cell>
          <cell r="CX35">
            <v>0</v>
          </cell>
          <cell r="CY35">
            <v>133.25</v>
          </cell>
          <cell r="CZ35">
            <v>341.67</v>
          </cell>
          <cell r="DA35">
            <v>0</v>
          </cell>
          <cell r="DB35">
            <v>0</v>
          </cell>
          <cell r="DC35">
            <v>0</v>
          </cell>
          <cell r="DD35">
            <v>0</v>
          </cell>
          <cell r="DE35">
            <v>0</v>
          </cell>
          <cell r="DF35">
            <v>0</v>
          </cell>
          <cell r="DG35">
            <v>29.32</v>
          </cell>
          <cell r="DR35">
            <v>0</v>
          </cell>
          <cell r="DS35">
            <v>0</v>
          </cell>
          <cell r="DT35">
            <v>0</v>
          </cell>
          <cell r="DU35">
            <v>0</v>
          </cell>
          <cell r="DW35" t="str">
            <v>1</v>
          </cell>
          <cell r="DX35" t="str">
            <v>1</v>
          </cell>
          <cell r="DY35">
            <v>0</v>
          </cell>
          <cell r="DZ35">
            <v>0</v>
          </cell>
          <cell r="EA35">
            <v>0</v>
          </cell>
          <cell r="EB35">
            <v>0</v>
          </cell>
          <cell r="ED35">
            <v>40999.919999999998</v>
          </cell>
          <cell r="EE35">
            <v>0</v>
          </cell>
          <cell r="EF35">
            <v>0</v>
          </cell>
          <cell r="EG35">
            <v>0</v>
          </cell>
          <cell r="EH35" t="str">
            <v>Wilson           PA Mr</v>
          </cell>
          <cell r="EI35">
            <v>4977</v>
          </cell>
          <cell r="EK35">
            <v>0</v>
          </cell>
        </row>
        <row r="36">
          <cell r="I36" t="str">
            <v>Colmer           N  Mr</v>
          </cell>
          <cell r="J36">
            <v>3070</v>
          </cell>
          <cell r="K36">
            <v>20</v>
          </cell>
          <cell r="L36">
            <v>2708.33</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225</v>
          </cell>
          <cell r="AM36">
            <v>0</v>
          </cell>
          <cell r="AN36">
            <v>0</v>
          </cell>
          <cell r="AO36">
            <v>0</v>
          </cell>
          <cell r="AP36">
            <v>0</v>
          </cell>
          <cell r="AQ36">
            <v>0</v>
          </cell>
          <cell r="AR36">
            <v>0</v>
          </cell>
          <cell r="AS36">
            <v>0</v>
          </cell>
          <cell r="AT36">
            <v>0</v>
          </cell>
          <cell r="AU36">
            <v>0</v>
          </cell>
          <cell r="AV36">
            <v>0</v>
          </cell>
          <cell r="AW36">
            <v>0</v>
          </cell>
          <cell r="AX36">
            <v>0</v>
          </cell>
          <cell r="AY36">
            <v>0</v>
          </cell>
          <cell r="AZ36">
            <v>3533.33</v>
          </cell>
          <cell r="BA36">
            <v>0</v>
          </cell>
          <cell r="BB36">
            <v>0</v>
          </cell>
          <cell r="BC36">
            <v>0</v>
          </cell>
          <cell r="BD36">
            <v>0</v>
          </cell>
          <cell r="BE36">
            <v>0</v>
          </cell>
          <cell r="BF36">
            <v>600</v>
          </cell>
          <cell r="BM36">
            <v>263.45</v>
          </cell>
          <cell r="BN36">
            <v>0</v>
          </cell>
          <cell r="BO36">
            <v>742.3</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400</v>
          </cell>
          <cell r="CP36">
            <v>0</v>
          </cell>
          <cell r="CQ36">
            <v>0</v>
          </cell>
          <cell r="CR36">
            <v>0</v>
          </cell>
          <cell r="CS36">
            <v>0</v>
          </cell>
          <cell r="CT36">
            <v>0</v>
          </cell>
          <cell r="CU36">
            <v>4204.16</v>
          </cell>
          <cell r="CV36">
            <v>0</v>
          </cell>
          <cell r="CW36">
            <v>0</v>
          </cell>
          <cell r="CX36">
            <v>0</v>
          </cell>
          <cell r="CY36">
            <v>105.62</v>
          </cell>
          <cell r="CZ36">
            <v>270.83</v>
          </cell>
          <cell r="DR36">
            <v>0</v>
          </cell>
          <cell r="DS36">
            <v>0</v>
          </cell>
          <cell r="DT36">
            <v>0</v>
          </cell>
          <cell r="DU36">
            <v>0</v>
          </cell>
          <cell r="DW36" t="str">
            <v>1</v>
          </cell>
          <cell r="DX36" t="str">
            <v>1</v>
          </cell>
          <cell r="DY36">
            <v>0</v>
          </cell>
          <cell r="DZ36">
            <v>0</v>
          </cell>
          <cell r="EA36">
            <v>0</v>
          </cell>
          <cell r="EB36">
            <v>0</v>
          </cell>
          <cell r="ED36">
            <v>32499.96</v>
          </cell>
          <cell r="EE36">
            <v>0</v>
          </cell>
          <cell r="EF36">
            <v>225</v>
          </cell>
          <cell r="EG36" t="str">
            <v>1</v>
          </cell>
          <cell r="EH36" t="str">
            <v>Colmer           N  Mr</v>
          </cell>
          <cell r="EI36">
            <v>2755</v>
          </cell>
          <cell r="EJ36">
            <v>0</v>
          </cell>
          <cell r="EK36">
            <v>0</v>
          </cell>
        </row>
        <row r="37">
          <cell r="I37" t="str">
            <v>Thompson         M  Mr</v>
          </cell>
          <cell r="J37">
            <v>3070</v>
          </cell>
          <cell r="K37">
            <v>20</v>
          </cell>
          <cell r="L37">
            <v>4166.66</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6660.45</v>
          </cell>
          <cell r="BA37">
            <v>0</v>
          </cell>
          <cell r="BB37">
            <v>0</v>
          </cell>
          <cell r="BC37">
            <v>0</v>
          </cell>
          <cell r="BD37">
            <v>0</v>
          </cell>
          <cell r="BE37">
            <v>0</v>
          </cell>
          <cell r="BF37">
            <v>700</v>
          </cell>
          <cell r="BG37">
            <v>0</v>
          </cell>
          <cell r="BH37">
            <v>1793.79</v>
          </cell>
          <cell r="BM37">
            <v>294.72000000000003</v>
          </cell>
          <cell r="BN37">
            <v>0</v>
          </cell>
          <cell r="BO37">
            <v>1690.7</v>
          </cell>
          <cell r="BP37">
            <v>1058.3399999999999</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800.26</v>
          </cell>
          <cell r="CP37">
            <v>0</v>
          </cell>
          <cell r="CQ37">
            <v>0</v>
          </cell>
          <cell r="CR37">
            <v>0</v>
          </cell>
          <cell r="CS37">
            <v>0</v>
          </cell>
          <cell r="CT37">
            <v>0</v>
          </cell>
          <cell r="CU37">
            <v>8085.71</v>
          </cell>
          <cell r="CV37">
            <v>202.08</v>
          </cell>
          <cell r="CW37">
            <v>0</v>
          </cell>
          <cell r="CX37">
            <v>0</v>
          </cell>
          <cell r="CY37">
            <v>0</v>
          </cell>
          <cell r="CZ37">
            <v>0</v>
          </cell>
          <cell r="DA37">
            <v>0</v>
          </cell>
          <cell r="DB37">
            <v>311.25</v>
          </cell>
          <cell r="DC37">
            <v>625</v>
          </cell>
          <cell r="DR37">
            <v>0</v>
          </cell>
          <cell r="DS37">
            <v>0</v>
          </cell>
          <cell r="DT37">
            <v>0</v>
          </cell>
          <cell r="DU37">
            <v>0</v>
          </cell>
          <cell r="DW37" t="str">
            <v>1</v>
          </cell>
          <cell r="DX37">
            <v>0</v>
          </cell>
          <cell r="DY37" t="str">
            <v>1</v>
          </cell>
          <cell r="DZ37" t="str">
            <v>1</v>
          </cell>
          <cell r="EA37" t="str">
            <v>1</v>
          </cell>
          <cell r="EB37">
            <v>0</v>
          </cell>
          <cell r="ED37">
            <v>49999.92</v>
          </cell>
          <cell r="EE37">
            <v>0</v>
          </cell>
          <cell r="EF37">
            <v>0</v>
          </cell>
          <cell r="EG37">
            <v>0</v>
          </cell>
          <cell r="EH37" t="str">
            <v>Thompson         M  Mr</v>
          </cell>
          <cell r="EI37">
            <v>3336</v>
          </cell>
          <cell r="EJ37">
            <v>-1010.4</v>
          </cell>
          <cell r="EK37">
            <v>0</v>
          </cell>
        </row>
        <row r="38">
          <cell r="I38" t="str">
            <v>Perry            M</v>
          </cell>
          <cell r="J38">
            <v>3070</v>
          </cell>
          <cell r="K38">
            <v>20</v>
          </cell>
          <cell r="L38">
            <v>2958.33</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5325.05</v>
          </cell>
          <cell r="BA38">
            <v>0</v>
          </cell>
          <cell r="BB38">
            <v>0</v>
          </cell>
          <cell r="BC38">
            <v>0</v>
          </cell>
          <cell r="BD38">
            <v>0</v>
          </cell>
          <cell r="BE38">
            <v>0</v>
          </cell>
          <cell r="BF38">
            <v>0</v>
          </cell>
          <cell r="BG38">
            <v>0</v>
          </cell>
          <cell r="BH38">
            <v>2366.7199999999998</v>
          </cell>
          <cell r="BM38">
            <v>281.37</v>
          </cell>
          <cell r="BN38">
            <v>0</v>
          </cell>
          <cell r="BO38">
            <v>1615.9</v>
          </cell>
          <cell r="BP38">
            <v>1396.36</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629.38</v>
          </cell>
          <cell r="CP38">
            <v>0</v>
          </cell>
          <cell r="CQ38">
            <v>0</v>
          </cell>
          <cell r="CR38">
            <v>0</v>
          </cell>
          <cell r="CS38">
            <v>0</v>
          </cell>
          <cell r="CT38">
            <v>0</v>
          </cell>
          <cell r="CU38">
            <v>6250.26</v>
          </cell>
          <cell r="CV38">
            <v>0</v>
          </cell>
          <cell r="CW38">
            <v>0</v>
          </cell>
          <cell r="CX38">
            <v>0</v>
          </cell>
          <cell r="CY38">
            <v>115.37</v>
          </cell>
          <cell r="CZ38">
            <v>295.83</v>
          </cell>
          <cell r="DR38">
            <v>0</v>
          </cell>
          <cell r="DS38">
            <v>0</v>
          </cell>
          <cell r="DT38">
            <v>0</v>
          </cell>
          <cell r="DU38">
            <v>0</v>
          </cell>
          <cell r="DW38">
            <v>0</v>
          </cell>
          <cell r="DX38" t="str">
            <v>1</v>
          </cell>
          <cell r="DY38">
            <v>0</v>
          </cell>
          <cell r="DZ38">
            <v>0</v>
          </cell>
          <cell r="EA38">
            <v>0</v>
          </cell>
          <cell r="EB38">
            <v>0</v>
          </cell>
          <cell r="ED38">
            <v>35499.96</v>
          </cell>
          <cell r="EE38">
            <v>0</v>
          </cell>
          <cell r="EF38">
            <v>0</v>
          </cell>
          <cell r="EG38">
            <v>0</v>
          </cell>
          <cell r="EH38" t="str">
            <v>Perry            M</v>
          </cell>
          <cell r="EI38">
            <v>3689</v>
          </cell>
          <cell r="EJ38">
            <v>0</v>
          </cell>
          <cell r="EK38">
            <v>0</v>
          </cell>
        </row>
        <row r="39">
          <cell r="I39" t="str">
            <v>Sweeney          B  Mr</v>
          </cell>
          <cell r="J39">
            <v>3070</v>
          </cell>
          <cell r="K39">
            <v>20</v>
          </cell>
          <cell r="L39">
            <v>3145.83</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3795.83</v>
          </cell>
          <cell r="BA39">
            <v>0</v>
          </cell>
          <cell r="BB39">
            <v>0</v>
          </cell>
          <cell r="BC39">
            <v>0</v>
          </cell>
          <cell r="BD39">
            <v>0</v>
          </cell>
          <cell r="BE39">
            <v>0</v>
          </cell>
          <cell r="BF39">
            <v>650</v>
          </cell>
          <cell r="BM39">
            <v>266.07</v>
          </cell>
          <cell r="BN39">
            <v>0</v>
          </cell>
          <cell r="BO39">
            <v>857.1</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433.54</v>
          </cell>
          <cell r="CP39">
            <v>0</v>
          </cell>
          <cell r="CQ39">
            <v>0</v>
          </cell>
          <cell r="CR39">
            <v>0</v>
          </cell>
          <cell r="CS39">
            <v>0</v>
          </cell>
          <cell r="CT39">
            <v>0</v>
          </cell>
          <cell r="CU39">
            <v>4543.95</v>
          </cell>
          <cell r="CV39">
            <v>157.29</v>
          </cell>
          <cell r="CW39">
            <v>0</v>
          </cell>
          <cell r="CX39">
            <v>0</v>
          </cell>
          <cell r="CY39">
            <v>122.69</v>
          </cell>
          <cell r="CZ39">
            <v>314.58</v>
          </cell>
          <cell r="DR39">
            <v>0</v>
          </cell>
          <cell r="DS39">
            <v>0</v>
          </cell>
          <cell r="DT39">
            <v>0</v>
          </cell>
          <cell r="DU39">
            <v>0</v>
          </cell>
          <cell r="DW39" t="str">
            <v>1</v>
          </cell>
          <cell r="DX39" t="str">
            <v>1</v>
          </cell>
          <cell r="DY39">
            <v>0</v>
          </cell>
          <cell r="DZ39" t="str">
            <v>1</v>
          </cell>
          <cell r="EA39">
            <v>0</v>
          </cell>
          <cell r="EB39">
            <v>0</v>
          </cell>
          <cell r="ED39">
            <v>37749.96</v>
          </cell>
          <cell r="EE39">
            <v>0</v>
          </cell>
          <cell r="EF39">
            <v>0</v>
          </cell>
          <cell r="EG39">
            <v>0</v>
          </cell>
          <cell r="EH39" t="str">
            <v>Sweeney          B  Mr</v>
          </cell>
          <cell r="EI39">
            <v>4586</v>
          </cell>
          <cell r="EJ39">
            <v>0</v>
          </cell>
          <cell r="EK39">
            <v>0</v>
          </cell>
        </row>
        <row r="40">
          <cell r="I40" t="str">
            <v>Syed             AT Mr</v>
          </cell>
          <cell r="J40">
            <v>3070</v>
          </cell>
          <cell r="K40">
            <v>20</v>
          </cell>
          <cell r="L40">
            <v>2400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675</v>
          </cell>
          <cell r="AM40">
            <v>0</v>
          </cell>
          <cell r="AN40">
            <v>0</v>
          </cell>
          <cell r="AO40">
            <v>0</v>
          </cell>
          <cell r="AP40">
            <v>0</v>
          </cell>
          <cell r="AQ40">
            <v>0</v>
          </cell>
          <cell r="AR40">
            <v>0</v>
          </cell>
          <cell r="AS40">
            <v>0</v>
          </cell>
          <cell r="AT40">
            <v>0</v>
          </cell>
          <cell r="AU40">
            <v>0</v>
          </cell>
          <cell r="AV40">
            <v>0</v>
          </cell>
          <cell r="AW40">
            <v>0</v>
          </cell>
          <cell r="AX40">
            <v>0</v>
          </cell>
          <cell r="AY40">
            <v>0</v>
          </cell>
          <cell r="AZ40">
            <v>3675</v>
          </cell>
          <cell r="BA40">
            <v>0</v>
          </cell>
          <cell r="BB40">
            <v>0</v>
          </cell>
          <cell r="BC40">
            <v>0</v>
          </cell>
          <cell r="BD40">
            <v>0</v>
          </cell>
          <cell r="BE40">
            <v>0</v>
          </cell>
          <cell r="BF40">
            <v>600</v>
          </cell>
          <cell r="BM40">
            <v>264.87</v>
          </cell>
          <cell r="BN40">
            <v>0</v>
          </cell>
          <cell r="BO40">
            <v>832.3</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418.18</v>
          </cell>
          <cell r="CP40">
            <v>0</v>
          </cell>
          <cell r="CQ40">
            <v>0</v>
          </cell>
          <cell r="CR40">
            <v>0</v>
          </cell>
          <cell r="CS40">
            <v>0</v>
          </cell>
          <cell r="CT40">
            <v>0</v>
          </cell>
          <cell r="CU40">
            <v>4333.18</v>
          </cell>
          <cell r="CV40">
            <v>120</v>
          </cell>
          <cell r="CW40">
            <v>0</v>
          </cell>
          <cell r="CX40">
            <v>0</v>
          </cell>
          <cell r="CY40">
            <v>93.6</v>
          </cell>
          <cell r="CZ40">
            <v>240</v>
          </cell>
          <cell r="DR40">
            <v>0</v>
          </cell>
          <cell r="DS40">
            <v>0</v>
          </cell>
          <cell r="DT40">
            <v>0</v>
          </cell>
          <cell r="DU40">
            <v>0</v>
          </cell>
          <cell r="DW40" t="str">
            <v>1</v>
          </cell>
          <cell r="DX40" t="str">
            <v>1</v>
          </cell>
          <cell r="DY40">
            <v>0</v>
          </cell>
          <cell r="DZ40" t="str">
            <v>1</v>
          </cell>
          <cell r="EA40">
            <v>0</v>
          </cell>
          <cell r="EB40">
            <v>0</v>
          </cell>
          <cell r="ED40">
            <v>28800</v>
          </cell>
          <cell r="EE40">
            <v>0</v>
          </cell>
          <cell r="EF40">
            <v>675</v>
          </cell>
          <cell r="EG40" t="str">
            <v>1</v>
          </cell>
          <cell r="EH40" t="str">
            <v>Syed             AT Mr</v>
          </cell>
          <cell r="EI40">
            <v>4593</v>
          </cell>
          <cell r="EJ40">
            <v>-1162.26</v>
          </cell>
          <cell r="EK40">
            <v>0</v>
          </cell>
        </row>
        <row r="41">
          <cell r="I41" t="str">
            <v>Lock             GS Mr</v>
          </cell>
          <cell r="J41">
            <v>3070</v>
          </cell>
          <cell r="K41">
            <v>20</v>
          </cell>
          <cell r="L41">
            <v>2666.66</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512.5</v>
          </cell>
          <cell r="AM41">
            <v>0</v>
          </cell>
          <cell r="AN41">
            <v>0</v>
          </cell>
          <cell r="AO41">
            <v>0</v>
          </cell>
          <cell r="AP41">
            <v>0</v>
          </cell>
          <cell r="AQ41">
            <v>0</v>
          </cell>
          <cell r="AR41">
            <v>0</v>
          </cell>
          <cell r="AS41">
            <v>0</v>
          </cell>
          <cell r="AT41">
            <v>0</v>
          </cell>
          <cell r="AU41">
            <v>0</v>
          </cell>
          <cell r="AV41">
            <v>0</v>
          </cell>
          <cell r="AW41">
            <v>0</v>
          </cell>
          <cell r="AX41">
            <v>0</v>
          </cell>
          <cell r="AY41">
            <v>0</v>
          </cell>
          <cell r="AZ41">
            <v>3779.16</v>
          </cell>
          <cell r="BA41">
            <v>0</v>
          </cell>
          <cell r="BB41">
            <v>0</v>
          </cell>
          <cell r="BC41">
            <v>0</v>
          </cell>
          <cell r="BD41">
            <v>0</v>
          </cell>
          <cell r="BE41">
            <v>0</v>
          </cell>
          <cell r="BF41">
            <v>600</v>
          </cell>
          <cell r="BM41">
            <v>265.91000000000003</v>
          </cell>
          <cell r="BN41">
            <v>0</v>
          </cell>
          <cell r="BO41">
            <v>851.1</v>
          </cell>
          <cell r="BP41">
            <v>0</v>
          </cell>
          <cell r="BQ41">
            <v>0</v>
          </cell>
          <cell r="BR41">
            <v>0</v>
          </cell>
          <cell r="BS41">
            <v>0</v>
          </cell>
          <cell r="BT41">
            <v>0</v>
          </cell>
          <cell r="BU41">
            <v>0</v>
          </cell>
          <cell r="BV41">
            <v>29.44</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431.49</v>
          </cell>
          <cell r="CP41">
            <v>0</v>
          </cell>
          <cell r="CQ41">
            <v>0</v>
          </cell>
          <cell r="CR41">
            <v>0</v>
          </cell>
          <cell r="CS41">
            <v>0</v>
          </cell>
          <cell r="CT41">
            <v>0</v>
          </cell>
          <cell r="CU41">
            <v>4477.32</v>
          </cell>
          <cell r="CV41">
            <v>258.33</v>
          </cell>
          <cell r="CW41">
            <v>0</v>
          </cell>
          <cell r="CX41">
            <v>0</v>
          </cell>
          <cell r="CY41">
            <v>104</v>
          </cell>
          <cell r="CZ41">
            <v>266.67</v>
          </cell>
          <cell r="DR41" t="str">
            <v>1</v>
          </cell>
          <cell r="DS41">
            <v>0</v>
          </cell>
          <cell r="DT41">
            <v>0</v>
          </cell>
          <cell r="DU41">
            <v>0</v>
          </cell>
          <cell r="DW41" t="str">
            <v>1</v>
          </cell>
          <cell r="DX41" t="str">
            <v>1</v>
          </cell>
          <cell r="DY41">
            <v>0</v>
          </cell>
          <cell r="DZ41" t="str">
            <v>1</v>
          </cell>
          <cell r="EA41">
            <v>0</v>
          </cell>
          <cell r="EB41">
            <v>0</v>
          </cell>
          <cell r="ED41">
            <v>31999.919999999998</v>
          </cell>
          <cell r="EE41">
            <v>0</v>
          </cell>
          <cell r="EF41">
            <v>512.5</v>
          </cell>
          <cell r="EG41" t="str">
            <v>1</v>
          </cell>
          <cell r="EH41" t="str">
            <v>Lock             GS Mr</v>
          </cell>
          <cell r="EI41">
            <v>4625</v>
          </cell>
          <cell r="EJ41">
            <v>-1160.23</v>
          </cell>
          <cell r="EK41">
            <v>0</v>
          </cell>
        </row>
        <row r="42">
          <cell r="I42" t="str">
            <v>Potter           RG Mr</v>
          </cell>
          <cell r="J42">
            <v>3070</v>
          </cell>
          <cell r="K42">
            <v>20</v>
          </cell>
          <cell r="L42">
            <v>2958.33</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5232.91</v>
          </cell>
          <cell r="BA42">
            <v>0</v>
          </cell>
          <cell r="BB42">
            <v>0</v>
          </cell>
          <cell r="BC42">
            <v>0</v>
          </cell>
          <cell r="BD42">
            <v>0</v>
          </cell>
          <cell r="BE42">
            <v>0</v>
          </cell>
          <cell r="BF42">
            <v>311</v>
          </cell>
          <cell r="BG42">
            <v>0</v>
          </cell>
          <cell r="BH42">
            <v>1963.58</v>
          </cell>
          <cell r="BM42">
            <v>280.44</v>
          </cell>
          <cell r="BN42">
            <v>0</v>
          </cell>
          <cell r="BO42">
            <v>1442.3</v>
          </cell>
          <cell r="BP42">
            <v>1158.51</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617.48</v>
          </cell>
          <cell r="CP42">
            <v>0</v>
          </cell>
          <cell r="CQ42">
            <v>0</v>
          </cell>
          <cell r="CR42">
            <v>0</v>
          </cell>
          <cell r="CS42">
            <v>0</v>
          </cell>
          <cell r="CT42">
            <v>0</v>
          </cell>
          <cell r="CU42">
            <v>6146.22</v>
          </cell>
          <cell r="CV42">
            <v>0</v>
          </cell>
          <cell r="CW42">
            <v>0</v>
          </cell>
          <cell r="CX42">
            <v>0</v>
          </cell>
          <cell r="CY42">
            <v>115.37</v>
          </cell>
          <cell r="CZ42">
            <v>295.83</v>
          </cell>
          <cell r="DR42">
            <v>0</v>
          </cell>
          <cell r="DS42">
            <v>0</v>
          </cell>
          <cell r="DT42">
            <v>0</v>
          </cell>
          <cell r="DU42">
            <v>0</v>
          </cell>
          <cell r="DW42" t="str">
            <v>1</v>
          </cell>
          <cell r="DX42" t="str">
            <v>1</v>
          </cell>
          <cell r="DY42">
            <v>0</v>
          </cell>
          <cell r="DZ42">
            <v>0</v>
          </cell>
          <cell r="EA42">
            <v>0</v>
          </cell>
          <cell r="EB42">
            <v>0</v>
          </cell>
          <cell r="ED42">
            <v>35499.96</v>
          </cell>
          <cell r="EE42">
            <v>0</v>
          </cell>
          <cell r="EF42">
            <v>0</v>
          </cell>
          <cell r="EG42">
            <v>0</v>
          </cell>
          <cell r="EH42" t="str">
            <v>Potter           RG Mr</v>
          </cell>
          <cell r="EI42">
            <v>4844</v>
          </cell>
          <cell r="EJ42">
            <v>0</v>
          </cell>
          <cell r="EK42">
            <v>0</v>
          </cell>
        </row>
        <row r="43">
          <cell r="I43" t="str">
            <v>Sagi             E  Mr</v>
          </cell>
          <cell r="J43">
            <v>3070</v>
          </cell>
          <cell r="K43">
            <v>20</v>
          </cell>
          <cell r="L43">
            <v>4833.33</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225</v>
          </cell>
          <cell r="AM43">
            <v>0</v>
          </cell>
          <cell r="AN43">
            <v>0</v>
          </cell>
          <cell r="AO43">
            <v>0</v>
          </cell>
          <cell r="AP43">
            <v>0</v>
          </cell>
          <cell r="AQ43">
            <v>0</v>
          </cell>
          <cell r="AR43">
            <v>0</v>
          </cell>
          <cell r="AS43">
            <v>0</v>
          </cell>
          <cell r="AT43">
            <v>0</v>
          </cell>
          <cell r="AU43">
            <v>0</v>
          </cell>
          <cell r="AV43">
            <v>0</v>
          </cell>
          <cell r="AW43">
            <v>0</v>
          </cell>
          <cell r="AX43">
            <v>0</v>
          </cell>
          <cell r="AY43">
            <v>0</v>
          </cell>
          <cell r="AZ43">
            <v>5658.33</v>
          </cell>
          <cell r="BA43">
            <v>0</v>
          </cell>
          <cell r="BB43">
            <v>0</v>
          </cell>
          <cell r="BC43">
            <v>0</v>
          </cell>
          <cell r="BD43">
            <v>0</v>
          </cell>
          <cell r="BE43">
            <v>0</v>
          </cell>
          <cell r="BF43">
            <v>600</v>
          </cell>
          <cell r="BM43">
            <v>284.7</v>
          </cell>
          <cell r="BN43">
            <v>0</v>
          </cell>
          <cell r="BO43">
            <v>2045.9</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672</v>
          </cell>
          <cell r="CP43">
            <v>0</v>
          </cell>
          <cell r="CQ43">
            <v>0</v>
          </cell>
          <cell r="CR43">
            <v>0</v>
          </cell>
          <cell r="CS43">
            <v>0</v>
          </cell>
          <cell r="CT43">
            <v>0</v>
          </cell>
          <cell r="CU43">
            <v>6813.66</v>
          </cell>
          <cell r="CV43">
            <v>483.33</v>
          </cell>
          <cell r="CW43">
            <v>0</v>
          </cell>
          <cell r="CX43">
            <v>0</v>
          </cell>
          <cell r="CY43">
            <v>188.5</v>
          </cell>
          <cell r="CZ43">
            <v>483.33</v>
          </cell>
          <cell r="DR43">
            <v>0</v>
          </cell>
          <cell r="DS43">
            <v>0</v>
          </cell>
          <cell r="DT43">
            <v>0</v>
          </cell>
          <cell r="DU43">
            <v>0</v>
          </cell>
          <cell r="DW43" t="str">
            <v>1</v>
          </cell>
          <cell r="DX43" t="str">
            <v>1</v>
          </cell>
          <cell r="DY43">
            <v>0</v>
          </cell>
          <cell r="DZ43" t="str">
            <v>1</v>
          </cell>
          <cell r="EA43">
            <v>0</v>
          </cell>
          <cell r="EB43">
            <v>0</v>
          </cell>
          <cell r="ED43">
            <v>57999.96</v>
          </cell>
          <cell r="EE43">
            <v>0</v>
          </cell>
          <cell r="EF43">
            <v>225</v>
          </cell>
          <cell r="EG43" t="str">
            <v>1</v>
          </cell>
          <cell r="EH43" t="str">
            <v>Sagi             E  Mr</v>
          </cell>
          <cell r="EI43">
            <v>4864</v>
          </cell>
          <cell r="EJ43">
            <v>-2016.69</v>
          </cell>
          <cell r="EK43">
            <v>0</v>
          </cell>
        </row>
        <row r="44">
          <cell r="I44" t="str">
            <v>Keshet           G  Mr</v>
          </cell>
          <cell r="J44">
            <v>3070</v>
          </cell>
          <cell r="K44">
            <v>20</v>
          </cell>
          <cell r="L44">
            <v>4208.33</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800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5508.33</v>
          </cell>
          <cell r="BA44">
            <v>0</v>
          </cell>
          <cell r="BB44">
            <v>0</v>
          </cell>
          <cell r="BC44">
            <v>0</v>
          </cell>
          <cell r="BD44">
            <v>0</v>
          </cell>
          <cell r="BE44">
            <v>0</v>
          </cell>
          <cell r="BF44">
            <v>500</v>
          </cell>
          <cell r="BM44">
            <v>283.2</v>
          </cell>
          <cell r="BN44">
            <v>0</v>
          </cell>
          <cell r="BO44">
            <v>1605.5</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652.79999999999995</v>
          </cell>
          <cell r="CP44">
            <v>0</v>
          </cell>
          <cell r="CQ44">
            <v>0</v>
          </cell>
          <cell r="CR44">
            <v>0</v>
          </cell>
          <cell r="CS44">
            <v>0</v>
          </cell>
          <cell r="CT44">
            <v>0</v>
          </cell>
          <cell r="CU44">
            <v>6581.96</v>
          </cell>
          <cell r="CV44">
            <v>420.83</v>
          </cell>
          <cell r="CW44">
            <v>0</v>
          </cell>
          <cell r="CX44">
            <v>0</v>
          </cell>
          <cell r="CY44">
            <v>164.12</v>
          </cell>
          <cell r="CZ44">
            <v>420.83</v>
          </cell>
          <cell r="DR44">
            <v>0</v>
          </cell>
          <cell r="DS44">
            <v>0</v>
          </cell>
          <cell r="DT44">
            <v>0</v>
          </cell>
          <cell r="DU44">
            <v>0</v>
          </cell>
          <cell r="DW44" t="str">
            <v>1</v>
          </cell>
          <cell r="DX44" t="str">
            <v>1</v>
          </cell>
          <cell r="DY44">
            <v>0</v>
          </cell>
          <cell r="DZ44" t="str">
            <v>1</v>
          </cell>
          <cell r="EA44">
            <v>0</v>
          </cell>
          <cell r="EB44">
            <v>0</v>
          </cell>
          <cell r="ED44">
            <v>50499.96</v>
          </cell>
          <cell r="EE44">
            <v>0</v>
          </cell>
          <cell r="EF44">
            <v>800</v>
          </cell>
          <cell r="EG44" t="str">
            <v>1</v>
          </cell>
          <cell r="EH44" t="str">
            <v>Keshet           G  Mr</v>
          </cell>
          <cell r="EI44">
            <v>4865</v>
          </cell>
          <cell r="EJ44">
            <v>420.83</v>
          </cell>
          <cell r="EK44">
            <v>0</v>
          </cell>
        </row>
        <row r="45">
          <cell r="I45" t="str">
            <v>Spencer          G  Mr</v>
          </cell>
          <cell r="J45">
            <v>3070</v>
          </cell>
          <cell r="K45">
            <v>20</v>
          </cell>
          <cell r="L45">
            <v>2416.66</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225</v>
          </cell>
          <cell r="AM45">
            <v>0</v>
          </cell>
          <cell r="AN45">
            <v>0</v>
          </cell>
          <cell r="AO45">
            <v>0</v>
          </cell>
          <cell r="AP45">
            <v>0</v>
          </cell>
          <cell r="AQ45">
            <v>0</v>
          </cell>
          <cell r="AR45">
            <v>0</v>
          </cell>
          <cell r="AS45">
            <v>0</v>
          </cell>
          <cell r="AT45">
            <v>0</v>
          </cell>
          <cell r="AU45">
            <v>0</v>
          </cell>
          <cell r="AV45">
            <v>0</v>
          </cell>
          <cell r="AW45">
            <v>0</v>
          </cell>
          <cell r="AX45">
            <v>0</v>
          </cell>
          <cell r="AY45">
            <v>0</v>
          </cell>
          <cell r="AZ45">
            <v>3324.66</v>
          </cell>
          <cell r="BA45">
            <v>0</v>
          </cell>
          <cell r="BB45">
            <v>0</v>
          </cell>
          <cell r="BC45">
            <v>0</v>
          </cell>
          <cell r="BD45">
            <v>0</v>
          </cell>
          <cell r="BE45">
            <v>0</v>
          </cell>
          <cell r="BF45">
            <v>683</v>
          </cell>
          <cell r="BM45">
            <v>261.36</v>
          </cell>
          <cell r="BN45">
            <v>0</v>
          </cell>
          <cell r="BO45">
            <v>619.1</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373.25</v>
          </cell>
          <cell r="CP45">
            <v>0</v>
          </cell>
          <cell r="CQ45">
            <v>0</v>
          </cell>
          <cell r="CR45">
            <v>0</v>
          </cell>
          <cell r="CS45">
            <v>0</v>
          </cell>
          <cell r="CT45">
            <v>0</v>
          </cell>
          <cell r="CU45">
            <v>3939.58</v>
          </cell>
          <cell r="CV45">
            <v>43.33</v>
          </cell>
          <cell r="CW45">
            <v>0</v>
          </cell>
          <cell r="CX45">
            <v>0</v>
          </cell>
          <cell r="CY45">
            <v>94.25</v>
          </cell>
          <cell r="CZ45">
            <v>241.67</v>
          </cell>
          <cell r="DR45">
            <v>0</v>
          </cell>
          <cell r="DS45">
            <v>0</v>
          </cell>
          <cell r="DT45">
            <v>0</v>
          </cell>
          <cell r="DU45">
            <v>0</v>
          </cell>
          <cell r="DW45" t="str">
            <v>1</v>
          </cell>
          <cell r="DX45" t="str">
            <v>1</v>
          </cell>
          <cell r="DY45">
            <v>0</v>
          </cell>
          <cell r="DZ45" t="str">
            <v>1</v>
          </cell>
          <cell r="EA45">
            <v>0</v>
          </cell>
          <cell r="EB45">
            <v>0</v>
          </cell>
          <cell r="ED45">
            <v>28999.919999999998</v>
          </cell>
          <cell r="EE45">
            <v>0</v>
          </cell>
          <cell r="EF45">
            <v>225</v>
          </cell>
          <cell r="EG45" t="str">
            <v>1</v>
          </cell>
          <cell r="EH45" t="str">
            <v>Spencer          G  Mr</v>
          </cell>
          <cell r="EI45">
            <v>4867</v>
          </cell>
          <cell r="EJ45">
            <v>-216.65</v>
          </cell>
          <cell r="EK45">
            <v>0</v>
          </cell>
        </row>
        <row r="46">
          <cell r="I46" t="str">
            <v>Selvage          A  Mr</v>
          </cell>
          <cell r="J46">
            <v>3070</v>
          </cell>
          <cell r="K46">
            <v>20</v>
          </cell>
          <cell r="L46">
            <v>2645.83</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100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3345.83</v>
          </cell>
          <cell r="BA46">
            <v>0</v>
          </cell>
          <cell r="BB46">
            <v>0</v>
          </cell>
          <cell r="BC46">
            <v>0</v>
          </cell>
          <cell r="BD46">
            <v>0</v>
          </cell>
          <cell r="BE46">
            <v>0</v>
          </cell>
          <cell r="BF46">
            <v>600</v>
          </cell>
          <cell r="BM46">
            <v>261.57</v>
          </cell>
          <cell r="BN46">
            <v>0</v>
          </cell>
          <cell r="BO46">
            <v>759.9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375.94</v>
          </cell>
          <cell r="CP46">
            <v>0</v>
          </cell>
          <cell r="CQ46">
            <v>0</v>
          </cell>
          <cell r="CR46">
            <v>0</v>
          </cell>
          <cell r="CS46">
            <v>0</v>
          </cell>
          <cell r="CT46">
            <v>0</v>
          </cell>
          <cell r="CU46">
            <v>3986.35</v>
          </cell>
          <cell r="CV46">
            <v>0</v>
          </cell>
          <cell r="CW46">
            <v>132.29</v>
          </cell>
          <cell r="CX46">
            <v>0</v>
          </cell>
          <cell r="CY46">
            <v>206.37</v>
          </cell>
          <cell r="CZ46">
            <v>264.58</v>
          </cell>
          <cell r="DR46">
            <v>0</v>
          </cell>
          <cell r="DS46">
            <v>0</v>
          </cell>
          <cell r="DT46">
            <v>0</v>
          </cell>
          <cell r="DU46">
            <v>0</v>
          </cell>
          <cell r="DW46" t="str">
            <v>1</v>
          </cell>
          <cell r="DX46" t="str">
            <v>1</v>
          </cell>
          <cell r="DY46">
            <v>0</v>
          </cell>
          <cell r="DZ46">
            <v>0</v>
          </cell>
          <cell r="EA46">
            <v>0</v>
          </cell>
          <cell r="EB46">
            <v>0</v>
          </cell>
          <cell r="ED46">
            <v>31749.96</v>
          </cell>
          <cell r="EE46">
            <v>0</v>
          </cell>
          <cell r="EF46">
            <v>100</v>
          </cell>
          <cell r="EG46" t="str">
            <v>1</v>
          </cell>
          <cell r="EH46" t="str">
            <v>Selvage          A  Mr</v>
          </cell>
          <cell r="EI46">
            <v>4868</v>
          </cell>
          <cell r="EJ46">
            <v>-620.84</v>
          </cell>
          <cell r="EK46">
            <v>0</v>
          </cell>
        </row>
        <row r="47">
          <cell r="I47" t="str">
            <v>Kochavi          S  Mr</v>
          </cell>
          <cell r="J47">
            <v>3070</v>
          </cell>
          <cell r="K47">
            <v>20</v>
          </cell>
          <cell r="L47">
            <v>4583.33</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475</v>
          </cell>
          <cell r="AM47">
            <v>0</v>
          </cell>
          <cell r="AN47">
            <v>0</v>
          </cell>
          <cell r="AO47">
            <v>0</v>
          </cell>
          <cell r="AP47">
            <v>0</v>
          </cell>
          <cell r="AQ47">
            <v>0</v>
          </cell>
          <cell r="AR47">
            <v>0</v>
          </cell>
          <cell r="AS47">
            <v>0</v>
          </cell>
          <cell r="AT47">
            <v>0</v>
          </cell>
          <cell r="AU47">
            <v>0</v>
          </cell>
          <cell r="AV47">
            <v>0</v>
          </cell>
          <cell r="AW47">
            <v>0</v>
          </cell>
          <cell r="AX47">
            <v>0</v>
          </cell>
          <cell r="AY47">
            <v>0</v>
          </cell>
          <cell r="AZ47">
            <v>5708.33</v>
          </cell>
          <cell r="BA47">
            <v>0</v>
          </cell>
          <cell r="BB47">
            <v>0</v>
          </cell>
          <cell r="BC47">
            <v>0</v>
          </cell>
          <cell r="BD47">
            <v>0</v>
          </cell>
          <cell r="BE47">
            <v>0</v>
          </cell>
          <cell r="BF47">
            <v>650</v>
          </cell>
          <cell r="BM47">
            <v>285.2</v>
          </cell>
          <cell r="BN47">
            <v>0</v>
          </cell>
          <cell r="BO47">
            <v>1627.5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678.4</v>
          </cell>
          <cell r="CP47">
            <v>0</v>
          </cell>
          <cell r="CQ47">
            <v>0</v>
          </cell>
          <cell r="CR47">
            <v>0</v>
          </cell>
          <cell r="CS47">
            <v>0</v>
          </cell>
          <cell r="CT47">
            <v>0</v>
          </cell>
          <cell r="CU47">
            <v>6386.73</v>
          </cell>
          <cell r="DR47">
            <v>0</v>
          </cell>
          <cell r="DS47">
            <v>0</v>
          </cell>
          <cell r="DT47">
            <v>0</v>
          </cell>
          <cell r="DU47">
            <v>0</v>
          </cell>
          <cell r="DW47" t="str">
            <v>1</v>
          </cell>
          <cell r="DX47">
            <v>0</v>
          </cell>
          <cell r="DY47">
            <v>0</v>
          </cell>
          <cell r="DZ47">
            <v>0</v>
          </cell>
          <cell r="EA47">
            <v>0</v>
          </cell>
          <cell r="EB47">
            <v>0</v>
          </cell>
          <cell r="ED47">
            <v>54999.96</v>
          </cell>
          <cell r="EE47">
            <v>0</v>
          </cell>
          <cell r="EF47">
            <v>475</v>
          </cell>
          <cell r="EG47" t="str">
            <v>1</v>
          </cell>
          <cell r="EH47" t="str">
            <v>Kochavi          S  Mr</v>
          </cell>
          <cell r="EI47">
            <v>4897</v>
          </cell>
          <cell r="EK47">
            <v>0</v>
          </cell>
        </row>
        <row r="48">
          <cell r="I48" t="str">
            <v>Rutter           J  Mr</v>
          </cell>
          <cell r="J48">
            <v>3070</v>
          </cell>
          <cell r="K48">
            <v>20</v>
          </cell>
          <cell r="L48">
            <v>2833.33</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262.5</v>
          </cell>
          <cell r="AM48">
            <v>0</v>
          </cell>
          <cell r="AN48">
            <v>0</v>
          </cell>
          <cell r="AO48">
            <v>0</v>
          </cell>
          <cell r="AP48">
            <v>0</v>
          </cell>
          <cell r="AQ48">
            <v>0</v>
          </cell>
          <cell r="AR48">
            <v>0</v>
          </cell>
          <cell r="AS48">
            <v>0</v>
          </cell>
          <cell r="AT48">
            <v>0</v>
          </cell>
          <cell r="AU48">
            <v>0</v>
          </cell>
          <cell r="AV48">
            <v>0</v>
          </cell>
          <cell r="AW48">
            <v>0</v>
          </cell>
          <cell r="AX48">
            <v>0</v>
          </cell>
          <cell r="AY48">
            <v>0</v>
          </cell>
          <cell r="AZ48">
            <v>3695.83</v>
          </cell>
          <cell r="BA48">
            <v>0</v>
          </cell>
          <cell r="BB48">
            <v>0</v>
          </cell>
          <cell r="BC48">
            <v>0</v>
          </cell>
          <cell r="BD48">
            <v>0</v>
          </cell>
          <cell r="BE48">
            <v>0</v>
          </cell>
          <cell r="BF48">
            <v>600</v>
          </cell>
          <cell r="BM48">
            <v>265.07</v>
          </cell>
          <cell r="BN48">
            <v>0</v>
          </cell>
          <cell r="BO48">
            <v>819.1</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420.74</v>
          </cell>
          <cell r="CP48">
            <v>0</v>
          </cell>
          <cell r="CQ48">
            <v>0</v>
          </cell>
          <cell r="CR48">
            <v>0</v>
          </cell>
          <cell r="CS48">
            <v>0</v>
          </cell>
          <cell r="CT48">
            <v>0</v>
          </cell>
          <cell r="CU48">
            <v>4399.8999999999996</v>
          </cell>
          <cell r="CV48">
            <v>283.33</v>
          </cell>
          <cell r="CW48">
            <v>0</v>
          </cell>
          <cell r="CX48">
            <v>0</v>
          </cell>
          <cell r="CY48">
            <v>132.6</v>
          </cell>
          <cell r="CZ48">
            <v>283.33</v>
          </cell>
          <cell r="DR48">
            <v>0</v>
          </cell>
          <cell r="DS48">
            <v>0</v>
          </cell>
          <cell r="DT48">
            <v>0</v>
          </cell>
          <cell r="DU48">
            <v>0</v>
          </cell>
          <cell r="DW48" t="str">
            <v>1</v>
          </cell>
          <cell r="DX48" t="str">
            <v>1</v>
          </cell>
          <cell r="DY48">
            <v>0</v>
          </cell>
          <cell r="DZ48" t="str">
            <v>1</v>
          </cell>
          <cell r="EA48">
            <v>0</v>
          </cell>
          <cell r="EB48">
            <v>0</v>
          </cell>
          <cell r="ED48">
            <v>33999.96</v>
          </cell>
          <cell r="EE48">
            <v>0</v>
          </cell>
          <cell r="EF48">
            <v>262.5</v>
          </cell>
          <cell r="EG48" t="str">
            <v>1</v>
          </cell>
          <cell r="EH48" t="str">
            <v>Rutter           J  Mr</v>
          </cell>
          <cell r="EI48">
            <v>4899</v>
          </cell>
          <cell r="EJ48">
            <v>-963.32</v>
          </cell>
          <cell r="EK48">
            <v>0</v>
          </cell>
        </row>
        <row r="49">
          <cell r="I49" t="str">
            <v>Lally            J  Mr</v>
          </cell>
          <cell r="J49">
            <v>3070</v>
          </cell>
          <cell r="K49">
            <v>20</v>
          </cell>
          <cell r="L49">
            <v>2416.67</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325</v>
          </cell>
          <cell r="AM49">
            <v>0</v>
          </cell>
          <cell r="AN49">
            <v>0</v>
          </cell>
          <cell r="AO49">
            <v>0</v>
          </cell>
          <cell r="AP49">
            <v>0</v>
          </cell>
          <cell r="AQ49">
            <v>0</v>
          </cell>
          <cell r="AR49">
            <v>0</v>
          </cell>
          <cell r="AS49">
            <v>0</v>
          </cell>
          <cell r="AT49">
            <v>0</v>
          </cell>
          <cell r="AU49">
            <v>0</v>
          </cell>
          <cell r="AV49">
            <v>0</v>
          </cell>
          <cell r="AW49">
            <v>0</v>
          </cell>
          <cell r="AX49">
            <v>0</v>
          </cell>
          <cell r="AY49">
            <v>0</v>
          </cell>
          <cell r="AZ49">
            <v>2741.67</v>
          </cell>
          <cell r="BM49">
            <v>255.53</v>
          </cell>
          <cell r="BN49">
            <v>0</v>
          </cell>
          <cell r="BO49">
            <v>567.5</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298.63</v>
          </cell>
          <cell r="CP49">
            <v>0</v>
          </cell>
          <cell r="CQ49">
            <v>0</v>
          </cell>
          <cell r="CR49">
            <v>0</v>
          </cell>
          <cell r="CS49">
            <v>0</v>
          </cell>
          <cell r="CT49">
            <v>0</v>
          </cell>
          <cell r="CU49">
            <v>3281.97</v>
          </cell>
          <cell r="CV49">
            <v>48.33</v>
          </cell>
          <cell r="CW49">
            <v>0</v>
          </cell>
          <cell r="CX49">
            <v>0</v>
          </cell>
          <cell r="CY49">
            <v>94.25</v>
          </cell>
          <cell r="CZ49">
            <v>241.67</v>
          </cell>
          <cell r="DA49">
            <v>0</v>
          </cell>
          <cell r="DB49">
            <v>0</v>
          </cell>
          <cell r="DC49">
            <v>0</v>
          </cell>
          <cell r="DD49">
            <v>0</v>
          </cell>
          <cell r="DE49">
            <v>0</v>
          </cell>
          <cell r="DF49">
            <v>0</v>
          </cell>
          <cell r="DG49">
            <v>43.67</v>
          </cell>
          <cell r="DR49">
            <v>0</v>
          </cell>
          <cell r="DS49">
            <v>0</v>
          </cell>
          <cell r="DT49">
            <v>0</v>
          </cell>
          <cell r="DU49">
            <v>0</v>
          </cell>
          <cell r="DW49">
            <v>0</v>
          </cell>
          <cell r="DX49" t="str">
            <v>1</v>
          </cell>
          <cell r="DY49">
            <v>0</v>
          </cell>
          <cell r="DZ49" t="str">
            <v>1</v>
          </cell>
          <cell r="EA49">
            <v>0</v>
          </cell>
          <cell r="EB49">
            <v>0</v>
          </cell>
          <cell r="ED49">
            <v>29000.04</v>
          </cell>
          <cell r="EE49">
            <v>0</v>
          </cell>
          <cell r="EF49">
            <v>325</v>
          </cell>
          <cell r="EG49" t="str">
            <v>1</v>
          </cell>
          <cell r="EH49" t="str">
            <v>Lally            J  Mr</v>
          </cell>
          <cell r="EI49">
            <v>4945</v>
          </cell>
          <cell r="EJ49">
            <v>0</v>
          </cell>
          <cell r="EK49">
            <v>0</v>
          </cell>
        </row>
        <row r="50">
          <cell r="I50" t="str">
            <v>Crosby           G  Mr</v>
          </cell>
          <cell r="J50">
            <v>3070</v>
          </cell>
          <cell r="K50">
            <v>30</v>
          </cell>
          <cell r="L50">
            <v>2583.33</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225</v>
          </cell>
          <cell r="AM50">
            <v>0</v>
          </cell>
          <cell r="AN50">
            <v>0</v>
          </cell>
          <cell r="AO50">
            <v>0</v>
          </cell>
          <cell r="AP50">
            <v>0</v>
          </cell>
          <cell r="AQ50">
            <v>0</v>
          </cell>
          <cell r="AR50">
            <v>0</v>
          </cell>
          <cell r="AS50">
            <v>0</v>
          </cell>
          <cell r="AT50">
            <v>0</v>
          </cell>
          <cell r="AU50">
            <v>0</v>
          </cell>
          <cell r="AV50">
            <v>0</v>
          </cell>
          <cell r="AW50">
            <v>0</v>
          </cell>
          <cell r="AX50">
            <v>0</v>
          </cell>
          <cell r="AY50">
            <v>0</v>
          </cell>
          <cell r="AZ50">
            <v>3333.33</v>
          </cell>
          <cell r="BA50">
            <v>0</v>
          </cell>
          <cell r="BB50">
            <v>0</v>
          </cell>
          <cell r="BC50">
            <v>0</v>
          </cell>
          <cell r="BD50">
            <v>0</v>
          </cell>
          <cell r="BE50">
            <v>0</v>
          </cell>
          <cell r="BF50">
            <v>525</v>
          </cell>
          <cell r="BM50">
            <v>261.45</v>
          </cell>
          <cell r="BN50">
            <v>0</v>
          </cell>
          <cell r="BO50">
            <v>672.3</v>
          </cell>
          <cell r="BP50">
            <v>0</v>
          </cell>
          <cell r="BQ50">
            <v>0</v>
          </cell>
          <cell r="BR50">
            <v>0</v>
          </cell>
          <cell r="BS50">
            <v>0</v>
          </cell>
          <cell r="BT50">
            <v>0</v>
          </cell>
          <cell r="BU50">
            <v>0</v>
          </cell>
          <cell r="BV50">
            <v>0</v>
          </cell>
          <cell r="BW50">
            <v>0</v>
          </cell>
          <cell r="BX50">
            <v>0</v>
          </cell>
          <cell r="BY50">
            <v>0</v>
          </cell>
          <cell r="BZ50">
            <v>28</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374.4</v>
          </cell>
          <cell r="CP50">
            <v>0</v>
          </cell>
          <cell r="CQ50">
            <v>0</v>
          </cell>
          <cell r="CR50">
            <v>0</v>
          </cell>
          <cell r="CS50">
            <v>0</v>
          </cell>
          <cell r="CT50">
            <v>0</v>
          </cell>
          <cell r="CU50">
            <v>3966.06</v>
          </cell>
          <cell r="CV50">
            <v>0</v>
          </cell>
          <cell r="CW50">
            <v>0</v>
          </cell>
          <cell r="CX50">
            <v>0</v>
          </cell>
          <cell r="CY50">
            <v>100.75</v>
          </cell>
          <cell r="CZ50">
            <v>258.33</v>
          </cell>
          <cell r="DR50">
            <v>0</v>
          </cell>
          <cell r="DS50">
            <v>0</v>
          </cell>
          <cell r="DT50">
            <v>0</v>
          </cell>
          <cell r="DU50" t="str">
            <v>1</v>
          </cell>
          <cell r="DV50">
            <v>22</v>
          </cell>
          <cell r="DW50" t="str">
            <v>1</v>
          </cell>
          <cell r="DX50" t="str">
            <v>1</v>
          </cell>
          <cell r="DY50">
            <v>0</v>
          </cell>
          <cell r="DZ50">
            <v>0</v>
          </cell>
          <cell r="EA50">
            <v>0</v>
          </cell>
          <cell r="EB50">
            <v>0</v>
          </cell>
          <cell r="ED50">
            <v>30999.96</v>
          </cell>
          <cell r="EE50">
            <v>0</v>
          </cell>
          <cell r="EF50">
            <v>225</v>
          </cell>
          <cell r="EG50" t="str">
            <v>1</v>
          </cell>
          <cell r="EH50" t="str">
            <v>Crosby           G  Mr</v>
          </cell>
          <cell r="EI50">
            <v>4975</v>
          </cell>
          <cell r="EJ50">
            <v>-1159.56</v>
          </cell>
          <cell r="EK50">
            <v>0</v>
          </cell>
        </row>
        <row r="51">
          <cell r="I51" t="str">
            <v>AYTON            C  MR</v>
          </cell>
          <cell r="J51">
            <v>3071</v>
          </cell>
          <cell r="K51">
            <v>20</v>
          </cell>
          <cell r="L51">
            <v>1966.66</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2243.56</v>
          </cell>
          <cell r="BA51">
            <v>0</v>
          </cell>
          <cell r="BB51">
            <v>0</v>
          </cell>
          <cell r="BC51">
            <v>0</v>
          </cell>
          <cell r="BD51">
            <v>0</v>
          </cell>
          <cell r="BE51">
            <v>0</v>
          </cell>
          <cell r="BF51">
            <v>276.89999999999998</v>
          </cell>
          <cell r="BM51">
            <v>201.74</v>
          </cell>
          <cell r="BN51">
            <v>0</v>
          </cell>
          <cell r="BO51">
            <v>489.07</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234.75</v>
          </cell>
          <cell r="CP51">
            <v>0</v>
          </cell>
          <cell r="CQ51">
            <v>0</v>
          </cell>
          <cell r="CR51">
            <v>0</v>
          </cell>
          <cell r="CS51">
            <v>0</v>
          </cell>
          <cell r="CT51">
            <v>0</v>
          </cell>
          <cell r="CU51">
            <v>2674.98</v>
          </cell>
          <cell r="CV51">
            <v>0</v>
          </cell>
          <cell r="CW51">
            <v>0</v>
          </cell>
          <cell r="CX51">
            <v>0</v>
          </cell>
          <cell r="CY51">
            <v>76.7</v>
          </cell>
          <cell r="CZ51">
            <v>196.67</v>
          </cell>
          <cell r="DR51">
            <v>0</v>
          </cell>
          <cell r="DS51">
            <v>0</v>
          </cell>
          <cell r="DT51">
            <v>0</v>
          </cell>
          <cell r="DU51">
            <v>0</v>
          </cell>
          <cell r="DW51" t="str">
            <v>1</v>
          </cell>
          <cell r="DX51" t="str">
            <v>1</v>
          </cell>
          <cell r="DY51">
            <v>0</v>
          </cell>
          <cell r="DZ51">
            <v>0</v>
          </cell>
          <cell r="EA51">
            <v>0</v>
          </cell>
          <cell r="EB51">
            <v>0</v>
          </cell>
          <cell r="ED51">
            <v>23599.920000000002</v>
          </cell>
          <cell r="EE51" t="str">
            <v>1</v>
          </cell>
          <cell r="EF51">
            <v>0</v>
          </cell>
          <cell r="EG51">
            <v>0</v>
          </cell>
          <cell r="EH51" t="str">
            <v>AYTON            C  MR</v>
          </cell>
          <cell r="EI51">
            <v>4984</v>
          </cell>
          <cell r="EJ51">
            <v>-1858.35</v>
          </cell>
          <cell r="EK51">
            <v>0</v>
          </cell>
        </row>
        <row r="52">
          <cell r="I52" t="str">
            <v>BINNS            S  MR</v>
          </cell>
          <cell r="J52">
            <v>3071</v>
          </cell>
          <cell r="K52">
            <v>20</v>
          </cell>
          <cell r="L52">
            <v>3500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3950</v>
          </cell>
          <cell r="BA52">
            <v>0</v>
          </cell>
          <cell r="BB52">
            <v>0</v>
          </cell>
          <cell r="BC52">
            <v>0</v>
          </cell>
          <cell r="BD52">
            <v>0</v>
          </cell>
          <cell r="BE52">
            <v>0</v>
          </cell>
          <cell r="BF52">
            <v>450</v>
          </cell>
          <cell r="BM52">
            <v>267.62</v>
          </cell>
          <cell r="BN52">
            <v>0</v>
          </cell>
          <cell r="BO52">
            <v>923.1</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453.38</v>
          </cell>
          <cell r="CP52">
            <v>0</v>
          </cell>
          <cell r="CQ52">
            <v>0</v>
          </cell>
          <cell r="CR52">
            <v>0</v>
          </cell>
          <cell r="CS52">
            <v>0</v>
          </cell>
          <cell r="CT52">
            <v>0</v>
          </cell>
          <cell r="CU52">
            <v>4753.38</v>
          </cell>
          <cell r="CV52">
            <v>0</v>
          </cell>
          <cell r="CW52">
            <v>0</v>
          </cell>
          <cell r="CX52">
            <v>0</v>
          </cell>
          <cell r="CY52">
            <v>136.5</v>
          </cell>
          <cell r="CZ52">
            <v>350</v>
          </cell>
          <cell r="DR52">
            <v>0</v>
          </cell>
          <cell r="DS52">
            <v>0</v>
          </cell>
          <cell r="DT52">
            <v>0</v>
          </cell>
          <cell r="DU52">
            <v>0</v>
          </cell>
          <cell r="DW52" t="str">
            <v>1</v>
          </cell>
          <cell r="DX52" t="str">
            <v>1</v>
          </cell>
          <cell r="DY52">
            <v>0</v>
          </cell>
          <cell r="DZ52">
            <v>0</v>
          </cell>
          <cell r="EA52">
            <v>0</v>
          </cell>
          <cell r="EB52">
            <v>0</v>
          </cell>
          <cell r="ED52">
            <v>42000</v>
          </cell>
          <cell r="EE52">
            <v>0</v>
          </cell>
          <cell r="EF52">
            <v>0</v>
          </cell>
          <cell r="EG52">
            <v>0</v>
          </cell>
          <cell r="EH52" t="str">
            <v>BINNS            S  MR</v>
          </cell>
          <cell r="EI52">
            <v>4985</v>
          </cell>
          <cell r="EJ52">
            <v>-1858.35</v>
          </cell>
          <cell r="EK52">
            <v>0</v>
          </cell>
        </row>
        <row r="53">
          <cell r="I53" t="str">
            <v>BLACKHALL        R  MR</v>
          </cell>
          <cell r="J53">
            <v>3071</v>
          </cell>
          <cell r="K53">
            <v>20</v>
          </cell>
          <cell r="L53">
            <v>1633.33</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1633.33</v>
          </cell>
          <cell r="BM53">
            <v>134.86000000000001</v>
          </cell>
          <cell r="BN53">
            <v>0</v>
          </cell>
          <cell r="BO53">
            <v>360.37</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156.93</v>
          </cell>
          <cell r="CP53">
            <v>0</v>
          </cell>
          <cell r="CQ53">
            <v>0</v>
          </cell>
          <cell r="CR53">
            <v>0</v>
          </cell>
          <cell r="CS53">
            <v>0</v>
          </cell>
          <cell r="CT53">
            <v>0</v>
          </cell>
          <cell r="CU53">
            <v>1953.59</v>
          </cell>
          <cell r="CV53">
            <v>0</v>
          </cell>
          <cell r="CW53">
            <v>0</v>
          </cell>
          <cell r="CX53">
            <v>0</v>
          </cell>
          <cell r="CY53">
            <v>63.7</v>
          </cell>
          <cell r="CZ53">
            <v>163.33000000000001</v>
          </cell>
          <cell r="DR53">
            <v>0</v>
          </cell>
          <cell r="DS53">
            <v>0</v>
          </cell>
          <cell r="DT53">
            <v>0</v>
          </cell>
          <cell r="DU53">
            <v>0</v>
          </cell>
          <cell r="DW53">
            <v>0</v>
          </cell>
          <cell r="DX53" t="str">
            <v>1</v>
          </cell>
          <cell r="DY53">
            <v>0</v>
          </cell>
          <cell r="DZ53">
            <v>0</v>
          </cell>
          <cell r="EA53">
            <v>0</v>
          </cell>
          <cell r="EB53">
            <v>0</v>
          </cell>
          <cell r="ED53">
            <v>19599.96</v>
          </cell>
          <cell r="EE53" t="str">
            <v>1</v>
          </cell>
          <cell r="EF53">
            <v>0</v>
          </cell>
          <cell r="EG53">
            <v>0</v>
          </cell>
          <cell r="EH53" t="str">
            <v>BLACKHALL        R  MR</v>
          </cell>
          <cell r="EI53">
            <v>4986</v>
          </cell>
          <cell r="EJ53">
            <v>-2031.25</v>
          </cell>
          <cell r="EK53">
            <v>0</v>
          </cell>
        </row>
        <row r="54">
          <cell r="I54" t="str">
            <v>BROWN            J  MR</v>
          </cell>
          <cell r="J54">
            <v>3071</v>
          </cell>
          <cell r="K54">
            <v>20</v>
          </cell>
          <cell r="L54">
            <v>2208.33</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2993.14</v>
          </cell>
          <cell r="BA54">
            <v>0</v>
          </cell>
          <cell r="BB54">
            <v>0</v>
          </cell>
          <cell r="BC54">
            <v>0</v>
          </cell>
          <cell r="BD54">
            <v>0</v>
          </cell>
          <cell r="BE54">
            <v>0</v>
          </cell>
          <cell r="BF54">
            <v>0</v>
          </cell>
          <cell r="BG54">
            <v>0</v>
          </cell>
          <cell r="BH54">
            <v>0</v>
          </cell>
          <cell r="BI54">
            <v>0</v>
          </cell>
          <cell r="BJ54">
            <v>0</v>
          </cell>
          <cell r="BK54">
            <v>784.81</v>
          </cell>
          <cell r="BM54">
            <v>258.05</v>
          </cell>
          <cell r="BN54">
            <v>0</v>
          </cell>
          <cell r="BO54">
            <v>719.1</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330.88</v>
          </cell>
          <cell r="CP54">
            <v>0</v>
          </cell>
          <cell r="CQ54">
            <v>0</v>
          </cell>
          <cell r="CR54">
            <v>0</v>
          </cell>
          <cell r="CS54">
            <v>0</v>
          </cell>
          <cell r="CT54">
            <v>0</v>
          </cell>
          <cell r="CU54">
            <v>3544.85</v>
          </cell>
          <cell r="CV54">
            <v>0</v>
          </cell>
          <cell r="CW54">
            <v>0</v>
          </cell>
          <cell r="CX54">
            <v>0</v>
          </cell>
          <cell r="CY54">
            <v>66.25</v>
          </cell>
          <cell r="CZ54">
            <v>220.83</v>
          </cell>
          <cell r="DR54">
            <v>0</v>
          </cell>
          <cell r="DS54">
            <v>0</v>
          </cell>
          <cell r="DT54">
            <v>0</v>
          </cell>
          <cell r="DU54">
            <v>0</v>
          </cell>
          <cell r="DW54">
            <v>0</v>
          </cell>
          <cell r="DX54" t="str">
            <v>1</v>
          </cell>
          <cell r="DY54">
            <v>0</v>
          </cell>
          <cell r="DZ54">
            <v>0</v>
          </cell>
          <cell r="EA54">
            <v>0</v>
          </cell>
          <cell r="EB54">
            <v>0</v>
          </cell>
          <cell r="ED54">
            <v>26499.96</v>
          </cell>
          <cell r="EE54" t="str">
            <v>1</v>
          </cell>
          <cell r="EF54">
            <v>0</v>
          </cell>
          <cell r="EG54">
            <v>0</v>
          </cell>
          <cell r="EH54" t="str">
            <v>BROWN            J  MR</v>
          </cell>
          <cell r="EI54">
            <v>4987</v>
          </cell>
          <cell r="EJ54">
            <v>0</v>
          </cell>
          <cell r="EK54">
            <v>784.81</v>
          </cell>
        </row>
        <row r="55">
          <cell r="I55" t="str">
            <v>DUMAN            M  MR</v>
          </cell>
          <cell r="J55">
            <v>3071</v>
          </cell>
          <cell r="K55">
            <v>20</v>
          </cell>
          <cell r="L55">
            <v>1541.66</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175</v>
          </cell>
          <cell r="AM55">
            <v>0</v>
          </cell>
          <cell r="AN55">
            <v>0</v>
          </cell>
          <cell r="AO55">
            <v>0</v>
          </cell>
          <cell r="AP55">
            <v>0</v>
          </cell>
          <cell r="AQ55">
            <v>0</v>
          </cell>
          <cell r="AR55">
            <v>0</v>
          </cell>
          <cell r="AS55">
            <v>0</v>
          </cell>
          <cell r="AT55">
            <v>0</v>
          </cell>
          <cell r="AU55">
            <v>0</v>
          </cell>
          <cell r="AV55">
            <v>0</v>
          </cell>
          <cell r="AW55">
            <v>0</v>
          </cell>
          <cell r="AX55">
            <v>0</v>
          </cell>
          <cell r="AY55">
            <v>0</v>
          </cell>
          <cell r="AZ55">
            <v>2058.1999999999998</v>
          </cell>
          <cell r="BA55">
            <v>0</v>
          </cell>
          <cell r="BB55">
            <v>0</v>
          </cell>
          <cell r="BC55">
            <v>0</v>
          </cell>
          <cell r="BD55">
            <v>0</v>
          </cell>
          <cell r="BE55">
            <v>0</v>
          </cell>
          <cell r="BF55">
            <v>0</v>
          </cell>
          <cell r="BG55">
            <v>0</v>
          </cell>
          <cell r="BH55">
            <v>0</v>
          </cell>
          <cell r="BI55">
            <v>0</v>
          </cell>
          <cell r="BJ55">
            <v>0</v>
          </cell>
          <cell r="BK55">
            <v>341.54</v>
          </cell>
          <cell r="BM55">
            <v>181.5</v>
          </cell>
          <cell r="BN55">
            <v>0</v>
          </cell>
          <cell r="BO55">
            <v>503.81</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211.2</v>
          </cell>
          <cell r="CP55">
            <v>0</v>
          </cell>
          <cell r="CQ55">
            <v>0</v>
          </cell>
          <cell r="CR55">
            <v>0</v>
          </cell>
          <cell r="CS55">
            <v>0</v>
          </cell>
          <cell r="CT55">
            <v>0</v>
          </cell>
          <cell r="CU55">
            <v>2423.5700000000002</v>
          </cell>
          <cell r="CV55">
            <v>0</v>
          </cell>
          <cell r="CW55">
            <v>0</v>
          </cell>
          <cell r="CX55">
            <v>0</v>
          </cell>
          <cell r="CY55">
            <v>60.12</v>
          </cell>
          <cell r="CZ55">
            <v>154.16999999999999</v>
          </cell>
          <cell r="DR55">
            <v>0</v>
          </cell>
          <cell r="DS55">
            <v>0</v>
          </cell>
          <cell r="DT55">
            <v>0</v>
          </cell>
          <cell r="DU55">
            <v>0</v>
          </cell>
          <cell r="DW55">
            <v>0</v>
          </cell>
          <cell r="DX55" t="str">
            <v>1</v>
          </cell>
          <cell r="DY55">
            <v>0</v>
          </cell>
          <cell r="DZ55">
            <v>0</v>
          </cell>
          <cell r="EA55">
            <v>0</v>
          </cell>
          <cell r="EB55">
            <v>0</v>
          </cell>
          <cell r="ED55">
            <v>18499.920000000002</v>
          </cell>
          <cell r="EE55" t="str">
            <v>1</v>
          </cell>
          <cell r="EF55">
            <v>175</v>
          </cell>
          <cell r="EG55" t="str">
            <v>1</v>
          </cell>
          <cell r="EH55" t="str">
            <v>DUMAN            M  MR</v>
          </cell>
          <cell r="EI55">
            <v>4989</v>
          </cell>
          <cell r="EJ55">
            <v>-1678.1</v>
          </cell>
          <cell r="EK55">
            <v>341.54</v>
          </cell>
        </row>
        <row r="56">
          <cell r="I56" t="str">
            <v>GRAHAM           R  MR</v>
          </cell>
          <cell r="J56">
            <v>3071</v>
          </cell>
          <cell r="K56">
            <v>20</v>
          </cell>
          <cell r="L56">
            <v>1625</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1901.9</v>
          </cell>
          <cell r="BA56">
            <v>0</v>
          </cell>
          <cell r="BB56">
            <v>0</v>
          </cell>
          <cell r="BC56">
            <v>0</v>
          </cell>
          <cell r="BD56">
            <v>0</v>
          </cell>
          <cell r="BE56">
            <v>0</v>
          </cell>
          <cell r="BF56">
            <v>276.89999999999998</v>
          </cell>
          <cell r="BM56">
            <v>164.34</v>
          </cell>
          <cell r="BN56">
            <v>0</v>
          </cell>
          <cell r="BO56">
            <v>533.51</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191.23</v>
          </cell>
          <cell r="CP56">
            <v>0</v>
          </cell>
          <cell r="CQ56">
            <v>0</v>
          </cell>
          <cell r="CR56">
            <v>0</v>
          </cell>
          <cell r="CS56">
            <v>0</v>
          </cell>
          <cell r="CT56">
            <v>0</v>
          </cell>
          <cell r="CU56">
            <v>2255.63</v>
          </cell>
          <cell r="CV56">
            <v>0</v>
          </cell>
          <cell r="CW56">
            <v>0</v>
          </cell>
          <cell r="CX56">
            <v>0</v>
          </cell>
          <cell r="CY56">
            <v>63.38</v>
          </cell>
          <cell r="CZ56">
            <v>162.5</v>
          </cell>
          <cell r="DR56">
            <v>0</v>
          </cell>
          <cell r="DS56">
            <v>0</v>
          </cell>
          <cell r="DT56">
            <v>0</v>
          </cell>
          <cell r="DU56">
            <v>0</v>
          </cell>
          <cell r="DW56" t="str">
            <v>1</v>
          </cell>
          <cell r="DX56" t="str">
            <v>1</v>
          </cell>
          <cell r="DY56">
            <v>0</v>
          </cell>
          <cell r="DZ56">
            <v>0</v>
          </cell>
          <cell r="EA56">
            <v>0</v>
          </cell>
          <cell r="EB56">
            <v>0</v>
          </cell>
          <cell r="ED56">
            <v>19500</v>
          </cell>
          <cell r="EE56" t="str">
            <v>1</v>
          </cell>
          <cell r="EF56">
            <v>0</v>
          </cell>
          <cell r="EG56">
            <v>0</v>
          </cell>
          <cell r="EH56" t="str">
            <v>GRAHAM           R  MR</v>
          </cell>
          <cell r="EI56">
            <v>4990</v>
          </cell>
          <cell r="EJ56">
            <v>-1298.49</v>
          </cell>
          <cell r="EK56">
            <v>0</v>
          </cell>
        </row>
        <row r="57">
          <cell r="I57" t="str">
            <v>HOLLOWAY         P  MR</v>
          </cell>
          <cell r="J57">
            <v>3071</v>
          </cell>
          <cell r="K57">
            <v>20</v>
          </cell>
          <cell r="L57">
            <v>2641.66</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4322.71</v>
          </cell>
          <cell r="BA57">
            <v>0</v>
          </cell>
          <cell r="BB57">
            <v>0</v>
          </cell>
          <cell r="BC57">
            <v>0</v>
          </cell>
          <cell r="BD57">
            <v>0</v>
          </cell>
          <cell r="BE57">
            <v>0</v>
          </cell>
          <cell r="BF57">
            <v>600</v>
          </cell>
          <cell r="BG57">
            <v>0</v>
          </cell>
          <cell r="BH57">
            <v>0</v>
          </cell>
          <cell r="BI57">
            <v>0</v>
          </cell>
          <cell r="BJ57">
            <v>0</v>
          </cell>
          <cell r="BK57">
            <v>902.23</v>
          </cell>
          <cell r="BL57">
            <v>178.82</v>
          </cell>
          <cell r="BM57">
            <v>271.33999999999997</v>
          </cell>
          <cell r="BN57">
            <v>0</v>
          </cell>
          <cell r="BO57">
            <v>1151.5</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501</v>
          </cell>
          <cell r="CP57">
            <v>0</v>
          </cell>
          <cell r="CQ57">
            <v>0</v>
          </cell>
          <cell r="CR57">
            <v>0</v>
          </cell>
          <cell r="CS57">
            <v>0</v>
          </cell>
          <cell r="CT57">
            <v>0</v>
          </cell>
          <cell r="CU57">
            <v>5087.88</v>
          </cell>
          <cell r="CV57">
            <v>0</v>
          </cell>
          <cell r="CW57">
            <v>0</v>
          </cell>
          <cell r="CX57">
            <v>0</v>
          </cell>
          <cell r="CY57">
            <v>103.02</v>
          </cell>
          <cell r="CZ57">
            <v>264.17</v>
          </cell>
          <cell r="DR57">
            <v>0</v>
          </cell>
          <cell r="DS57">
            <v>0</v>
          </cell>
          <cell r="DT57">
            <v>0</v>
          </cell>
          <cell r="DU57">
            <v>0</v>
          </cell>
          <cell r="DW57" t="str">
            <v>1</v>
          </cell>
          <cell r="DX57" t="str">
            <v>1</v>
          </cell>
          <cell r="DY57">
            <v>0</v>
          </cell>
          <cell r="DZ57">
            <v>0</v>
          </cell>
          <cell r="EA57">
            <v>0</v>
          </cell>
          <cell r="EB57">
            <v>0</v>
          </cell>
          <cell r="ED57">
            <v>31699.919999999998</v>
          </cell>
          <cell r="EE57">
            <v>0</v>
          </cell>
          <cell r="EF57">
            <v>0</v>
          </cell>
          <cell r="EG57">
            <v>0</v>
          </cell>
          <cell r="EH57" t="str">
            <v>HOLLOWAY         P  MR</v>
          </cell>
          <cell r="EI57">
            <v>4992</v>
          </cell>
          <cell r="EJ57">
            <v>369.16</v>
          </cell>
          <cell r="EK57">
            <v>1081.05</v>
          </cell>
        </row>
        <row r="58">
          <cell r="I58" t="str">
            <v>LONG             P  MR</v>
          </cell>
          <cell r="J58">
            <v>3071</v>
          </cell>
          <cell r="K58">
            <v>20</v>
          </cell>
          <cell r="L58">
            <v>3966.66</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4416.66</v>
          </cell>
          <cell r="BA58">
            <v>0</v>
          </cell>
          <cell r="BB58">
            <v>0</v>
          </cell>
          <cell r="BC58">
            <v>0</v>
          </cell>
          <cell r="BD58">
            <v>0</v>
          </cell>
          <cell r="BE58">
            <v>0</v>
          </cell>
          <cell r="BF58">
            <v>450</v>
          </cell>
          <cell r="BM58">
            <v>272.27999999999997</v>
          </cell>
          <cell r="BN58">
            <v>0</v>
          </cell>
          <cell r="BO58">
            <v>1096.3</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513.03</v>
          </cell>
          <cell r="CP58">
            <v>0</v>
          </cell>
          <cell r="CQ58">
            <v>0</v>
          </cell>
          <cell r="CR58">
            <v>0</v>
          </cell>
          <cell r="CS58">
            <v>0</v>
          </cell>
          <cell r="CT58">
            <v>0</v>
          </cell>
          <cell r="CU58">
            <v>5326.36</v>
          </cell>
          <cell r="CV58">
            <v>0</v>
          </cell>
          <cell r="CW58">
            <v>0</v>
          </cell>
          <cell r="CX58">
            <v>0</v>
          </cell>
          <cell r="CY58">
            <v>154.69999999999999</v>
          </cell>
          <cell r="CZ58">
            <v>396.67</v>
          </cell>
          <cell r="DR58">
            <v>0</v>
          </cell>
          <cell r="DS58">
            <v>0</v>
          </cell>
          <cell r="DT58">
            <v>0</v>
          </cell>
          <cell r="DU58">
            <v>0</v>
          </cell>
          <cell r="DW58" t="str">
            <v>1</v>
          </cell>
          <cell r="DX58" t="str">
            <v>1</v>
          </cell>
          <cell r="DY58">
            <v>0</v>
          </cell>
          <cell r="DZ58">
            <v>0</v>
          </cell>
          <cell r="EA58">
            <v>0</v>
          </cell>
          <cell r="EB58">
            <v>0</v>
          </cell>
          <cell r="ED58">
            <v>47599.92</v>
          </cell>
          <cell r="EE58">
            <v>0</v>
          </cell>
          <cell r="EF58">
            <v>0</v>
          </cell>
          <cell r="EG58">
            <v>0</v>
          </cell>
          <cell r="EH58" t="str">
            <v>LONG             P  MR</v>
          </cell>
          <cell r="EI58">
            <v>4994</v>
          </cell>
          <cell r="EJ58">
            <v>-2216.65</v>
          </cell>
          <cell r="EK58">
            <v>0</v>
          </cell>
        </row>
        <row r="59">
          <cell r="I59" t="str">
            <v>MARSHALL         S  MR</v>
          </cell>
          <cell r="J59">
            <v>3071</v>
          </cell>
          <cell r="K59">
            <v>20</v>
          </cell>
          <cell r="L59">
            <v>1583.33</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1885.38</v>
          </cell>
          <cell r="BA59">
            <v>0</v>
          </cell>
          <cell r="BB59">
            <v>0</v>
          </cell>
          <cell r="BC59">
            <v>0</v>
          </cell>
          <cell r="BD59">
            <v>0</v>
          </cell>
          <cell r="BE59">
            <v>0</v>
          </cell>
          <cell r="BF59">
            <v>0</v>
          </cell>
          <cell r="BG59">
            <v>0</v>
          </cell>
          <cell r="BH59">
            <v>0</v>
          </cell>
          <cell r="BI59">
            <v>0</v>
          </cell>
          <cell r="BJ59">
            <v>0</v>
          </cell>
          <cell r="BK59">
            <v>263.08</v>
          </cell>
          <cell r="BL59">
            <v>38.97</v>
          </cell>
          <cell r="BM59">
            <v>162.58000000000001</v>
          </cell>
          <cell r="BN59">
            <v>0</v>
          </cell>
          <cell r="BO59">
            <v>314.39</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189.18</v>
          </cell>
          <cell r="CP59">
            <v>0</v>
          </cell>
          <cell r="CQ59">
            <v>0</v>
          </cell>
          <cell r="CR59">
            <v>0</v>
          </cell>
          <cell r="CS59">
            <v>0</v>
          </cell>
          <cell r="CT59">
            <v>0</v>
          </cell>
          <cell r="CU59">
            <v>2232.89</v>
          </cell>
          <cell r="CV59">
            <v>0</v>
          </cell>
          <cell r="CW59">
            <v>0</v>
          </cell>
          <cell r="CX59">
            <v>0</v>
          </cell>
          <cell r="CY59">
            <v>61.75</v>
          </cell>
          <cell r="CZ59">
            <v>158.33000000000001</v>
          </cell>
          <cell r="DR59">
            <v>0</v>
          </cell>
          <cell r="DS59">
            <v>0</v>
          </cell>
          <cell r="DT59">
            <v>0</v>
          </cell>
          <cell r="DU59">
            <v>0</v>
          </cell>
          <cell r="DW59">
            <v>0</v>
          </cell>
          <cell r="DX59" t="str">
            <v>1</v>
          </cell>
          <cell r="DY59">
            <v>0</v>
          </cell>
          <cell r="DZ59">
            <v>0</v>
          </cell>
          <cell r="EA59">
            <v>0</v>
          </cell>
          <cell r="EB59">
            <v>0</v>
          </cell>
          <cell r="ED59">
            <v>18999.96</v>
          </cell>
          <cell r="EE59" t="str">
            <v>1</v>
          </cell>
          <cell r="EF59">
            <v>0</v>
          </cell>
          <cell r="EG59">
            <v>0</v>
          </cell>
          <cell r="EH59" t="str">
            <v>MARSHALL         S  MR</v>
          </cell>
          <cell r="EI59">
            <v>4996</v>
          </cell>
          <cell r="EJ59">
            <v>0</v>
          </cell>
          <cell r="EK59">
            <v>302.04999999999995</v>
          </cell>
        </row>
        <row r="60">
          <cell r="I60" t="str">
            <v>MCDONALD         G  MR</v>
          </cell>
          <cell r="J60">
            <v>3071</v>
          </cell>
          <cell r="K60">
            <v>20</v>
          </cell>
          <cell r="L60">
            <v>1541.66</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200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2530.87</v>
          </cell>
          <cell r="BA60">
            <v>0</v>
          </cell>
          <cell r="BB60">
            <v>0</v>
          </cell>
          <cell r="BC60">
            <v>0</v>
          </cell>
          <cell r="BD60">
            <v>0</v>
          </cell>
          <cell r="BE60">
            <v>0</v>
          </cell>
          <cell r="BF60">
            <v>276.89999999999998</v>
          </cell>
          <cell r="BG60">
            <v>0</v>
          </cell>
          <cell r="BH60">
            <v>0</v>
          </cell>
          <cell r="BI60">
            <v>0</v>
          </cell>
          <cell r="BJ60">
            <v>0</v>
          </cell>
          <cell r="BK60">
            <v>512.30999999999995</v>
          </cell>
          <cell r="BM60">
            <v>233.42</v>
          </cell>
          <cell r="BN60">
            <v>0</v>
          </cell>
          <cell r="BO60">
            <v>570.69000000000005</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271.62</v>
          </cell>
          <cell r="CP60">
            <v>0</v>
          </cell>
          <cell r="CQ60">
            <v>0</v>
          </cell>
          <cell r="CR60">
            <v>0</v>
          </cell>
          <cell r="CS60">
            <v>0</v>
          </cell>
          <cell r="CT60">
            <v>0</v>
          </cell>
          <cell r="CU60">
            <v>2956.66</v>
          </cell>
          <cell r="CV60">
            <v>0</v>
          </cell>
          <cell r="CW60">
            <v>0</v>
          </cell>
          <cell r="CX60">
            <v>0</v>
          </cell>
          <cell r="CY60">
            <v>60.12</v>
          </cell>
          <cell r="CZ60">
            <v>154.16999999999999</v>
          </cell>
          <cell r="DR60">
            <v>0</v>
          </cell>
          <cell r="DS60">
            <v>0</v>
          </cell>
          <cell r="DT60">
            <v>0</v>
          </cell>
          <cell r="DU60">
            <v>0</v>
          </cell>
          <cell r="DW60" t="str">
            <v>1</v>
          </cell>
          <cell r="DX60" t="str">
            <v>1</v>
          </cell>
          <cell r="DY60">
            <v>0</v>
          </cell>
          <cell r="DZ60">
            <v>0</v>
          </cell>
          <cell r="EA60">
            <v>0</v>
          </cell>
          <cell r="EB60">
            <v>0</v>
          </cell>
          <cell r="ED60">
            <v>18499.920000000002</v>
          </cell>
          <cell r="EE60" t="str">
            <v>1</v>
          </cell>
          <cell r="EF60">
            <v>200</v>
          </cell>
          <cell r="EG60" t="str">
            <v>1</v>
          </cell>
          <cell r="EH60" t="str">
            <v>MCDONALD         G  MR</v>
          </cell>
          <cell r="EI60">
            <v>4997</v>
          </cell>
          <cell r="EJ60">
            <v>-1516.65</v>
          </cell>
          <cell r="EK60">
            <v>512.30999999999995</v>
          </cell>
        </row>
        <row r="61">
          <cell r="I61" t="str">
            <v>MORRIS           S  MR</v>
          </cell>
          <cell r="J61">
            <v>3071</v>
          </cell>
          <cell r="K61">
            <v>20</v>
          </cell>
          <cell r="L61">
            <v>1866.66</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1866.66</v>
          </cell>
          <cell r="BM61">
            <v>160.38</v>
          </cell>
          <cell r="BN61">
            <v>0</v>
          </cell>
          <cell r="BO61">
            <v>76.3</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780.91</v>
          </cell>
          <cell r="CI61">
            <v>0</v>
          </cell>
          <cell r="CJ61">
            <v>0</v>
          </cell>
          <cell r="CK61">
            <v>0</v>
          </cell>
          <cell r="CL61">
            <v>0</v>
          </cell>
          <cell r="CM61">
            <v>0</v>
          </cell>
          <cell r="CN61">
            <v>1</v>
          </cell>
          <cell r="CO61">
            <v>186.62</v>
          </cell>
          <cell r="CP61">
            <v>0</v>
          </cell>
          <cell r="CQ61">
            <v>0</v>
          </cell>
          <cell r="CR61">
            <v>0</v>
          </cell>
          <cell r="CS61">
            <v>0</v>
          </cell>
          <cell r="CT61">
            <v>0</v>
          </cell>
          <cell r="CU61">
            <v>2053.2800000000002</v>
          </cell>
          <cell r="DR61">
            <v>0</v>
          </cell>
          <cell r="DS61">
            <v>0</v>
          </cell>
          <cell r="DT61">
            <v>0</v>
          </cell>
          <cell r="DU61">
            <v>0</v>
          </cell>
          <cell r="DW61">
            <v>0</v>
          </cell>
          <cell r="DX61">
            <v>0</v>
          </cell>
          <cell r="DY61">
            <v>0</v>
          </cell>
          <cell r="DZ61">
            <v>0</v>
          </cell>
          <cell r="EA61">
            <v>0</v>
          </cell>
          <cell r="EB61">
            <v>0</v>
          </cell>
          <cell r="ED61">
            <v>22399.920000000002</v>
          </cell>
          <cell r="EE61" t="str">
            <v>1</v>
          </cell>
          <cell r="EF61">
            <v>0</v>
          </cell>
          <cell r="EG61">
            <v>0</v>
          </cell>
          <cell r="EH61" t="str">
            <v>MORRIS           S  MR</v>
          </cell>
          <cell r="EI61">
            <v>4998</v>
          </cell>
          <cell r="EJ61">
            <v>-1572.98</v>
          </cell>
          <cell r="EK61">
            <v>0</v>
          </cell>
        </row>
        <row r="62">
          <cell r="I62" t="str">
            <v>MORRIS           S  MR</v>
          </cell>
          <cell r="J62">
            <v>3071</v>
          </cell>
          <cell r="K62">
            <v>20</v>
          </cell>
          <cell r="L62">
            <v>1866.66</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4416.8100000000004</v>
          </cell>
          <cell r="BA62">
            <v>0</v>
          </cell>
          <cell r="BB62">
            <v>0</v>
          </cell>
          <cell r="BC62">
            <v>0</v>
          </cell>
          <cell r="BD62">
            <v>0</v>
          </cell>
          <cell r="BE62">
            <v>0</v>
          </cell>
          <cell r="BF62">
            <v>0</v>
          </cell>
          <cell r="BG62">
            <v>0</v>
          </cell>
          <cell r="BH62">
            <v>0</v>
          </cell>
          <cell r="BI62">
            <v>0</v>
          </cell>
          <cell r="BJ62">
            <v>0</v>
          </cell>
          <cell r="BK62">
            <v>1860.92</v>
          </cell>
          <cell r="BL62">
            <v>689.23</v>
          </cell>
          <cell r="BM62">
            <v>272.27999999999997</v>
          </cell>
          <cell r="BN62">
            <v>0</v>
          </cell>
          <cell r="BO62">
            <v>1096.7</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780.91</v>
          </cell>
          <cell r="CI62">
            <v>0</v>
          </cell>
          <cell r="CJ62">
            <v>0</v>
          </cell>
          <cell r="CK62">
            <v>0</v>
          </cell>
          <cell r="CL62">
            <v>0</v>
          </cell>
          <cell r="CM62">
            <v>0</v>
          </cell>
          <cell r="CN62">
            <v>1</v>
          </cell>
          <cell r="CO62">
            <v>513.03</v>
          </cell>
          <cell r="CP62">
            <v>0</v>
          </cell>
          <cell r="CQ62">
            <v>0</v>
          </cell>
          <cell r="CR62">
            <v>0</v>
          </cell>
          <cell r="CS62">
            <v>0</v>
          </cell>
          <cell r="CT62">
            <v>0</v>
          </cell>
          <cell r="CU62">
            <v>4929.84</v>
          </cell>
          <cell r="DR62">
            <v>0</v>
          </cell>
          <cell r="DS62">
            <v>0</v>
          </cell>
          <cell r="DT62">
            <v>0</v>
          </cell>
          <cell r="DU62">
            <v>0</v>
          </cell>
          <cell r="DW62">
            <v>0</v>
          </cell>
          <cell r="DX62">
            <v>0</v>
          </cell>
          <cell r="DY62">
            <v>0</v>
          </cell>
          <cell r="DZ62">
            <v>0</v>
          </cell>
          <cell r="EA62">
            <v>0</v>
          </cell>
          <cell r="EB62">
            <v>0</v>
          </cell>
          <cell r="ED62">
            <v>22399.920000000002</v>
          </cell>
          <cell r="EE62" t="str">
            <v>1</v>
          </cell>
          <cell r="EF62">
            <v>0</v>
          </cell>
          <cell r="EG62">
            <v>0</v>
          </cell>
          <cell r="EH62" t="str">
            <v>MORRIS           S  MR</v>
          </cell>
          <cell r="EI62">
            <v>4998</v>
          </cell>
          <cell r="EJ62">
            <v>-1339.06</v>
          </cell>
          <cell r="EK62">
            <v>2550.15</v>
          </cell>
        </row>
        <row r="63">
          <cell r="I63" t="str">
            <v>MORRIS           S  MR</v>
          </cell>
          <cell r="J63">
            <v>3071</v>
          </cell>
          <cell r="K63">
            <v>20</v>
          </cell>
          <cell r="L63">
            <v>-1866.66</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-1866.66</v>
          </cell>
          <cell r="BM63">
            <v>-160.38</v>
          </cell>
          <cell r="BN63">
            <v>0</v>
          </cell>
          <cell r="BO63">
            <v>-76.7</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-780.91</v>
          </cell>
          <cell r="CI63">
            <v>0</v>
          </cell>
          <cell r="CJ63">
            <v>0</v>
          </cell>
          <cell r="CK63">
            <v>0</v>
          </cell>
          <cell r="CL63">
            <v>0</v>
          </cell>
          <cell r="CM63">
            <v>0</v>
          </cell>
          <cell r="CN63">
            <v>-1</v>
          </cell>
          <cell r="CO63">
            <v>-186.62</v>
          </cell>
          <cell r="CP63">
            <v>0</v>
          </cell>
          <cell r="CQ63">
            <v>0</v>
          </cell>
          <cell r="CR63">
            <v>0</v>
          </cell>
          <cell r="CS63">
            <v>0</v>
          </cell>
          <cell r="CT63">
            <v>0</v>
          </cell>
          <cell r="CU63">
            <v>-2053.2800000000002</v>
          </cell>
          <cell r="DR63">
            <v>0</v>
          </cell>
          <cell r="DS63">
            <v>0</v>
          </cell>
          <cell r="DT63">
            <v>0</v>
          </cell>
          <cell r="DU63">
            <v>0</v>
          </cell>
          <cell r="DW63">
            <v>0</v>
          </cell>
          <cell r="DX63">
            <v>0</v>
          </cell>
          <cell r="DY63">
            <v>0</v>
          </cell>
          <cell r="DZ63">
            <v>0</v>
          </cell>
          <cell r="EA63">
            <v>0</v>
          </cell>
          <cell r="EB63">
            <v>0</v>
          </cell>
          <cell r="ED63">
            <v>-22399.920000000002</v>
          </cell>
          <cell r="EE63" t="str">
            <v>1</v>
          </cell>
          <cell r="EF63">
            <v>0</v>
          </cell>
          <cell r="EG63">
            <v>0</v>
          </cell>
          <cell r="EH63" t="str">
            <v>MORRIS           S  MR</v>
          </cell>
          <cell r="EI63">
            <v>4998</v>
          </cell>
          <cell r="EK63">
            <v>0</v>
          </cell>
        </row>
        <row r="64">
          <cell r="I64" t="str">
            <v>O'CALLAGHAN      M  MR</v>
          </cell>
          <cell r="J64">
            <v>3071</v>
          </cell>
          <cell r="K64">
            <v>20</v>
          </cell>
          <cell r="L64">
            <v>2108.33</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175</v>
          </cell>
          <cell r="AM64">
            <v>0</v>
          </cell>
          <cell r="AN64">
            <v>0</v>
          </cell>
          <cell r="AO64">
            <v>0</v>
          </cell>
          <cell r="AP64">
            <v>0</v>
          </cell>
          <cell r="AQ64">
            <v>0</v>
          </cell>
          <cell r="AR64">
            <v>0</v>
          </cell>
          <cell r="AS64">
            <v>0</v>
          </cell>
          <cell r="AT64">
            <v>0</v>
          </cell>
          <cell r="AU64">
            <v>0</v>
          </cell>
          <cell r="AV64">
            <v>0</v>
          </cell>
          <cell r="AW64">
            <v>0</v>
          </cell>
          <cell r="AX64">
            <v>0</v>
          </cell>
          <cell r="AY64">
            <v>0</v>
          </cell>
          <cell r="AZ64">
            <v>3334.25</v>
          </cell>
          <cell r="BA64">
            <v>0</v>
          </cell>
          <cell r="BB64">
            <v>0</v>
          </cell>
          <cell r="BC64">
            <v>0</v>
          </cell>
          <cell r="BD64">
            <v>0</v>
          </cell>
          <cell r="BE64">
            <v>0</v>
          </cell>
          <cell r="BF64">
            <v>0</v>
          </cell>
          <cell r="BG64">
            <v>0</v>
          </cell>
          <cell r="BH64">
            <v>0</v>
          </cell>
          <cell r="BI64">
            <v>0</v>
          </cell>
          <cell r="BJ64">
            <v>0</v>
          </cell>
          <cell r="BK64">
            <v>1050.92</v>
          </cell>
          <cell r="BM64">
            <v>261.45999999999998</v>
          </cell>
          <cell r="BN64">
            <v>0</v>
          </cell>
          <cell r="BO64">
            <v>859.9</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374.53</v>
          </cell>
          <cell r="CP64">
            <v>0</v>
          </cell>
          <cell r="CQ64">
            <v>0</v>
          </cell>
          <cell r="CR64">
            <v>0</v>
          </cell>
          <cell r="CS64">
            <v>0</v>
          </cell>
          <cell r="CT64">
            <v>0</v>
          </cell>
          <cell r="CU64">
            <v>3919.61</v>
          </cell>
          <cell r="CV64">
            <v>0</v>
          </cell>
          <cell r="CW64">
            <v>0</v>
          </cell>
          <cell r="CX64">
            <v>0</v>
          </cell>
          <cell r="CY64">
            <v>164.45</v>
          </cell>
          <cell r="CZ64">
            <v>210.83</v>
          </cell>
          <cell r="DA64">
            <v>0</v>
          </cell>
          <cell r="DB64">
            <v>0</v>
          </cell>
          <cell r="DC64">
            <v>0</v>
          </cell>
          <cell r="DD64">
            <v>0</v>
          </cell>
          <cell r="DE64">
            <v>0</v>
          </cell>
          <cell r="DF64">
            <v>0</v>
          </cell>
          <cell r="DG64">
            <v>0</v>
          </cell>
          <cell r="DH64">
            <v>0</v>
          </cell>
          <cell r="DI64">
            <v>0</v>
          </cell>
          <cell r="DJ64">
            <v>0</v>
          </cell>
          <cell r="DK64">
            <v>0</v>
          </cell>
          <cell r="DL64">
            <v>0</v>
          </cell>
          <cell r="DM64">
            <v>0</v>
          </cell>
          <cell r="DN64">
            <v>0</v>
          </cell>
          <cell r="DO64">
            <v>21.23</v>
          </cell>
          <cell r="DR64">
            <v>0</v>
          </cell>
          <cell r="DS64">
            <v>0</v>
          </cell>
          <cell r="DT64">
            <v>0</v>
          </cell>
          <cell r="DU64">
            <v>0</v>
          </cell>
          <cell r="DW64">
            <v>0</v>
          </cell>
          <cell r="DX64" t="str">
            <v>1</v>
          </cell>
          <cell r="DY64">
            <v>0</v>
          </cell>
          <cell r="DZ64">
            <v>0</v>
          </cell>
          <cell r="EA64">
            <v>0</v>
          </cell>
          <cell r="EB64">
            <v>0</v>
          </cell>
          <cell r="ED64">
            <v>25299.96</v>
          </cell>
          <cell r="EE64" t="str">
            <v>1</v>
          </cell>
          <cell r="EF64">
            <v>175</v>
          </cell>
          <cell r="EG64" t="str">
            <v>1</v>
          </cell>
          <cell r="EH64" t="str">
            <v>O'CALLAGHAN      M  MR</v>
          </cell>
          <cell r="EI64">
            <v>4999</v>
          </cell>
          <cell r="EJ64">
            <v>0</v>
          </cell>
          <cell r="EK64">
            <v>1050.92</v>
          </cell>
        </row>
        <row r="65">
          <cell r="I65" t="str">
            <v>PUGH             M  MR</v>
          </cell>
          <cell r="J65">
            <v>3071</v>
          </cell>
          <cell r="K65">
            <v>20</v>
          </cell>
          <cell r="L65">
            <v>2375</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2825</v>
          </cell>
          <cell r="BA65">
            <v>0</v>
          </cell>
          <cell r="BB65">
            <v>0</v>
          </cell>
          <cell r="BC65">
            <v>0</v>
          </cell>
          <cell r="BD65">
            <v>0</v>
          </cell>
          <cell r="BE65">
            <v>0</v>
          </cell>
          <cell r="BF65">
            <v>450</v>
          </cell>
          <cell r="BM65">
            <v>256.37</v>
          </cell>
          <cell r="BN65">
            <v>0</v>
          </cell>
          <cell r="BO65">
            <v>510.85</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309.38</v>
          </cell>
          <cell r="CP65">
            <v>0</v>
          </cell>
          <cell r="CQ65">
            <v>0</v>
          </cell>
          <cell r="CR65">
            <v>0</v>
          </cell>
          <cell r="CS65">
            <v>0</v>
          </cell>
          <cell r="CT65">
            <v>0</v>
          </cell>
          <cell r="CU65">
            <v>3371.88</v>
          </cell>
          <cell r="CV65">
            <v>0</v>
          </cell>
          <cell r="CW65">
            <v>0</v>
          </cell>
          <cell r="CX65">
            <v>0</v>
          </cell>
          <cell r="CY65">
            <v>185.25</v>
          </cell>
          <cell r="CZ65">
            <v>237.5</v>
          </cell>
          <cell r="DR65">
            <v>0</v>
          </cell>
          <cell r="DS65">
            <v>0</v>
          </cell>
          <cell r="DT65">
            <v>0</v>
          </cell>
          <cell r="DU65">
            <v>0</v>
          </cell>
          <cell r="DW65" t="str">
            <v>1</v>
          </cell>
          <cell r="DX65" t="str">
            <v>1</v>
          </cell>
          <cell r="DY65">
            <v>0</v>
          </cell>
          <cell r="DZ65">
            <v>0</v>
          </cell>
          <cell r="EA65">
            <v>0</v>
          </cell>
          <cell r="EB65">
            <v>0</v>
          </cell>
          <cell r="ED65">
            <v>28500</v>
          </cell>
          <cell r="EE65" t="str">
            <v>1</v>
          </cell>
          <cell r="EF65">
            <v>0</v>
          </cell>
          <cell r="EG65">
            <v>0</v>
          </cell>
          <cell r="EH65" t="str">
            <v>PUGH             M  MR</v>
          </cell>
          <cell r="EI65">
            <v>5000</v>
          </cell>
          <cell r="EJ65">
            <v>-1656.66</v>
          </cell>
          <cell r="EK65">
            <v>0</v>
          </cell>
        </row>
        <row r="66">
          <cell r="I66" t="str">
            <v>SCARLETT         K  MR</v>
          </cell>
          <cell r="J66">
            <v>3071</v>
          </cell>
          <cell r="K66">
            <v>20</v>
          </cell>
          <cell r="L66">
            <v>1700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2873.98</v>
          </cell>
          <cell r="BA66">
            <v>0</v>
          </cell>
          <cell r="BB66">
            <v>0</v>
          </cell>
          <cell r="BC66">
            <v>0</v>
          </cell>
          <cell r="BD66">
            <v>0</v>
          </cell>
          <cell r="BE66">
            <v>0</v>
          </cell>
          <cell r="BF66">
            <v>276.89999999999998</v>
          </cell>
          <cell r="BG66">
            <v>0</v>
          </cell>
          <cell r="BH66">
            <v>0</v>
          </cell>
          <cell r="BI66">
            <v>0</v>
          </cell>
          <cell r="BJ66">
            <v>0</v>
          </cell>
          <cell r="BK66">
            <v>855.23</v>
          </cell>
          <cell r="BL66">
            <v>41.85</v>
          </cell>
          <cell r="BM66">
            <v>256.85000000000002</v>
          </cell>
          <cell r="BN66">
            <v>0</v>
          </cell>
          <cell r="BO66">
            <v>624.37</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315.52</v>
          </cell>
          <cell r="CP66">
            <v>0</v>
          </cell>
          <cell r="CQ66">
            <v>0</v>
          </cell>
          <cell r="CR66">
            <v>0</v>
          </cell>
          <cell r="CS66">
            <v>0</v>
          </cell>
          <cell r="CT66">
            <v>0</v>
          </cell>
          <cell r="CU66">
            <v>3359.5</v>
          </cell>
          <cell r="CV66">
            <v>0</v>
          </cell>
          <cell r="CW66">
            <v>0</v>
          </cell>
          <cell r="CX66">
            <v>0</v>
          </cell>
          <cell r="CY66">
            <v>66.3</v>
          </cell>
          <cell r="CZ66">
            <v>170</v>
          </cell>
          <cell r="DR66">
            <v>0</v>
          </cell>
          <cell r="DS66">
            <v>0</v>
          </cell>
          <cell r="DT66">
            <v>0</v>
          </cell>
          <cell r="DU66">
            <v>0</v>
          </cell>
          <cell r="DW66" t="str">
            <v>1</v>
          </cell>
          <cell r="DX66" t="str">
            <v>1</v>
          </cell>
          <cell r="DY66">
            <v>0</v>
          </cell>
          <cell r="DZ66">
            <v>0</v>
          </cell>
          <cell r="EA66">
            <v>0</v>
          </cell>
          <cell r="EB66">
            <v>0</v>
          </cell>
          <cell r="ED66">
            <v>20400</v>
          </cell>
          <cell r="EE66" t="str">
            <v>1</v>
          </cell>
          <cell r="EF66">
            <v>0</v>
          </cell>
          <cell r="EG66">
            <v>0</v>
          </cell>
          <cell r="EH66" t="str">
            <v>SCARLETT         K  MR</v>
          </cell>
          <cell r="EI66">
            <v>5001</v>
          </cell>
          <cell r="EJ66">
            <v>-823.32</v>
          </cell>
          <cell r="EK66">
            <v>897.08</v>
          </cell>
        </row>
        <row r="67">
          <cell r="I67" t="str">
            <v>SHEIKH           S  MR</v>
          </cell>
          <cell r="J67">
            <v>3071</v>
          </cell>
          <cell r="K67">
            <v>20</v>
          </cell>
          <cell r="L67">
            <v>2691.66</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2691.66</v>
          </cell>
          <cell r="BM67">
            <v>251.02</v>
          </cell>
          <cell r="BN67">
            <v>0</v>
          </cell>
          <cell r="BO67">
            <v>481.37</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v>0</v>
          </cell>
          <cell r="CM67">
            <v>0</v>
          </cell>
          <cell r="CN67">
            <v>0</v>
          </cell>
          <cell r="CO67">
            <v>292.10000000000002</v>
          </cell>
          <cell r="CP67">
            <v>0</v>
          </cell>
          <cell r="CQ67">
            <v>0</v>
          </cell>
          <cell r="CR67">
            <v>0</v>
          </cell>
          <cell r="CS67">
            <v>0</v>
          </cell>
          <cell r="CT67">
            <v>0</v>
          </cell>
          <cell r="CU67">
            <v>3252.93</v>
          </cell>
          <cell r="CV67">
            <v>0</v>
          </cell>
          <cell r="CW67">
            <v>0</v>
          </cell>
          <cell r="CX67">
            <v>0</v>
          </cell>
          <cell r="CY67">
            <v>104.97</v>
          </cell>
          <cell r="CZ67">
            <v>269.17</v>
          </cell>
          <cell r="DR67">
            <v>0</v>
          </cell>
          <cell r="DS67">
            <v>0</v>
          </cell>
          <cell r="DT67">
            <v>0</v>
          </cell>
          <cell r="DU67">
            <v>0</v>
          </cell>
          <cell r="DW67">
            <v>0</v>
          </cell>
          <cell r="DX67" t="str">
            <v>1</v>
          </cell>
          <cell r="DY67">
            <v>0</v>
          </cell>
          <cell r="DZ67">
            <v>0</v>
          </cell>
          <cell r="EA67">
            <v>0</v>
          </cell>
          <cell r="EB67">
            <v>0</v>
          </cell>
          <cell r="ED67">
            <v>32299.919999999998</v>
          </cell>
          <cell r="EE67">
            <v>0</v>
          </cell>
          <cell r="EF67">
            <v>0</v>
          </cell>
          <cell r="EG67">
            <v>0</v>
          </cell>
          <cell r="EH67" t="str">
            <v>SHEIKH           S  MR</v>
          </cell>
          <cell r="EI67">
            <v>5002</v>
          </cell>
          <cell r="EJ67">
            <v>-1064.6500000000001</v>
          </cell>
          <cell r="EK67">
            <v>0</v>
          </cell>
        </row>
        <row r="68">
          <cell r="I68" t="str">
            <v>TETLEY           E  MR</v>
          </cell>
          <cell r="J68">
            <v>3071</v>
          </cell>
          <cell r="K68">
            <v>20</v>
          </cell>
          <cell r="L68">
            <v>1666.66</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1789.74</v>
          </cell>
          <cell r="BA68">
            <v>0</v>
          </cell>
          <cell r="BB68">
            <v>0</v>
          </cell>
          <cell r="BC68">
            <v>0</v>
          </cell>
          <cell r="BD68">
            <v>0</v>
          </cell>
          <cell r="BE68">
            <v>0</v>
          </cell>
          <cell r="BF68">
            <v>0</v>
          </cell>
          <cell r="BG68">
            <v>0</v>
          </cell>
          <cell r="BH68">
            <v>0</v>
          </cell>
          <cell r="BI68">
            <v>0</v>
          </cell>
          <cell r="BJ68">
            <v>0</v>
          </cell>
          <cell r="BK68">
            <v>123.08</v>
          </cell>
          <cell r="BM68">
            <v>152.02000000000001</v>
          </cell>
          <cell r="BN68">
            <v>0</v>
          </cell>
          <cell r="BO68">
            <v>405.47</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176.9</v>
          </cell>
          <cell r="CP68">
            <v>0</v>
          </cell>
          <cell r="CQ68">
            <v>0</v>
          </cell>
          <cell r="CR68">
            <v>0</v>
          </cell>
          <cell r="CS68">
            <v>0</v>
          </cell>
          <cell r="CT68">
            <v>0</v>
          </cell>
          <cell r="CU68">
            <v>2133.31</v>
          </cell>
          <cell r="CV68">
            <v>0</v>
          </cell>
          <cell r="CW68">
            <v>0</v>
          </cell>
          <cell r="CX68">
            <v>0</v>
          </cell>
          <cell r="CY68">
            <v>65</v>
          </cell>
          <cell r="CZ68">
            <v>166.67</v>
          </cell>
          <cell r="DA68">
            <v>0</v>
          </cell>
          <cell r="DB68">
            <v>0</v>
          </cell>
          <cell r="DC68">
            <v>0</v>
          </cell>
          <cell r="DD68">
            <v>0</v>
          </cell>
          <cell r="DE68">
            <v>0</v>
          </cell>
          <cell r="DF68">
            <v>0</v>
          </cell>
          <cell r="DG68">
            <v>0</v>
          </cell>
          <cell r="DH68">
            <v>0</v>
          </cell>
          <cell r="DI68">
            <v>0</v>
          </cell>
          <cell r="DJ68">
            <v>0</v>
          </cell>
          <cell r="DK68">
            <v>0</v>
          </cell>
          <cell r="DL68">
            <v>0</v>
          </cell>
          <cell r="DM68">
            <v>0</v>
          </cell>
          <cell r="DN68">
            <v>0</v>
          </cell>
          <cell r="DO68">
            <v>15</v>
          </cell>
          <cell r="DR68">
            <v>0</v>
          </cell>
          <cell r="DS68">
            <v>0</v>
          </cell>
          <cell r="DT68">
            <v>0</v>
          </cell>
          <cell r="DU68">
            <v>0</v>
          </cell>
          <cell r="DW68">
            <v>0</v>
          </cell>
          <cell r="DX68" t="str">
            <v>1</v>
          </cell>
          <cell r="DY68">
            <v>0</v>
          </cell>
          <cell r="DZ68">
            <v>0</v>
          </cell>
          <cell r="EA68">
            <v>0</v>
          </cell>
          <cell r="EB68">
            <v>0</v>
          </cell>
          <cell r="ED68">
            <v>19999.920000000002</v>
          </cell>
          <cell r="EE68" t="str">
            <v>1</v>
          </cell>
          <cell r="EF68">
            <v>0</v>
          </cell>
          <cell r="EG68">
            <v>0</v>
          </cell>
          <cell r="EH68" t="str">
            <v>TETLEY           E  MR</v>
          </cell>
          <cell r="EI68">
            <v>5004</v>
          </cell>
          <cell r="EJ68">
            <v>0</v>
          </cell>
          <cell r="EK68">
            <v>123.08</v>
          </cell>
        </row>
        <row r="69">
          <cell r="I69" t="str">
            <v>MCALPINE         D  MR</v>
          </cell>
          <cell r="J69">
            <v>3071</v>
          </cell>
          <cell r="K69">
            <v>20</v>
          </cell>
          <cell r="L69">
            <v>1966.66</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2397.87</v>
          </cell>
          <cell r="BA69">
            <v>0</v>
          </cell>
          <cell r="BB69">
            <v>0</v>
          </cell>
          <cell r="BC69">
            <v>0</v>
          </cell>
          <cell r="BD69">
            <v>0</v>
          </cell>
          <cell r="BE69">
            <v>0</v>
          </cell>
          <cell r="BF69">
            <v>276.89999999999998</v>
          </cell>
          <cell r="BG69">
            <v>0</v>
          </cell>
          <cell r="BH69">
            <v>0</v>
          </cell>
          <cell r="BI69">
            <v>0</v>
          </cell>
          <cell r="BJ69">
            <v>0</v>
          </cell>
          <cell r="BK69">
            <v>154.31</v>
          </cell>
          <cell r="BM69">
            <v>218.9</v>
          </cell>
          <cell r="BN69">
            <v>0</v>
          </cell>
          <cell r="BO69">
            <v>528.01</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254.72</v>
          </cell>
          <cell r="CP69">
            <v>0</v>
          </cell>
          <cell r="CQ69">
            <v>0</v>
          </cell>
          <cell r="CR69">
            <v>0</v>
          </cell>
          <cell r="CS69">
            <v>0</v>
          </cell>
          <cell r="CT69">
            <v>0</v>
          </cell>
          <cell r="CU69">
            <v>2849.26</v>
          </cell>
          <cell r="CV69">
            <v>0</v>
          </cell>
          <cell r="CW69">
            <v>0</v>
          </cell>
          <cell r="CX69">
            <v>0</v>
          </cell>
          <cell r="CY69">
            <v>100.1</v>
          </cell>
          <cell r="CZ69">
            <v>196.67</v>
          </cell>
          <cell r="DR69">
            <v>0</v>
          </cell>
          <cell r="DS69">
            <v>0</v>
          </cell>
          <cell r="DT69">
            <v>0</v>
          </cell>
          <cell r="DU69">
            <v>0</v>
          </cell>
          <cell r="DW69" t="str">
            <v>1</v>
          </cell>
          <cell r="DX69" t="str">
            <v>1</v>
          </cell>
          <cell r="DY69">
            <v>0</v>
          </cell>
          <cell r="DZ69">
            <v>0</v>
          </cell>
          <cell r="EA69">
            <v>0</v>
          </cell>
          <cell r="EB69">
            <v>0</v>
          </cell>
          <cell r="ED69">
            <v>23599.920000000002</v>
          </cell>
          <cell r="EE69" t="str">
            <v>1</v>
          </cell>
          <cell r="EF69">
            <v>0</v>
          </cell>
          <cell r="EG69">
            <v>0</v>
          </cell>
          <cell r="EH69" t="str">
            <v>MCALPINE         D  MR</v>
          </cell>
          <cell r="EI69">
            <v>5005</v>
          </cell>
          <cell r="EJ69">
            <v>0</v>
          </cell>
          <cell r="EK69">
            <v>154.31</v>
          </cell>
        </row>
        <row r="70">
          <cell r="I70" t="str">
            <v>DANIEL           A  MS</v>
          </cell>
          <cell r="J70">
            <v>3110</v>
          </cell>
          <cell r="K70">
            <v>20</v>
          </cell>
          <cell r="L70">
            <v>1650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1722.84</v>
          </cell>
          <cell r="BA70">
            <v>0</v>
          </cell>
          <cell r="BB70">
            <v>0</v>
          </cell>
          <cell r="BC70">
            <v>0</v>
          </cell>
          <cell r="BD70">
            <v>0</v>
          </cell>
          <cell r="BE70">
            <v>0</v>
          </cell>
          <cell r="BF70">
            <v>0</v>
          </cell>
          <cell r="BG70">
            <v>72.84</v>
          </cell>
          <cell r="BM70">
            <v>144.54</v>
          </cell>
          <cell r="BN70">
            <v>0</v>
          </cell>
          <cell r="BO70">
            <v>268.19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168.19</v>
          </cell>
          <cell r="CP70">
            <v>0</v>
          </cell>
          <cell r="CQ70">
            <v>0</v>
          </cell>
          <cell r="CR70">
            <v>0</v>
          </cell>
          <cell r="CS70">
            <v>0</v>
          </cell>
          <cell r="CT70">
            <v>0</v>
          </cell>
          <cell r="CU70">
            <v>2056.0300000000002</v>
          </cell>
          <cell r="CV70">
            <v>0</v>
          </cell>
          <cell r="CW70">
            <v>0</v>
          </cell>
          <cell r="CX70">
            <v>0</v>
          </cell>
          <cell r="CY70">
            <v>64.349999999999994</v>
          </cell>
          <cell r="CZ70">
            <v>165</v>
          </cell>
          <cell r="DR70">
            <v>0</v>
          </cell>
          <cell r="DS70">
            <v>0</v>
          </cell>
          <cell r="DT70">
            <v>0</v>
          </cell>
          <cell r="DU70">
            <v>0</v>
          </cell>
          <cell r="DW70">
            <v>0</v>
          </cell>
          <cell r="DX70" t="str">
            <v>1</v>
          </cell>
          <cell r="DY70">
            <v>0</v>
          </cell>
          <cell r="DZ70">
            <v>0</v>
          </cell>
          <cell r="EA70">
            <v>0</v>
          </cell>
          <cell r="EB70">
            <v>0</v>
          </cell>
          <cell r="ED70">
            <v>19800</v>
          </cell>
          <cell r="EE70" t="str">
            <v>1</v>
          </cell>
          <cell r="EF70">
            <v>0</v>
          </cell>
          <cell r="EG70">
            <v>0</v>
          </cell>
          <cell r="EH70" t="str">
            <v>DANIEL           A  MS</v>
          </cell>
          <cell r="EI70">
            <v>4988</v>
          </cell>
          <cell r="EJ70">
            <v>0</v>
          </cell>
          <cell r="EK70">
            <v>0</v>
          </cell>
        </row>
        <row r="71">
          <cell r="I71" t="str">
            <v>HINDS            J  MS</v>
          </cell>
          <cell r="J71">
            <v>3110</v>
          </cell>
          <cell r="K71">
            <v>20</v>
          </cell>
          <cell r="L71">
            <v>1750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2266.92</v>
          </cell>
          <cell r="BA71">
            <v>0</v>
          </cell>
          <cell r="BB71">
            <v>0</v>
          </cell>
          <cell r="BC71">
            <v>0</v>
          </cell>
          <cell r="BD71">
            <v>0</v>
          </cell>
          <cell r="BE71">
            <v>0</v>
          </cell>
          <cell r="BF71">
            <v>0</v>
          </cell>
          <cell r="BG71">
            <v>0</v>
          </cell>
          <cell r="BH71">
            <v>0</v>
          </cell>
          <cell r="BI71">
            <v>0</v>
          </cell>
          <cell r="BJ71">
            <v>0</v>
          </cell>
          <cell r="BK71">
            <v>516.91999999999996</v>
          </cell>
          <cell r="BM71">
            <v>204.38</v>
          </cell>
          <cell r="BN71">
            <v>0</v>
          </cell>
          <cell r="BO71">
            <v>287.26</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0</v>
          </cell>
          <cell r="CO71">
            <v>237.82</v>
          </cell>
          <cell r="CP71">
            <v>0</v>
          </cell>
          <cell r="CQ71">
            <v>0</v>
          </cell>
          <cell r="CR71">
            <v>0</v>
          </cell>
          <cell r="CS71">
            <v>0</v>
          </cell>
          <cell r="CT71">
            <v>0</v>
          </cell>
          <cell r="CU71">
            <v>2679.74</v>
          </cell>
          <cell r="CV71">
            <v>0</v>
          </cell>
          <cell r="CW71">
            <v>0</v>
          </cell>
          <cell r="CX71">
            <v>0</v>
          </cell>
          <cell r="CY71">
            <v>68.25</v>
          </cell>
          <cell r="CZ71">
            <v>175</v>
          </cell>
          <cell r="DR71">
            <v>0</v>
          </cell>
          <cell r="DS71">
            <v>0</v>
          </cell>
          <cell r="DT71">
            <v>0</v>
          </cell>
          <cell r="DU71">
            <v>0</v>
          </cell>
          <cell r="DW71">
            <v>0</v>
          </cell>
          <cell r="DX71" t="str">
            <v>1</v>
          </cell>
          <cell r="DY71">
            <v>0</v>
          </cell>
          <cell r="DZ71">
            <v>0</v>
          </cell>
          <cell r="EA71">
            <v>0</v>
          </cell>
          <cell r="EB71">
            <v>0</v>
          </cell>
          <cell r="ED71">
            <v>21000</v>
          </cell>
          <cell r="EE71" t="str">
            <v>1</v>
          </cell>
          <cell r="EF71">
            <v>0</v>
          </cell>
          <cell r="EG71">
            <v>0</v>
          </cell>
          <cell r="EH71" t="str">
            <v>HINDS            J  MS</v>
          </cell>
          <cell r="EI71">
            <v>4991</v>
          </cell>
          <cell r="EJ71">
            <v>0</v>
          </cell>
          <cell r="EK71">
            <v>516.91999999999996</v>
          </cell>
        </row>
        <row r="72">
          <cell r="I72" t="str">
            <v>Leavens          SD Mr</v>
          </cell>
          <cell r="J72">
            <v>4020</v>
          </cell>
          <cell r="K72">
            <v>350</v>
          </cell>
          <cell r="L72">
            <v>3791.66</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4316.66</v>
          </cell>
          <cell r="BA72">
            <v>0</v>
          </cell>
          <cell r="BB72">
            <v>0</v>
          </cell>
          <cell r="BC72">
            <v>0</v>
          </cell>
          <cell r="BD72">
            <v>0</v>
          </cell>
          <cell r="BE72">
            <v>0</v>
          </cell>
          <cell r="BF72">
            <v>525</v>
          </cell>
          <cell r="BM72">
            <v>271.27999999999997</v>
          </cell>
          <cell r="BN72">
            <v>0</v>
          </cell>
          <cell r="BO72">
            <v>838.3</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500.23</v>
          </cell>
          <cell r="CP72">
            <v>0</v>
          </cell>
          <cell r="CQ72">
            <v>0</v>
          </cell>
          <cell r="CR72">
            <v>0</v>
          </cell>
          <cell r="CS72">
            <v>0</v>
          </cell>
          <cell r="CT72">
            <v>0</v>
          </cell>
          <cell r="CU72">
            <v>5385.64</v>
          </cell>
          <cell r="CV72">
            <v>379.17</v>
          </cell>
          <cell r="CW72">
            <v>0</v>
          </cell>
          <cell r="CX72">
            <v>0</v>
          </cell>
          <cell r="CY72">
            <v>0</v>
          </cell>
          <cell r="CZ72">
            <v>0</v>
          </cell>
          <cell r="DA72">
            <v>0</v>
          </cell>
          <cell r="DB72">
            <v>568.75</v>
          </cell>
          <cell r="DC72">
            <v>568.75</v>
          </cell>
          <cell r="DR72">
            <v>0</v>
          </cell>
          <cell r="DS72">
            <v>0</v>
          </cell>
          <cell r="DT72">
            <v>0</v>
          </cell>
          <cell r="DU72">
            <v>0</v>
          </cell>
          <cell r="DW72" t="str">
            <v>1</v>
          </cell>
          <cell r="DX72">
            <v>0</v>
          </cell>
          <cell r="DY72" t="str">
            <v>1</v>
          </cell>
          <cell r="DZ72" t="str">
            <v>1</v>
          </cell>
          <cell r="EA72" t="str">
            <v>1</v>
          </cell>
          <cell r="EB72">
            <v>0</v>
          </cell>
          <cell r="ED72">
            <v>45499.92</v>
          </cell>
          <cell r="EE72">
            <v>0</v>
          </cell>
          <cell r="EF72">
            <v>0</v>
          </cell>
          <cell r="EG72">
            <v>0</v>
          </cell>
          <cell r="EH72" t="str">
            <v>Leavens          SD Mr</v>
          </cell>
          <cell r="EI72">
            <v>2763</v>
          </cell>
          <cell r="EJ72">
            <v>64.16</v>
          </cell>
          <cell r="EK72">
            <v>0</v>
          </cell>
        </row>
        <row r="73">
          <cell r="I73" t="str">
            <v>Bateson          I  Mr</v>
          </cell>
          <cell r="J73">
            <v>4020</v>
          </cell>
          <cell r="K73">
            <v>350</v>
          </cell>
          <cell r="L73">
            <v>4141.66</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4666.66</v>
          </cell>
          <cell r="BA73">
            <v>0</v>
          </cell>
          <cell r="BB73">
            <v>0</v>
          </cell>
          <cell r="BC73">
            <v>0</v>
          </cell>
          <cell r="BD73">
            <v>0</v>
          </cell>
          <cell r="BE73">
            <v>0</v>
          </cell>
          <cell r="BF73">
            <v>525</v>
          </cell>
          <cell r="BM73">
            <v>274.77999999999997</v>
          </cell>
          <cell r="BN73">
            <v>0</v>
          </cell>
          <cell r="BO73">
            <v>1135.0999999999999</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545.03</v>
          </cell>
          <cell r="CP73">
            <v>0</v>
          </cell>
          <cell r="CQ73">
            <v>0</v>
          </cell>
          <cell r="CR73">
            <v>0</v>
          </cell>
          <cell r="CS73">
            <v>0</v>
          </cell>
          <cell r="CT73">
            <v>0</v>
          </cell>
          <cell r="CU73">
            <v>5832.94</v>
          </cell>
          <cell r="CV73">
            <v>0</v>
          </cell>
          <cell r="CW73">
            <v>414.17</v>
          </cell>
          <cell r="CX73">
            <v>0</v>
          </cell>
          <cell r="CY73">
            <v>0</v>
          </cell>
          <cell r="CZ73">
            <v>0</v>
          </cell>
          <cell r="DA73">
            <v>0</v>
          </cell>
          <cell r="DB73">
            <v>207.08</v>
          </cell>
          <cell r="DC73">
            <v>621.25</v>
          </cell>
          <cell r="DR73">
            <v>0</v>
          </cell>
          <cell r="DS73">
            <v>0</v>
          </cell>
          <cell r="DT73">
            <v>0</v>
          </cell>
          <cell r="DU73">
            <v>0</v>
          </cell>
          <cell r="DW73" t="str">
            <v>1</v>
          </cell>
          <cell r="DX73">
            <v>0</v>
          </cell>
          <cell r="DY73" t="str">
            <v>1</v>
          </cell>
          <cell r="DZ73">
            <v>0</v>
          </cell>
          <cell r="EA73" t="str">
            <v>1</v>
          </cell>
          <cell r="EB73">
            <v>0</v>
          </cell>
          <cell r="ED73">
            <v>49699.92</v>
          </cell>
          <cell r="EE73">
            <v>0</v>
          </cell>
          <cell r="EF73">
            <v>0</v>
          </cell>
          <cell r="EG73">
            <v>0</v>
          </cell>
          <cell r="EH73" t="str">
            <v>Bateson          I  Mr</v>
          </cell>
          <cell r="EI73">
            <v>2828</v>
          </cell>
          <cell r="EJ73">
            <v>0</v>
          </cell>
          <cell r="EK73">
            <v>0</v>
          </cell>
        </row>
        <row r="74">
          <cell r="I74" t="str">
            <v>Higton           JD Mr</v>
          </cell>
          <cell r="J74">
            <v>4020</v>
          </cell>
          <cell r="K74">
            <v>350</v>
          </cell>
          <cell r="L74">
            <v>3418.75</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3418.75</v>
          </cell>
          <cell r="BM74">
            <v>262.3</v>
          </cell>
          <cell r="BN74">
            <v>0</v>
          </cell>
          <cell r="BO74">
            <v>717.5</v>
          </cell>
          <cell r="BP74">
            <v>0</v>
          </cell>
          <cell r="BQ74">
            <v>0</v>
          </cell>
          <cell r="BR74">
            <v>0</v>
          </cell>
          <cell r="BS74">
            <v>0</v>
          </cell>
          <cell r="BT74">
            <v>0</v>
          </cell>
          <cell r="BU74">
            <v>0</v>
          </cell>
          <cell r="BV74">
            <v>0</v>
          </cell>
          <cell r="BW74">
            <v>0</v>
          </cell>
          <cell r="BX74">
            <v>4.33</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385.28</v>
          </cell>
          <cell r="CP74">
            <v>0</v>
          </cell>
          <cell r="CQ74">
            <v>0</v>
          </cell>
          <cell r="CR74">
            <v>0</v>
          </cell>
          <cell r="CS74">
            <v>0</v>
          </cell>
          <cell r="CT74">
            <v>0</v>
          </cell>
          <cell r="CU74">
            <v>4145.91</v>
          </cell>
          <cell r="CV74">
            <v>0</v>
          </cell>
          <cell r="CW74">
            <v>341.88</v>
          </cell>
          <cell r="CX74">
            <v>0</v>
          </cell>
          <cell r="CY74">
            <v>133.33000000000001</v>
          </cell>
          <cell r="CZ74">
            <v>341.88</v>
          </cell>
          <cell r="DR74">
            <v>0</v>
          </cell>
          <cell r="DS74" t="str">
            <v>1</v>
          </cell>
          <cell r="DT74">
            <v>0</v>
          </cell>
          <cell r="DU74">
            <v>0</v>
          </cell>
          <cell r="DW74">
            <v>0</v>
          </cell>
          <cell r="DX74" t="str">
            <v>1</v>
          </cell>
          <cell r="DY74">
            <v>0</v>
          </cell>
          <cell r="DZ74">
            <v>0</v>
          </cell>
          <cell r="EA74">
            <v>0</v>
          </cell>
          <cell r="EB74">
            <v>0</v>
          </cell>
          <cell r="ED74">
            <v>41025</v>
          </cell>
          <cell r="EE74">
            <v>0</v>
          </cell>
          <cell r="EF74">
            <v>0</v>
          </cell>
          <cell r="EG74">
            <v>0</v>
          </cell>
          <cell r="EH74" t="str">
            <v>Higton           JD Mr</v>
          </cell>
          <cell r="EI74">
            <v>4235</v>
          </cell>
          <cell r="EJ74">
            <v>-562.5</v>
          </cell>
          <cell r="EK74">
            <v>0</v>
          </cell>
        </row>
        <row r="75">
          <cell r="I75" t="str">
            <v>Barnes-Ceeney    D  Mr</v>
          </cell>
          <cell r="J75">
            <v>4020</v>
          </cell>
          <cell r="K75">
            <v>350</v>
          </cell>
          <cell r="L75">
            <v>3885</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3885</v>
          </cell>
          <cell r="BM75">
            <v>266.97000000000003</v>
          </cell>
          <cell r="BN75">
            <v>0</v>
          </cell>
          <cell r="BO75">
            <v>823.9</v>
          </cell>
          <cell r="BP75">
            <v>0</v>
          </cell>
          <cell r="BQ75">
            <v>0</v>
          </cell>
          <cell r="BR75">
            <v>0</v>
          </cell>
          <cell r="BS75">
            <v>0</v>
          </cell>
          <cell r="BT75">
            <v>0</v>
          </cell>
          <cell r="BU75">
            <v>0</v>
          </cell>
          <cell r="BV75">
            <v>0</v>
          </cell>
          <cell r="BW75">
            <v>0</v>
          </cell>
          <cell r="BX75">
            <v>4.33</v>
          </cell>
          <cell r="BY75">
            <v>0</v>
          </cell>
          <cell r="BZ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0</v>
          </cell>
          <cell r="CO75">
            <v>445.06</v>
          </cell>
          <cell r="CP75">
            <v>0</v>
          </cell>
          <cell r="CQ75">
            <v>0</v>
          </cell>
          <cell r="CR75">
            <v>0</v>
          </cell>
          <cell r="CS75">
            <v>0</v>
          </cell>
          <cell r="CT75">
            <v>0</v>
          </cell>
          <cell r="CU75">
            <v>4718.5600000000004</v>
          </cell>
          <cell r="CV75">
            <v>388.5</v>
          </cell>
          <cell r="CW75">
            <v>0</v>
          </cell>
          <cell r="CX75">
            <v>0</v>
          </cell>
          <cell r="CY75">
            <v>303.02999999999997</v>
          </cell>
          <cell r="CZ75">
            <v>388.5</v>
          </cell>
          <cell r="DR75">
            <v>0</v>
          </cell>
          <cell r="DS75" t="str">
            <v>1</v>
          </cell>
          <cell r="DT75">
            <v>0</v>
          </cell>
          <cell r="DU75">
            <v>0</v>
          </cell>
          <cell r="DW75">
            <v>0</v>
          </cell>
          <cell r="DX75" t="str">
            <v>1</v>
          </cell>
          <cell r="DY75">
            <v>0</v>
          </cell>
          <cell r="DZ75" t="str">
            <v>1</v>
          </cell>
          <cell r="EA75">
            <v>0</v>
          </cell>
          <cell r="EB75">
            <v>0</v>
          </cell>
          <cell r="ED75">
            <v>46620</v>
          </cell>
          <cell r="EE75">
            <v>0</v>
          </cell>
          <cell r="EF75">
            <v>0</v>
          </cell>
          <cell r="EG75">
            <v>0</v>
          </cell>
          <cell r="EH75" t="str">
            <v>Barnes-Ceeney    D  Mr</v>
          </cell>
          <cell r="EI75">
            <v>4432</v>
          </cell>
          <cell r="EJ75">
            <v>-614.15</v>
          </cell>
          <cell r="EK75">
            <v>0</v>
          </cell>
        </row>
        <row r="76">
          <cell r="I76" t="str">
            <v>Clarke           SW Mr</v>
          </cell>
          <cell r="J76">
            <v>4020</v>
          </cell>
          <cell r="K76">
            <v>350</v>
          </cell>
          <cell r="L76">
            <v>2775</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2775</v>
          </cell>
          <cell r="BM76">
            <v>255.87</v>
          </cell>
          <cell r="BN76">
            <v>0</v>
          </cell>
          <cell r="BO76">
            <v>522.73</v>
          </cell>
          <cell r="BP76">
            <v>0</v>
          </cell>
          <cell r="BQ76">
            <v>0</v>
          </cell>
          <cell r="BR76">
            <v>0</v>
          </cell>
          <cell r="BS76">
            <v>0</v>
          </cell>
          <cell r="BT76">
            <v>0</v>
          </cell>
          <cell r="BU76">
            <v>0</v>
          </cell>
          <cell r="BV76">
            <v>0</v>
          </cell>
          <cell r="BW76">
            <v>0</v>
          </cell>
          <cell r="BX76">
            <v>4.33</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302.98</v>
          </cell>
          <cell r="CP76">
            <v>0</v>
          </cell>
          <cell r="CQ76">
            <v>0</v>
          </cell>
          <cell r="CR76">
            <v>0</v>
          </cell>
          <cell r="CS76">
            <v>0</v>
          </cell>
          <cell r="CT76">
            <v>0</v>
          </cell>
          <cell r="CU76">
            <v>3355.48</v>
          </cell>
          <cell r="CV76">
            <v>55.5</v>
          </cell>
          <cell r="CW76">
            <v>0</v>
          </cell>
          <cell r="CX76">
            <v>0</v>
          </cell>
          <cell r="CY76">
            <v>108.23</v>
          </cell>
          <cell r="CZ76">
            <v>277.5</v>
          </cell>
          <cell r="DR76">
            <v>0</v>
          </cell>
          <cell r="DS76" t="str">
            <v>1</v>
          </cell>
          <cell r="DT76">
            <v>0</v>
          </cell>
          <cell r="DU76">
            <v>0</v>
          </cell>
          <cell r="DW76">
            <v>0</v>
          </cell>
          <cell r="DX76" t="str">
            <v>1</v>
          </cell>
          <cell r="DY76">
            <v>0</v>
          </cell>
          <cell r="DZ76" t="str">
            <v>1</v>
          </cell>
          <cell r="EA76">
            <v>0</v>
          </cell>
          <cell r="EB76">
            <v>0</v>
          </cell>
          <cell r="ED76">
            <v>33300</v>
          </cell>
          <cell r="EE76">
            <v>0</v>
          </cell>
          <cell r="EF76">
            <v>0</v>
          </cell>
          <cell r="EG76">
            <v>0</v>
          </cell>
          <cell r="EH76" t="str">
            <v>Clarke           SW Mr</v>
          </cell>
          <cell r="EI76">
            <v>4446</v>
          </cell>
          <cell r="EJ76">
            <v>0</v>
          </cell>
          <cell r="EK76">
            <v>0</v>
          </cell>
        </row>
        <row r="77">
          <cell r="I77" t="str">
            <v>Vail             GM Mr</v>
          </cell>
          <cell r="J77">
            <v>4020</v>
          </cell>
          <cell r="K77">
            <v>350</v>
          </cell>
          <cell r="L77">
            <v>3766.66</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4291.66</v>
          </cell>
          <cell r="BA77">
            <v>0</v>
          </cell>
          <cell r="BB77">
            <v>0</v>
          </cell>
          <cell r="BC77">
            <v>0</v>
          </cell>
          <cell r="BD77">
            <v>0</v>
          </cell>
          <cell r="BE77">
            <v>0</v>
          </cell>
          <cell r="BF77">
            <v>525</v>
          </cell>
          <cell r="BM77">
            <v>271.02999999999997</v>
          </cell>
          <cell r="BN77">
            <v>0</v>
          </cell>
          <cell r="BO77">
            <v>1014.7</v>
          </cell>
          <cell r="BP77">
            <v>0</v>
          </cell>
          <cell r="BQ77">
            <v>0</v>
          </cell>
          <cell r="BR77">
            <v>0</v>
          </cell>
          <cell r="BS77">
            <v>0</v>
          </cell>
          <cell r="BT77">
            <v>0</v>
          </cell>
          <cell r="BU77">
            <v>0</v>
          </cell>
          <cell r="BV77">
            <v>0</v>
          </cell>
          <cell r="BW77">
            <v>0</v>
          </cell>
          <cell r="BX77">
            <v>0</v>
          </cell>
          <cell r="BY77">
            <v>0</v>
          </cell>
          <cell r="BZ77">
            <v>22</v>
          </cell>
          <cell r="CA77">
            <v>0</v>
          </cell>
          <cell r="CB77">
            <v>0</v>
          </cell>
          <cell r="CC77">
            <v>0</v>
          </cell>
          <cell r="CD77">
            <v>0</v>
          </cell>
          <cell r="CE77">
            <v>0</v>
          </cell>
          <cell r="CF77">
            <v>0</v>
          </cell>
          <cell r="CG77">
            <v>0</v>
          </cell>
          <cell r="CH77">
            <v>0</v>
          </cell>
          <cell r="CI77">
            <v>0</v>
          </cell>
          <cell r="CJ77">
            <v>0</v>
          </cell>
          <cell r="CK77">
            <v>0</v>
          </cell>
          <cell r="CL77">
            <v>0</v>
          </cell>
          <cell r="CM77">
            <v>0</v>
          </cell>
          <cell r="CN77">
            <v>0</v>
          </cell>
          <cell r="CO77">
            <v>497.03</v>
          </cell>
          <cell r="CP77">
            <v>0</v>
          </cell>
          <cell r="CQ77">
            <v>0</v>
          </cell>
          <cell r="CR77">
            <v>0</v>
          </cell>
          <cell r="CS77">
            <v>0</v>
          </cell>
          <cell r="CT77">
            <v>0</v>
          </cell>
          <cell r="CU77">
            <v>5353.69</v>
          </cell>
          <cell r="CV77">
            <v>15</v>
          </cell>
          <cell r="CW77">
            <v>376.67</v>
          </cell>
          <cell r="CX77">
            <v>0</v>
          </cell>
          <cell r="CY77">
            <v>0</v>
          </cell>
          <cell r="CZ77">
            <v>0</v>
          </cell>
          <cell r="DA77">
            <v>0</v>
          </cell>
          <cell r="DB77">
            <v>188.33</v>
          </cell>
          <cell r="DC77">
            <v>565</v>
          </cell>
          <cell r="DR77">
            <v>0</v>
          </cell>
          <cell r="DS77">
            <v>0</v>
          </cell>
          <cell r="DT77">
            <v>0</v>
          </cell>
          <cell r="DU77" t="str">
            <v>1</v>
          </cell>
          <cell r="DV77">
            <v>22</v>
          </cell>
          <cell r="DW77" t="str">
            <v>1</v>
          </cell>
          <cell r="DX77">
            <v>0</v>
          </cell>
          <cell r="DY77" t="str">
            <v>1</v>
          </cell>
          <cell r="DZ77" t="str">
            <v>1</v>
          </cell>
          <cell r="EA77" t="str">
            <v>1</v>
          </cell>
          <cell r="EB77">
            <v>0</v>
          </cell>
          <cell r="ED77">
            <v>45199.92</v>
          </cell>
          <cell r="EE77">
            <v>0</v>
          </cell>
          <cell r="EF77">
            <v>0</v>
          </cell>
          <cell r="EG77">
            <v>0</v>
          </cell>
          <cell r="EH77" t="str">
            <v>Vail             GM Mr</v>
          </cell>
          <cell r="EI77">
            <v>4530</v>
          </cell>
          <cell r="EK77">
            <v>0</v>
          </cell>
        </row>
        <row r="78">
          <cell r="I78" t="str">
            <v>Benwell          SC Mr</v>
          </cell>
          <cell r="J78">
            <v>4020</v>
          </cell>
          <cell r="K78">
            <v>350</v>
          </cell>
          <cell r="L78">
            <v>4675</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5375</v>
          </cell>
          <cell r="BA78">
            <v>0</v>
          </cell>
          <cell r="BB78">
            <v>0</v>
          </cell>
          <cell r="BC78">
            <v>0</v>
          </cell>
          <cell r="BD78">
            <v>0</v>
          </cell>
          <cell r="BE78">
            <v>0</v>
          </cell>
          <cell r="BF78">
            <v>700</v>
          </cell>
          <cell r="BM78">
            <v>281.87</v>
          </cell>
          <cell r="BN78">
            <v>0</v>
          </cell>
          <cell r="BO78">
            <v>1403.5</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0</v>
          </cell>
          <cell r="CO78">
            <v>635.78</v>
          </cell>
          <cell r="CP78">
            <v>0</v>
          </cell>
          <cell r="CQ78">
            <v>0</v>
          </cell>
          <cell r="CR78">
            <v>0</v>
          </cell>
          <cell r="CS78">
            <v>0</v>
          </cell>
          <cell r="CT78">
            <v>0</v>
          </cell>
          <cell r="CU78">
            <v>6712.03</v>
          </cell>
          <cell r="CV78">
            <v>458.33</v>
          </cell>
          <cell r="CW78">
            <v>0</v>
          </cell>
          <cell r="CX78">
            <v>0</v>
          </cell>
          <cell r="CY78">
            <v>0</v>
          </cell>
          <cell r="CZ78">
            <v>0</v>
          </cell>
          <cell r="DA78">
            <v>0</v>
          </cell>
          <cell r="DB78">
            <v>233.75</v>
          </cell>
          <cell r="DC78">
            <v>701.25</v>
          </cell>
          <cell r="DR78">
            <v>0</v>
          </cell>
          <cell r="DS78">
            <v>0</v>
          </cell>
          <cell r="DT78">
            <v>0</v>
          </cell>
          <cell r="DU78">
            <v>0</v>
          </cell>
          <cell r="DW78" t="str">
            <v>1</v>
          </cell>
          <cell r="DX78">
            <v>0</v>
          </cell>
          <cell r="DY78" t="str">
            <v>1</v>
          </cell>
          <cell r="DZ78" t="str">
            <v>1</v>
          </cell>
          <cell r="EA78" t="str">
            <v>1</v>
          </cell>
          <cell r="EB78">
            <v>0</v>
          </cell>
          <cell r="ED78">
            <v>56100</v>
          </cell>
          <cell r="EE78">
            <v>0</v>
          </cell>
          <cell r="EF78">
            <v>0</v>
          </cell>
          <cell r="EG78">
            <v>0</v>
          </cell>
          <cell r="EH78" t="str">
            <v>Benwell          SC Mr</v>
          </cell>
          <cell r="EI78">
            <v>4533</v>
          </cell>
          <cell r="EJ78">
            <v>0</v>
          </cell>
          <cell r="EK78">
            <v>0</v>
          </cell>
        </row>
        <row r="79">
          <cell r="I79" t="str">
            <v>Foreman          L  Mr</v>
          </cell>
          <cell r="J79">
            <v>4020</v>
          </cell>
          <cell r="K79">
            <v>350</v>
          </cell>
          <cell r="L79">
            <v>2854.16</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2854.16</v>
          </cell>
          <cell r="BM79">
            <v>256.66000000000003</v>
          </cell>
          <cell r="BN79">
            <v>0</v>
          </cell>
          <cell r="BO79">
            <v>548.69000000000005</v>
          </cell>
          <cell r="BP79">
            <v>0</v>
          </cell>
          <cell r="BQ79">
            <v>0</v>
          </cell>
          <cell r="BR79">
            <v>0</v>
          </cell>
          <cell r="BS79">
            <v>0</v>
          </cell>
          <cell r="BT79">
            <v>0</v>
          </cell>
          <cell r="BU79">
            <v>0</v>
          </cell>
          <cell r="BV79">
            <v>0</v>
          </cell>
          <cell r="BW79">
            <v>0</v>
          </cell>
          <cell r="BX79">
            <v>4.33</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313.08999999999997</v>
          </cell>
          <cell r="CP79">
            <v>0</v>
          </cell>
          <cell r="CQ79">
            <v>0</v>
          </cell>
          <cell r="CR79">
            <v>0</v>
          </cell>
          <cell r="CS79">
            <v>0</v>
          </cell>
          <cell r="CT79">
            <v>0</v>
          </cell>
          <cell r="CU79">
            <v>3452.67</v>
          </cell>
          <cell r="CV79">
            <v>0</v>
          </cell>
          <cell r="CW79">
            <v>0</v>
          </cell>
          <cell r="CX79">
            <v>0</v>
          </cell>
          <cell r="CY79">
            <v>166.97</v>
          </cell>
          <cell r="CZ79">
            <v>285.42</v>
          </cell>
          <cell r="DR79">
            <v>0</v>
          </cell>
          <cell r="DS79" t="str">
            <v>1</v>
          </cell>
          <cell r="DT79">
            <v>0</v>
          </cell>
          <cell r="DU79">
            <v>0</v>
          </cell>
          <cell r="DW79">
            <v>0</v>
          </cell>
          <cell r="DX79" t="str">
            <v>1</v>
          </cell>
          <cell r="DY79">
            <v>0</v>
          </cell>
          <cell r="DZ79">
            <v>0</v>
          </cell>
          <cell r="EA79">
            <v>0</v>
          </cell>
          <cell r="EB79">
            <v>0</v>
          </cell>
          <cell r="ED79">
            <v>34249.919999999998</v>
          </cell>
          <cell r="EE79">
            <v>0</v>
          </cell>
          <cell r="EF79">
            <v>0</v>
          </cell>
          <cell r="EG79">
            <v>0</v>
          </cell>
          <cell r="EH79" t="str">
            <v>Foreman          L  Mr</v>
          </cell>
          <cell r="EI79">
            <v>4570</v>
          </cell>
          <cell r="EJ79">
            <v>-1243.75</v>
          </cell>
          <cell r="EK79">
            <v>0</v>
          </cell>
        </row>
        <row r="80">
          <cell r="I80" t="str">
            <v>Hodgson          C  Mrs</v>
          </cell>
          <cell r="J80">
            <v>4020</v>
          </cell>
          <cell r="K80">
            <v>350</v>
          </cell>
          <cell r="L80">
            <v>2740.08</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2740.08</v>
          </cell>
          <cell r="BM80">
            <v>255.52</v>
          </cell>
          <cell r="BN80">
            <v>0</v>
          </cell>
          <cell r="BO80">
            <v>516.13</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298.5</v>
          </cell>
          <cell r="CP80">
            <v>0</v>
          </cell>
          <cell r="CQ80">
            <v>0</v>
          </cell>
          <cell r="CR80">
            <v>0</v>
          </cell>
          <cell r="CS80">
            <v>0</v>
          </cell>
          <cell r="CT80">
            <v>0</v>
          </cell>
          <cell r="CU80">
            <v>3059.68</v>
          </cell>
          <cell r="CV80">
            <v>0</v>
          </cell>
          <cell r="CW80">
            <v>0</v>
          </cell>
          <cell r="CX80">
            <v>0</v>
          </cell>
          <cell r="CY80">
            <v>8.2200000000000006</v>
          </cell>
          <cell r="CZ80">
            <v>21.1</v>
          </cell>
          <cell r="DR80">
            <v>0</v>
          </cell>
          <cell r="DS80">
            <v>0</v>
          </cell>
          <cell r="DT80">
            <v>0</v>
          </cell>
          <cell r="DU80">
            <v>0</v>
          </cell>
          <cell r="DW80">
            <v>0</v>
          </cell>
          <cell r="DX80" t="str">
            <v>1</v>
          </cell>
          <cell r="DY80">
            <v>0</v>
          </cell>
          <cell r="DZ80">
            <v>0</v>
          </cell>
          <cell r="EA80">
            <v>0</v>
          </cell>
          <cell r="EB80">
            <v>0</v>
          </cell>
          <cell r="ED80">
            <v>32880.959999999999</v>
          </cell>
          <cell r="EE80">
            <v>0</v>
          </cell>
          <cell r="EF80">
            <v>0</v>
          </cell>
          <cell r="EG80">
            <v>0</v>
          </cell>
          <cell r="EH80" t="str">
            <v>Hodgson          C  Mrs</v>
          </cell>
          <cell r="EI80">
            <v>4592</v>
          </cell>
          <cell r="EJ80">
            <v>-650</v>
          </cell>
          <cell r="EK80">
            <v>0</v>
          </cell>
        </row>
        <row r="81">
          <cell r="I81" t="str">
            <v>Lee              J  Mr</v>
          </cell>
          <cell r="J81">
            <v>4020</v>
          </cell>
          <cell r="K81">
            <v>350</v>
          </cell>
          <cell r="L81">
            <v>3325</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3325</v>
          </cell>
          <cell r="BM81">
            <v>261.37</v>
          </cell>
          <cell r="BN81">
            <v>0</v>
          </cell>
          <cell r="BO81">
            <v>659.9</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373.38</v>
          </cell>
          <cell r="CP81">
            <v>0</v>
          </cell>
          <cell r="CQ81">
            <v>0</v>
          </cell>
          <cell r="CR81">
            <v>0</v>
          </cell>
          <cell r="CS81">
            <v>0</v>
          </cell>
          <cell r="CT81">
            <v>0</v>
          </cell>
          <cell r="CU81">
            <v>4030.88</v>
          </cell>
          <cell r="CV81">
            <v>65</v>
          </cell>
          <cell r="CW81">
            <v>0</v>
          </cell>
          <cell r="CX81">
            <v>0</v>
          </cell>
          <cell r="CY81">
            <v>194.51</v>
          </cell>
          <cell r="CZ81">
            <v>332.5</v>
          </cell>
          <cell r="DR81">
            <v>0</v>
          </cell>
          <cell r="DS81">
            <v>0</v>
          </cell>
          <cell r="DT81">
            <v>0</v>
          </cell>
          <cell r="DU81">
            <v>0</v>
          </cell>
          <cell r="DW81">
            <v>0</v>
          </cell>
          <cell r="DX81" t="str">
            <v>1</v>
          </cell>
          <cell r="DY81">
            <v>0</v>
          </cell>
          <cell r="DZ81" t="str">
            <v>1</v>
          </cell>
          <cell r="EA81">
            <v>0</v>
          </cell>
          <cell r="EB81">
            <v>0</v>
          </cell>
          <cell r="ED81">
            <v>39900</v>
          </cell>
          <cell r="EE81">
            <v>0</v>
          </cell>
          <cell r="EF81">
            <v>0</v>
          </cell>
          <cell r="EG81">
            <v>0</v>
          </cell>
          <cell r="EH81" t="str">
            <v>Lee              J  Mr</v>
          </cell>
          <cell r="EI81">
            <v>4601</v>
          </cell>
          <cell r="EJ81">
            <v>-2083.3000000000002</v>
          </cell>
          <cell r="EK81">
            <v>0</v>
          </cell>
        </row>
        <row r="82">
          <cell r="I82" t="str">
            <v>Lomax            RF Mr</v>
          </cell>
          <cell r="J82">
            <v>4020</v>
          </cell>
          <cell r="K82">
            <v>350</v>
          </cell>
          <cell r="L82">
            <v>3316.66</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3316.66</v>
          </cell>
          <cell r="BM82">
            <v>261.27999999999997</v>
          </cell>
          <cell r="BN82">
            <v>0</v>
          </cell>
          <cell r="BO82">
            <v>656.3</v>
          </cell>
          <cell r="BP82">
            <v>0</v>
          </cell>
          <cell r="BQ82">
            <v>0</v>
          </cell>
          <cell r="BR82">
            <v>0</v>
          </cell>
          <cell r="BS82">
            <v>0</v>
          </cell>
          <cell r="BT82">
            <v>0</v>
          </cell>
          <cell r="BU82">
            <v>0</v>
          </cell>
          <cell r="BV82">
            <v>0</v>
          </cell>
          <cell r="BW82">
            <v>0</v>
          </cell>
          <cell r="BX82">
            <v>4.33</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372.23</v>
          </cell>
          <cell r="CP82">
            <v>0</v>
          </cell>
          <cell r="CQ82">
            <v>0</v>
          </cell>
          <cell r="CR82">
            <v>0</v>
          </cell>
          <cell r="CS82">
            <v>0</v>
          </cell>
          <cell r="CT82">
            <v>0</v>
          </cell>
          <cell r="CU82">
            <v>4020.56</v>
          </cell>
          <cell r="CV82">
            <v>0</v>
          </cell>
          <cell r="CW82">
            <v>331.67</v>
          </cell>
          <cell r="CX82">
            <v>0</v>
          </cell>
          <cell r="CY82">
            <v>129.35</v>
          </cell>
          <cell r="CZ82">
            <v>331.67</v>
          </cell>
          <cell r="DR82">
            <v>0</v>
          </cell>
          <cell r="DS82" t="str">
            <v>1</v>
          </cell>
          <cell r="DT82">
            <v>0</v>
          </cell>
          <cell r="DU82">
            <v>0</v>
          </cell>
          <cell r="DW82">
            <v>0</v>
          </cell>
          <cell r="DX82" t="str">
            <v>1</v>
          </cell>
          <cell r="DY82">
            <v>0</v>
          </cell>
          <cell r="DZ82">
            <v>0</v>
          </cell>
          <cell r="EA82">
            <v>0</v>
          </cell>
          <cell r="EB82">
            <v>0</v>
          </cell>
          <cell r="ED82">
            <v>39799.919999999998</v>
          </cell>
          <cell r="EE82">
            <v>0</v>
          </cell>
          <cell r="EF82">
            <v>0</v>
          </cell>
          <cell r="EG82">
            <v>0</v>
          </cell>
          <cell r="EH82" t="str">
            <v>Lomax            RF Mr</v>
          </cell>
          <cell r="EI82">
            <v>4639</v>
          </cell>
          <cell r="EJ82">
            <v>0</v>
          </cell>
          <cell r="EK82">
            <v>0</v>
          </cell>
        </row>
        <row r="83">
          <cell r="I83" t="str">
            <v>Smith            SR Mr</v>
          </cell>
          <cell r="J83">
            <v>4020</v>
          </cell>
          <cell r="K83">
            <v>350</v>
          </cell>
          <cell r="L83">
            <v>3765.83</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3765.83</v>
          </cell>
          <cell r="BM83">
            <v>265.77</v>
          </cell>
          <cell r="BN83">
            <v>0</v>
          </cell>
          <cell r="BO83">
            <v>836.3</v>
          </cell>
          <cell r="BP83">
            <v>0</v>
          </cell>
          <cell r="BQ83">
            <v>0</v>
          </cell>
          <cell r="BR83">
            <v>0</v>
          </cell>
          <cell r="BS83">
            <v>0</v>
          </cell>
          <cell r="BT83">
            <v>0</v>
          </cell>
          <cell r="BU83">
            <v>0</v>
          </cell>
          <cell r="BV83">
            <v>0</v>
          </cell>
          <cell r="BW83">
            <v>0</v>
          </cell>
          <cell r="BX83">
            <v>4.33</v>
          </cell>
          <cell r="BY83">
            <v>0</v>
          </cell>
          <cell r="BZ83">
            <v>76</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429.7</v>
          </cell>
          <cell r="CP83">
            <v>0</v>
          </cell>
          <cell r="CQ83">
            <v>0</v>
          </cell>
          <cell r="CR83">
            <v>0</v>
          </cell>
          <cell r="CS83">
            <v>0</v>
          </cell>
          <cell r="CT83">
            <v>0</v>
          </cell>
          <cell r="CU83">
            <v>4572.1099999999997</v>
          </cell>
          <cell r="CV83">
            <v>0</v>
          </cell>
          <cell r="CW83">
            <v>0</v>
          </cell>
          <cell r="CX83">
            <v>0</v>
          </cell>
          <cell r="CY83">
            <v>146.87</v>
          </cell>
          <cell r="CZ83">
            <v>376.58</v>
          </cell>
          <cell r="DR83">
            <v>0</v>
          </cell>
          <cell r="DS83" t="str">
            <v>1</v>
          </cell>
          <cell r="DT83">
            <v>0</v>
          </cell>
          <cell r="DU83" t="str">
            <v>1</v>
          </cell>
          <cell r="DV83">
            <v>22</v>
          </cell>
          <cell r="DW83">
            <v>0</v>
          </cell>
          <cell r="DX83" t="str">
            <v>1</v>
          </cell>
          <cell r="DY83">
            <v>0</v>
          </cell>
          <cell r="DZ83">
            <v>0</v>
          </cell>
          <cell r="EA83">
            <v>0</v>
          </cell>
          <cell r="EB83">
            <v>0</v>
          </cell>
          <cell r="ED83">
            <v>45189.96</v>
          </cell>
          <cell r="EE83">
            <v>0</v>
          </cell>
          <cell r="EF83">
            <v>0</v>
          </cell>
          <cell r="EG83">
            <v>0</v>
          </cell>
          <cell r="EH83" t="str">
            <v>Smith            SR Mr</v>
          </cell>
          <cell r="EI83">
            <v>4645</v>
          </cell>
          <cell r="EJ83">
            <v>0</v>
          </cell>
          <cell r="EK83">
            <v>0</v>
          </cell>
        </row>
        <row r="84">
          <cell r="I84" t="str">
            <v>Roger            E  Mr</v>
          </cell>
          <cell r="J84">
            <v>4020</v>
          </cell>
          <cell r="K84">
            <v>350</v>
          </cell>
          <cell r="L84">
            <v>3250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3250</v>
          </cell>
          <cell r="BM84">
            <v>260.62</v>
          </cell>
          <cell r="BN84">
            <v>0</v>
          </cell>
          <cell r="BO84">
            <v>650.29999999999995</v>
          </cell>
          <cell r="BP84">
            <v>0</v>
          </cell>
          <cell r="BQ84">
            <v>0</v>
          </cell>
          <cell r="BR84">
            <v>0</v>
          </cell>
          <cell r="BS84">
            <v>0</v>
          </cell>
          <cell r="BT84">
            <v>0</v>
          </cell>
          <cell r="BU84">
            <v>0</v>
          </cell>
          <cell r="BV84">
            <v>0</v>
          </cell>
          <cell r="BW84">
            <v>0</v>
          </cell>
          <cell r="BX84">
            <v>4.33</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363.78</v>
          </cell>
          <cell r="CP84">
            <v>0</v>
          </cell>
          <cell r="CQ84">
            <v>0</v>
          </cell>
          <cell r="CR84">
            <v>0</v>
          </cell>
          <cell r="CS84">
            <v>0</v>
          </cell>
          <cell r="CT84">
            <v>0</v>
          </cell>
          <cell r="CU84">
            <v>3938.78</v>
          </cell>
          <cell r="CV84">
            <v>0</v>
          </cell>
          <cell r="CW84">
            <v>0</v>
          </cell>
          <cell r="CX84">
            <v>0</v>
          </cell>
          <cell r="CY84">
            <v>126.75</v>
          </cell>
          <cell r="CZ84">
            <v>325</v>
          </cell>
          <cell r="DR84">
            <v>0</v>
          </cell>
          <cell r="DS84" t="str">
            <v>1</v>
          </cell>
          <cell r="DT84">
            <v>0</v>
          </cell>
          <cell r="DU84">
            <v>0</v>
          </cell>
          <cell r="DW84">
            <v>0</v>
          </cell>
          <cell r="DX84" t="str">
            <v>1</v>
          </cell>
          <cell r="DY84">
            <v>0</v>
          </cell>
          <cell r="DZ84">
            <v>0</v>
          </cell>
          <cell r="EA84">
            <v>0</v>
          </cell>
          <cell r="EB84">
            <v>0</v>
          </cell>
          <cell r="ED84">
            <v>39000</v>
          </cell>
          <cell r="EE84">
            <v>0</v>
          </cell>
          <cell r="EF84">
            <v>0</v>
          </cell>
          <cell r="EG84">
            <v>0</v>
          </cell>
          <cell r="EH84" t="str">
            <v>Roger            E  Mr</v>
          </cell>
          <cell r="EI84">
            <v>4702</v>
          </cell>
          <cell r="EJ84">
            <v>-2030.08</v>
          </cell>
          <cell r="EK84">
            <v>0</v>
          </cell>
        </row>
        <row r="85">
          <cell r="I85" t="str">
            <v>Rennie           JD Mr</v>
          </cell>
          <cell r="J85">
            <v>4020</v>
          </cell>
          <cell r="K85">
            <v>350</v>
          </cell>
          <cell r="L85">
            <v>5395.83</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6095.83</v>
          </cell>
          <cell r="BA85">
            <v>0</v>
          </cell>
          <cell r="BB85">
            <v>0</v>
          </cell>
          <cell r="BC85">
            <v>0</v>
          </cell>
          <cell r="BD85">
            <v>0</v>
          </cell>
          <cell r="BE85">
            <v>0</v>
          </cell>
          <cell r="BF85">
            <v>700</v>
          </cell>
          <cell r="BM85">
            <v>289.07</v>
          </cell>
          <cell r="BN85">
            <v>0</v>
          </cell>
          <cell r="BO85">
            <v>1671.1</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cell r="CE85">
            <v>0</v>
          </cell>
          <cell r="CF85">
            <v>0</v>
          </cell>
          <cell r="CG85">
            <v>0</v>
          </cell>
          <cell r="CH85">
            <v>0</v>
          </cell>
          <cell r="CI85">
            <v>0</v>
          </cell>
          <cell r="CJ85">
            <v>0</v>
          </cell>
          <cell r="CK85">
            <v>0</v>
          </cell>
          <cell r="CL85">
            <v>0</v>
          </cell>
          <cell r="CM85">
            <v>0</v>
          </cell>
          <cell r="CN85">
            <v>0</v>
          </cell>
          <cell r="CO85">
            <v>727.94</v>
          </cell>
          <cell r="CP85">
            <v>0</v>
          </cell>
          <cell r="CQ85">
            <v>0</v>
          </cell>
          <cell r="CR85">
            <v>0</v>
          </cell>
          <cell r="CS85">
            <v>0</v>
          </cell>
          <cell r="CT85">
            <v>0</v>
          </cell>
          <cell r="CU85">
            <v>7633.14</v>
          </cell>
          <cell r="CV85">
            <v>0</v>
          </cell>
          <cell r="CW85">
            <v>539.58000000000004</v>
          </cell>
          <cell r="CX85">
            <v>0</v>
          </cell>
          <cell r="CY85">
            <v>0</v>
          </cell>
          <cell r="CZ85">
            <v>0</v>
          </cell>
          <cell r="DA85">
            <v>0</v>
          </cell>
          <cell r="DB85">
            <v>269.79000000000002</v>
          </cell>
          <cell r="DC85">
            <v>809.37</v>
          </cell>
          <cell r="DR85">
            <v>0</v>
          </cell>
          <cell r="DS85">
            <v>0</v>
          </cell>
          <cell r="DT85">
            <v>0</v>
          </cell>
          <cell r="DU85">
            <v>0</v>
          </cell>
          <cell r="DW85" t="str">
            <v>1</v>
          </cell>
          <cell r="DX85">
            <v>0</v>
          </cell>
          <cell r="DY85" t="str">
            <v>1</v>
          </cell>
          <cell r="DZ85">
            <v>0</v>
          </cell>
          <cell r="EA85" t="str">
            <v>1</v>
          </cell>
          <cell r="EB85">
            <v>0</v>
          </cell>
          <cell r="ED85">
            <v>64749.96</v>
          </cell>
          <cell r="EE85">
            <v>0</v>
          </cell>
          <cell r="EF85">
            <v>0</v>
          </cell>
          <cell r="EG85">
            <v>0</v>
          </cell>
          <cell r="EH85" t="str">
            <v>Rennie           JD Mr</v>
          </cell>
          <cell r="EI85">
            <v>4706</v>
          </cell>
          <cell r="EJ85">
            <v>0</v>
          </cell>
          <cell r="EK85">
            <v>0</v>
          </cell>
        </row>
        <row r="86">
          <cell r="I86" t="str">
            <v>Pullen           D  Mr</v>
          </cell>
          <cell r="J86">
            <v>4020</v>
          </cell>
          <cell r="K86">
            <v>350</v>
          </cell>
          <cell r="L86">
            <v>2666.66</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2666.66</v>
          </cell>
          <cell r="BM86">
            <v>248.38</v>
          </cell>
          <cell r="BN86">
            <v>0</v>
          </cell>
          <cell r="BO86">
            <v>477.85</v>
          </cell>
          <cell r="BP86">
            <v>0</v>
          </cell>
          <cell r="BQ86">
            <v>0</v>
          </cell>
          <cell r="BR86">
            <v>0</v>
          </cell>
          <cell r="BS86">
            <v>0</v>
          </cell>
          <cell r="BT86">
            <v>0</v>
          </cell>
          <cell r="BU86">
            <v>0</v>
          </cell>
          <cell r="BV86">
            <v>0</v>
          </cell>
          <cell r="BW86">
            <v>0</v>
          </cell>
          <cell r="BX86">
            <v>4.33</v>
          </cell>
          <cell r="BY86">
            <v>0</v>
          </cell>
          <cell r="BZ86">
            <v>22</v>
          </cell>
          <cell r="CA86">
            <v>0</v>
          </cell>
          <cell r="CB86">
            <v>0</v>
          </cell>
          <cell r="CC86">
            <v>0</v>
          </cell>
          <cell r="CD86">
            <v>0</v>
          </cell>
          <cell r="CE86">
            <v>0</v>
          </cell>
          <cell r="CF86">
            <v>0</v>
          </cell>
          <cell r="CG86">
            <v>0</v>
          </cell>
          <cell r="CH86">
            <v>0</v>
          </cell>
          <cell r="CI86">
            <v>0</v>
          </cell>
          <cell r="CJ86">
            <v>0</v>
          </cell>
          <cell r="CK86">
            <v>0</v>
          </cell>
          <cell r="CL86">
            <v>0</v>
          </cell>
          <cell r="CM86">
            <v>0</v>
          </cell>
          <cell r="CN86">
            <v>0</v>
          </cell>
          <cell r="CO86">
            <v>289.02</v>
          </cell>
          <cell r="CP86">
            <v>0</v>
          </cell>
          <cell r="CQ86">
            <v>0</v>
          </cell>
          <cell r="CR86">
            <v>0</v>
          </cell>
          <cell r="CS86">
            <v>0</v>
          </cell>
          <cell r="CT86">
            <v>0</v>
          </cell>
          <cell r="CU86">
            <v>3222.35</v>
          </cell>
          <cell r="CV86">
            <v>266.66000000000003</v>
          </cell>
          <cell r="CW86">
            <v>0</v>
          </cell>
          <cell r="CX86">
            <v>0</v>
          </cell>
          <cell r="CY86">
            <v>104</v>
          </cell>
          <cell r="CZ86">
            <v>266.67</v>
          </cell>
          <cell r="DR86">
            <v>0</v>
          </cell>
          <cell r="DS86" t="str">
            <v>1</v>
          </cell>
          <cell r="DT86">
            <v>0</v>
          </cell>
          <cell r="DU86" t="str">
            <v>1</v>
          </cell>
          <cell r="DV86">
            <v>22</v>
          </cell>
          <cell r="DW86">
            <v>0</v>
          </cell>
          <cell r="DX86" t="str">
            <v>1</v>
          </cell>
          <cell r="DY86">
            <v>0</v>
          </cell>
          <cell r="DZ86" t="str">
            <v>1</v>
          </cell>
          <cell r="EA86">
            <v>0</v>
          </cell>
          <cell r="EB86">
            <v>0</v>
          </cell>
          <cell r="ED86">
            <v>31999.919999999998</v>
          </cell>
          <cell r="EE86">
            <v>0</v>
          </cell>
          <cell r="EF86">
            <v>0</v>
          </cell>
          <cell r="EG86">
            <v>0</v>
          </cell>
          <cell r="EH86" t="str">
            <v>Pullen           D  Mr</v>
          </cell>
          <cell r="EI86">
            <v>4717</v>
          </cell>
          <cell r="EJ86">
            <v>335</v>
          </cell>
          <cell r="EK86">
            <v>0</v>
          </cell>
        </row>
        <row r="87">
          <cell r="I87" t="str">
            <v>Evans            RD Mr</v>
          </cell>
          <cell r="J87">
            <v>4020</v>
          </cell>
          <cell r="K87">
            <v>350</v>
          </cell>
          <cell r="L87">
            <v>2525</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2525</v>
          </cell>
          <cell r="BM87">
            <v>232.98</v>
          </cell>
          <cell r="BN87">
            <v>0</v>
          </cell>
          <cell r="BO87">
            <v>446.61</v>
          </cell>
          <cell r="BP87">
            <v>0</v>
          </cell>
          <cell r="BQ87">
            <v>0</v>
          </cell>
          <cell r="BR87">
            <v>0</v>
          </cell>
          <cell r="BS87">
            <v>0</v>
          </cell>
          <cell r="BT87">
            <v>0</v>
          </cell>
          <cell r="BU87">
            <v>0</v>
          </cell>
          <cell r="BV87">
            <v>0</v>
          </cell>
          <cell r="BW87">
            <v>0</v>
          </cell>
          <cell r="BX87">
            <v>4.33</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271.10000000000002</v>
          </cell>
          <cell r="CP87">
            <v>0</v>
          </cell>
          <cell r="CQ87">
            <v>0</v>
          </cell>
          <cell r="CR87">
            <v>0</v>
          </cell>
          <cell r="CS87">
            <v>0</v>
          </cell>
          <cell r="CT87">
            <v>0</v>
          </cell>
          <cell r="CU87">
            <v>3048.6</v>
          </cell>
          <cell r="CV87">
            <v>0</v>
          </cell>
          <cell r="CW87">
            <v>252.5</v>
          </cell>
          <cell r="CX87">
            <v>0</v>
          </cell>
          <cell r="CY87">
            <v>98.48</v>
          </cell>
          <cell r="CZ87">
            <v>252.5</v>
          </cell>
          <cell r="DR87">
            <v>0</v>
          </cell>
          <cell r="DS87" t="str">
            <v>1</v>
          </cell>
          <cell r="DT87">
            <v>0</v>
          </cell>
          <cell r="DU87">
            <v>0</v>
          </cell>
          <cell r="DW87">
            <v>0</v>
          </cell>
          <cell r="DX87" t="str">
            <v>1</v>
          </cell>
          <cell r="DY87">
            <v>0</v>
          </cell>
          <cell r="DZ87">
            <v>0</v>
          </cell>
          <cell r="EA87">
            <v>0</v>
          </cell>
          <cell r="EB87">
            <v>0</v>
          </cell>
          <cell r="ED87">
            <v>30300</v>
          </cell>
          <cell r="EE87">
            <v>0</v>
          </cell>
          <cell r="EF87">
            <v>0</v>
          </cell>
          <cell r="EG87">
            <v>0</v>
          </cell>
          <cell r="EH87" t="str">
            <v>Evans            RD Mr</v>
          </cell>
          <cell r="EI87">
            <v>4718</v>
          </cell>
          <cell r="EJ87">
            <v>0</v>
          </cell>
          <cell r="EK87">
            <v>0</v>
          </cell>
        </row>
        <row r="88">
          <cell r="I88" t="str">
            <v>Haworth          S  Mr</v>
          </cell>
          <cell r="J88">
            <v>4020</v>
          </cell>
          <cell r="K88">
            <v>350</v>
          </cell>
          <cell r="L88">
            <v>3658.33</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4183.33</v>
          </cell>
          <cell r="BA88">
            <v>0</v>
          </cell>
          <cell r="BB88">
            <v>0</v>
          </cell>
          <cell r="BC88">
            <v>0</v>
          </cell>
          <cell r="BD88">
            <v>0</v>
          </cell>
          <cell r="BE88">
            <v>0</v>
          </cell>
          <cell r="BF88">
            <v>525</v>
          </cell>
          <cell r="BM88">
            <v>269.95</v>
          </cell>
          <cell r="BN88">
            <v>0</v>
          </cell>
          <cell r="BO88">
            <v>1117.5</v>
          </cell>
          <cell r="BP88">
            <v>0</v>
          </cell>
          <cell r="BQ88">
            <v>0</v>
          </cell>
          <cell r="BR88">
            <v>0</v>
          </cell>
          <cell r="BS88">
            <v>0</v>
          </cell>
          <cell r="BT88">
            <v>0</v>
          </cell>
          <cell r="BU88">
            <v>0</v>
          </cell>
          <cell r="BV88">
            <v>0</v>
          </cell>
          <cell r="BW88">
            <v>0</v>
          </cell>
          <cell r="BX88">
            <v>4.33</v>
          </cell>
          <cell r="BY88">
            <v>0</v>
          </cell>
          <cell r="BZ88">
            <v>0</v>
          </cell>
          <cell r="CA88">
            <v>0</v>
          </cell>
          <cell r="CB88">
            <v>0</v>
          </cell>
          <cell r="CC88">
            <v>0</v>
          </cell>
          <cell r="CD88">
            <v>0</v>
          </cell>
          <cell r="CE88">
            <v>0</v>
          </cell>
          <cell r="CF88">
            <v>0</v>
          </cell>
          <cell r="CG88">
            <v>0</v>
          </cell>
          <cell r="CH88">
            <v>0</v>
          </cell>
          <cell r="CI88">
            <v>0</v>
          </cell>
          <cell r="CJ88">
            <v>0</v>
          </cell>
          <cell r="CK88">
            <v>0</v>
          </cell>
          <cell r="CL88">
            <v>0</v>
          </cell>
          <cell r="CM88">
            <v>0</v>
          </cell>
          <cell r="CN88">
            <v>0</v>
          </cell>
          <cell r="CO88">
            <v>483.2</v>
          </cell>
          <cell r="CP88">
            <v>0</v>
          </cell>
          <cell r="CQ88">
            <v>0</v>
          </cell>
          <cell r="CR88">
            <v>0</v>
          </cell>
          <cell r="CS88">
            <v>0</v>
          </cell>
          <cell r="CT88">
            <v>0</v>
          </cell>
          <cell r="CU88">
            <v>5032.3599999999997</v>
          </cell>
          <cell r="CV88">
            <v>365.83</v>
          </cell>
          <cell r="CW88">
            <v>0</v>
          </cell>
          <cell r="CX88">
            <v>0</v>
          </cell>
          <cell r="CY88">
            <v>142.66999999999999</v>
          </cell>
          <cell r="CZ88">
            <v>365.83</v>
          </cell>
          <cell r="DR88">
            <v>0</v>
          </cell>
          <cell r="DS88" t="str">
            <v>1</v>
          </cell>
          <cell r="DT88">
            <v>0</v>
          </cell>
          <cell r="DU88">
            <v>0</v>
          </cell>
          <cell r="DW88" t="str">
            <v>1</v>
          </cell>
          <cell r="DX88" t="str">
            <v>1</v>
          </cell>
          <cell r="DY88">
            <v>0</v>
          </cell>
          <cell r="DZ88" t="str">
            <v>1</v>
          </cell>
          <cell r="EA88">
            <v>0</v>
          </cell>
          <cell r="EB88">
            <v>0</v>
          </cell>
          <cell r="ED88">
            <v>43899.96</v>
          </cell>
          <cell r="EE88">
            <v>0</v>
          </cell>
          <cell r="EF88">
            <v>0</v>
          </cell>
          <cell r="EG88">
            <v>0</v>
          </cell>
          <cell r="EH88" t="str">
            <v>Haworth          S  Mr</v>
          </cell>
          <cell r="EI88">
            <v>4720</v>
          </cell>
          <cell r="EJ88">
            <v>0</v>
          </cell>
          <cell r="EK88">
            <v>0</v>
          </cell>
        </row>
        <row r="89">
          <cell r="I89" t="str">
            <v>Smith            RG Mr</v>
          </cell>
          <cell r="J89">
            <v>4020</v>
          </cell>
          <cell r="K89">
            <v>350</v>
          </cell>
          <cell r="L89">
            <v>3041.66</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3041.66</v>
          </cell>
          <cell r="BM89">
            <v>258.52999999999997</v>
          </cell>
          <cell r="BN89">
            <v>0</v>
          </cell>
          <cell r="BO89">
            <v>558.37</v>
          </cell>
          <cell r="BP89">
            <v>0</v>
          </cell>
          <cell r="BQ89">
            <v>0</v>
          </cell>
          <cell r="BR89">
            <v>0</v>
          </cell>
          <cell r="BS89">
            <v>0</v>
          </cell>
          <cell r="BT89">
            <v>0</v>
          </cell>
          <cell r="BU89">
            <v>0</v>
          </cell>
          <cell r="BV89">
            <v>0</v>
          </cell>
          <cell r="BW89">
            <v>0</v>
          </cell>
          <cell r="BX89">
            <v>0</v>
          </cell>
          <cell r="BY89">
            <v>0</v>
          </cell>
          <cell r="BZ89">
            <v>22</v>
          </cell>
          <cell r="CA89">
            <v>0</v>
          </cell>
          <cell r="CB89">
            <v>0</v>
          </cell>
          <cell r="CC89">
            <v>0</v>
          </cell>
          <cell r="CD89">
            <v>0</v>
          </cell>
          <cell r="CE89">
            <v>0</v>
          </cell>
          <cell r="CF89">
            <v>0</v>
          </cell>
          <cell r="CG89">
            <v>0</v>
          </cell>
          <cell r="CH89">
            <v>0</v>
          </cell>
          <cell r="CI89">
            <v>0</v>
          </cell>
          <cell r="CJ89">
            <v>0</v>
          </cell>
          <cell r="CK89">
            <v>0</v>
          </cell>
          <cell r="CL89">
            <v>0</v>
          </cell>
          <cell r="CM89">
            <v>0</v>
          </cell>
          <cell r="CN89">
            <v>0</v>
          </cell>
          <cell r="CO89">
            <v>337.03</v>
          </cell>
          <cell r="CP89">
            <v>0</v>
          </cell>
          <cell r="CQ89">
            <v>0</v>
          </cell>
          <cell r="CR89">
            <v>0</v>
          </cell>
          <cell r="CS89">
            <v>0</v>
          </cell>
          <cell r="CT89">
            <v>0</v>
          </cell>
          <cell r="CU89">
            <v>3682.86</v>
          </cell>
          <cell r="CV89">
            <v>0</v>
          </cell>
          <cell r="CW89">
            <v>0</v>
          </cell>
          <cell r="CX89">
            <v>0</v>
          </cell>
          <cell r="CY89">
            <v>118.62</v>
          </cell>
          <cell r="CZ89">
            <v>304.17</v>
          </cell>
          <cell r="DR89">
            <v>0</v>
          </cell>
          <cell r="DS89">
            <v>0</v>
          </cell>
          <cell r="DT89">
            <v>0</v>
          </cell>
          <cell r="DU89" t="str">
            <v>1</v>
          </cell>
          <cell r="DV89">
            <v>22</v>
          </cell>
          <cell r="DW89">
            <v>0</v>
          </cell>
          <cell r="DX89" t="str">
            <v>1</v>
          </cell>
          <cell r="DY89">
            <v>0</v>
          </cell>
          <cell r="DZ89">
            <v>0</v>
          </cell>
          <cell r="EA89">
            <v>0</v>
          </cell>
          <cell r="EB89">
            <v>0</v>
          </cell>
          <cell r="ED89">
            <v>36499.919999999998</v>
          </cell>
          <cell r="EE89">
            <v>0</v>
          </cell>
          <cell r="EF89">
            <v>0</v>
          </cell>
          <cell r="EG89">
            <v>0</v>
          </cell>
          <cell r="EH89" t="str">
            <v>Smith            RG Mr</v>
          </cell>
          <cell r="EI89">
            <v>4775</v>
          </cell>
          <cell r="EJ89">
            <v>0</v>
          </cell>
          <cell r="EK89">
            <v>0</v>
          </cell>
        </row>
        <row r="90">
          <cell r="I90" t="str">
            <v>Warren           D  Mr</v>
          </cell>
          <cell r="J90">
            <v>4020</v>
          </cell>
          <cell r="K90">
            <v>350</v>
          </cell>
          <cell r="L90">
            <v>2833.33</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2833.33</v>
          </cell>
          <cell r="BM90">
            <v>256.45</v>
          </cell>
          <cell r="BN90">
            <v>0</v>
          </cell>
          <cell r="BO90">
            <v>526.47</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0</v>
          </cell>
          <cell r="CO90">
            <v>310.39999999999998</v>
          </cell>
          <cell r="CP90">
            <v>0</v>
          </cell>
          <cell r="CQ90">
            <v>0</v>
          </cell>
          <cell r="CR90">
            <v>0</v>
          </cell>
          <cell r="CS90">
            <v>0</v>
          </cell>
          <cell r="CT90">
            <v>0</v>
          </cell>
          <cell r="CU90">
            <v>3143.73</v>
          </cell>
          <cell r="DR90">
            <v>0</v>
          </cell>
          <cell r="DS90">
            <v>0</v>
          </cell>
          <cell r="DT90">
            <v>0</v>
          </cell>
          <cell r="DU90">
            <v>0</v>
          </cell>
          <cell r="DW90">
            <v>0</v>
          </cell>
          <cell r="DX90">
            <v>0</v>
          </cell>
          <cell r="DY90">
            <v>0</v>
          </cell>
          <cell r="DZ90">
            <v>0</v>
          </cell>
          <cell r="EA90">
            <v>0</v>
          </cell>
          <cell r="EB90">
            <v>0</v>
          </cell>
          <cell r="ED90">
            <v>33999.96</v>
          </cell>
          <cell r="EE90">
            <v>0</v>
          </cell>
          <cell r="EF90">
            <v>0</v>
          </cell>
          <cell r="EG90">
            <v>0</v>
          </cell>
          <cell r="EH90" t="str">
            <v>Warren           D  Mr</v>
          </cell>
          <cell r="EI90">
            <v>4778</v>
          </cell>
          <cell r="EJ90">
            <v>-2108.34</v>
          </cell>
          <cell r="EK90">
            <v>0</v>
          </cell>
        </row>
        <row r="91">
          <cell r="I91" t="str">
            <v>Wall             C  Mr</v>
          </cell>
          <cell r="J91">
            <v>4020</v>
          </cell>
          <cell r="K91">
            <v>350</v>
          </cell>
          <cell r="L91">
            <v>3300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3300</v>
          </cell>
          <cell r="BM91">
            <v>261.12</v>
          </cell>
          <cell r="BN91">
            <v>0</v>
          </cell>
          <cell r="BO91">
            <v>654.70000000000005</v>
          </cell>
          <cell r="BP91">
            <v>0</v>
          </cell>
          <cell r="BQ91">
            <v>0</v>
          </cell>
          <cell r="BR91">
            <v>0</v>
          </cell>
          <cell r="BS91">
            <v>0</v>
          </cell>
          <cell r="BT91">
            <v>0</v>
          </cell>
          <cell r="BU91">
            <v>0</v>
          </cell>
          <cell r="BV91">
            <v>0</v>
          </cell>
          <cell r="BW91">
            <v>0</v>
          </cell>
          <cell r="BX91">
            <v>0</v>
          </cell>
          <cell r="BY91">
            <v>0</v>
          </cell>
          <cell r="BZ91">
            <v>22</v>
          </cell>
          <cell r="CA91">
            <v>0</v>
          </cell>
          <cell r="CB91">
            <v>0</v>
          </cell>
          <cell r="CC91">
            <v>0</v>
          </cell>
          <cell r="CD91">
            <v>0</v>
          </cell>
          <cell r="CE91">
            <v>0</v>
          </cell>
          <cell r="CF91">
            <v>0</v>
          </cell>
          <cell r="CG91">
            <v>0</v>
          </cell>
          <cell r="CH91">
            <v>0</v>
          </cell>
          <cell r="CI91">
            <v>0</v>
          </cell>
          <cell r="CJ91">
            <v>0</v>
          </cell>
          <cell r="CK91">
            <v>0</v>
          </cell>
          <cell r="CL91">
            <v>0</v>
          </cell>
          <cell r="CM91">
            <v>0</v>
          </cell>
          <cell r="CN91">
            <v>0</v>
          </cell>
          <cell r="CO91">
            <v>370.18</v>
          </cell>
          <cell r="CP91">
            <v>0</v>
          </cell>
          <cell r="CQ91">
            <v>0</v>
          </cell>
          <cell r="CR91">
            <v>0</v>
          </cell>
          <cell r="CS91">
            <v>0</v>
          </cell>
          <cell r="CT91">
            <v>0</v>
          </cell>
          <cell r="CU91">
            <v>4000.18</v>
          </cell>
          <cell r="CV91">
            <v>96.25</v>
          </cell>
          <cell r="CW91">
            <v>0</v>
          </cell>
          <cell r="CX91">
            <v>0</v>
          </cell>
          <cell r="CY91">
            <v>128.69999999999999</v>
          </cell>
          <cell r="CZ91">
            <v>330</v>
          </cell>
          <cell r="DR91">
            <v>0</v>
          </cell>
          <cell r="DS91">
            <v>0</v>
          </cell>
          <cell r="DT91">
            <v>0</v>
          </cell>
          <cell r="DU91" t="str">
            <v>1</v>
          </cell>
          <cell r="DV91">
            <v>22</v>
          </cell>
          <cell r="DW91">
            <v>0</v>
          </cell>
          <cell r="DX91" t="str">
            <v>1</v>
          </cell>
          <cell r="DY91">
            <v>0</v>
          </cell>
          <cell r="DZ91" t="str">
            <v>1</v>
          </cell>
          <cell r="EA91">
            <v>0</v>
          </cell>
          <cell r="EB91">
            <v>0</v>
          </cell>
          <cell r="ED91">
            <v>39600</v>
          </cell>
          <cell r="EE91">
            <v>0</v>
          </cell>
          <cell r="EF91">
            <v>0</v>
          </cell>
          <cell r="EG91">
            <v>0</v>
          </cell>
          <cell r="EH91" t="str">
            <v>Wall             C  Mr</v>
          </cell>
          <cell r="EI91">
            <v>4779</v>
          </cell>
          <cell r="EJ91">
            <v>0</v>
          </cell>
          <cell r="EK91">
            <v>0</v>
          </cell>
        </row>
        <row r="92">
          <cell r="I92" t="str">
            <v>Terry            D  Mr</v>
          </cell>
          <cell r="J92">
            <v>4020</v>
          </cell>
          <cell r="K92">
            <v>350</v>
          </cell>
          <cell r="L92">
            <v>3825</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4209</v>
          </cell>
          <cell r="BA92">
            <v>0</v>
          </cell>
          <cell r="BB92">
            <v>0</v>
          </cell>
          <cell r="BC92">
            <v>0</v>
          </cell>
          <cell r="BD92">
            <v>0</v>
          </cell>
          <cell r="BE92">
            <v>0</v>
          </cell>
          <cell r="BF92">
            <v>384</v>
          </cell>
          <cell r="BM92">
            <v>270.20999999999998</v>
          </cell>
          <cell r="BN92">
            <v>0</v>
          </cell>
          <cell r="BO92">
            <v>993.1</v>
          </cell>
          <cell r="BP92">
            <v>0</v>
          </cell>
          <cell r="BQ92">
            <v>0</v>
          </cell>
          <cell r="BR92">
            <v>0</v>
          </cell>
          <cell r="BS92">
            <v>0</v>
          </cell>
          <cell r="BT92">
            <v>0</v>
          </cell>
          <cell r="BU92">
            <v>0</v>
          </cell>
          <cell r="BV92">
            <v>0</v>
          </cell>
          <cell r="BW92">
            <v>0</v>
          </cell>
          <cell r="BX92">
            <v>4.33</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486.53</v>
          </cell>
          <cell r="CP92">
            <v>0</v>
          </cell>
          <cell r="CQ92">
            <v>0</v>
          </cell>
          <cell r="CR92">
            <v>0</v>
          </cell>
          <cell r="CS92">
            <v>0</v>
          </cell>
          <cell r="CT92">
            <v>0</v>
          </cell>
          <cell r="CU92">
            <v>5078.03</v>
          </cell>
          <cell r="CV92">
            <v>112.5</v>
          </cell>
          <cell r="CW92">
            <v>0</v>
          </cell>
          <cell r="CX92">
            <v>0</v>
          </cell>
          <cell r="CY92">
            <v>149.18</v>
          </cell>
          <cell r="CZ92">
            <v>382.5</v>
          </cell>
          <cell r="DR92">
            <v>0</v>
          </cell>
          <cell r="DS92" t="str">
            <v>1</v>
          </cell>
          <cell r="DT92">
            <v>0</v>
          </cell>
          <cell r="DU92">
            <v>0</v>
          </cell>
          <cell r="DW92" t="str">
            <v>1</v>
          </cell>
          <cell r="DX92" t="str">
            <v>1</v>
          </cell>
          <cell r="DY92">
            <v>0</v>
          </cell>
          <cell r="DZ92" t="str">
            <v>1</v>
          </cell>
          <cell r="EA92">
            <v>0</v>
          </cell>
          <cell r="EB92">
            <v>0</v>
          </cell>
          <cell r="ED92">
            <v>45900</v>
          </cell>
          <cell r="EE92">
            <v>0</v>
          </cell>
          <cell r="EF92">
            <v>0</v>
          </cell>
          <cell r="EG92">
            <v>0</v>
          </cell>
          <cell r="EH92" t="str">
            <v>Terry            D  Mr</v>
          </cell>
          <cell r="EI92">
            <v>4812</v>
          </cell>
          <cell r="EJ92">
            <v>-1608.34</v>
          </cell>
          <cell r="EK92">
            <v>0</v>
          </cell>
        </row>
        <row r="93">
          <cell r="I93" t="str">
            <v>Pankhurst        DR Mr</v>
          </cell>
          <cell r="J93">
            <v>4020</v>
          </cell>
          <cell r="K93">
            <v>350</v>
          </cell>
          <cell r="L93">
            <v>3145.83</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3145.83</v>
          </cell>
          <cell r="BM93">
            <v>259.57</v>
          </cell>
          <cell r="BN93">
            <v>0</v>
          </cell>
          <cell r="BO93">
            <v>560.29999999999995</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350.34</v>
          </cell>
          <cell r="CP93">
            <v>0</v>
          </cell>
          <cell r="CQ93">
            <v>0</v>
          </cell>
          <cell r="CR93">
            <v>0</v>
          </cell>
          <cell r="CS93">
            <v>0</v>
          </cell>
          <cell r="CT93">
            <v>0</v>
          </cell>
          <cell r="CU93">
            <v>3810.75</v>
          </cell>
          <cell r="CV93">
            <v>125.83</v>
          </cell>
          <cell r="CW93">
            <v>0</v>
          </cell>
          <cell r="CX93">
            <v>0</v>
          </cell>
          <cell r="CY93">
            <v>122.69</v>
          </cell>
          <cell r="CZ93">
            <v>314.58</v>
          </cell>
          <cell r="DR93">
            <v>0</v>
          </cell>
          <cell r="DS93">
            <v>0</v>
          </cell>
          <cell r="DT93">
            <v>0</v>
          </cell>
          <cell r="DU93">
            <v>0</v>
          </cell>
          <cell r="DW93">
            <v>0</v>
          </cell>
          <cell r="DX93" t="str">
            <v>1</v>
          </cell>
          <cell r="DY93">
            <v>0</v>
          </cell>
          <cell r="DZ93" t="str">
            <v>1</v>
          </cell>
          <cell r="EA93">
            <v>0</v>
          </cell>
          <cell r="EB93">
            <v>0</v>
          </cell>
          <cell r="ED93">
            <v>37749.96</v>
          </cell>
          <cell r="EE93">
            <v>0</v>
          </cell>
          <cell r="EF93">
            <v>0</v>
          </cell>
          <cell r="EG93">
            <v>0</v>
          </cell>
          <cell r="EH93" t="str">
            <v>Pankhurst        DR Mr</v>
          </cell>
          <cell r="EI93">
            <v>4821</v>
          </cell>
          <cell r="EJ93">
            <v>316.66000000000003</v>
          </cell>
          <cell r="EK93">
            <v>0</v>
          </cell>
        </row>
        <row r="94">
          <cell r="I94" t="str">
            <v>Varey            AR Mr</v>
          </cell>
          <cell r="J94">
            <v>4020</v>
          </cell>
          <cell r="K94">
            <v>350</v>
          </cell>
          <cell r="L94">
            <v>3375</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3375</v>
          </cell>
          <cell r="BM94">
            <v>261.87</v>
          </cell>
          <cell r="BN94">
            <v>0</v>
          </cell>
          <cell r="BO94">
            <v>700.3</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379.78</v>
          </cell>
          <cell r="CP94">
            <v>0</v>
          </cell>
          <cell r="CQ94">
            <v>0</v>
          </cell>
          <cell r="CR94">
            <v>0</v>
          </cell>
          <cell r="CS94">
            <v>0</v>
          </cell>
          <cell r="CT94">
            <v>0</v>
          </cell>
          <cell r="CU94">
            <v>4092.28</v>
          </cell>
          <cell r="CV94">
            <v>0</v>
          </cell>
          <cell r="CW94">
            <v>0</v>
          </cell>
          <cell r="CX94">
            <v>0</v>
          </cell>
          <cell r="CY94">
            <v>131.63</v>
          </cell>
          <cell r="CZ94">
            <v>337.5</v>
          </cell>
          <cell r="DR94">
            <v>0</v>
          </cell>
          <cell r="DS94">
            <v>0</v>
          </cell>
          <cell r="DT94">
            <v>0</v>
          </cell>
          <cell r="DU94">
            <v>0</v>
          </cell>
          <cell r="DW94">
            <v>0</v>
          </cell>
          <cell r="DX94" t="str">
            <v>1</v>
          </cell>
          <cell r="DY94">
            <v>0</v>
          </cell>
          <cell r="DZ94">
            <v>0</v>
          </cell>
          <cell r="EA94">
            <v>0</v>
          </cell>
          <cell r="EB94">
            <v>0</v>
          </cell>
          <cell r="ED94">
            <v>40500</v>
          </cell>
          <cell r="EE94">
            <v>0</v>
          </cell>
          <cell r="EF94">
            <v>0</v>
          </cell>
          <cell r="EG94">
            <v>0</v>
          </cell>
          <cell r="EH94" t="str">
            <v>Varey            AR Mr</v>
          </cell>
          <cell r="EI94">
            <v>4828</v>
          </cell>
          <cell r="EJ94">
            <v>0</v>
          </cell>
          <cell r="EK94">
            <v>0</v>
          </cell>
        </row>
        <row r="95">
          <cell r="I95" t="str">
            <v>Marsh            DJ Mr</v>
          </cell>
          <cell r="J95">
            <v>4020</v>
          </cell>
          <cell r="K95">
            <v>350</v>
          </cell>
          <cell r="L95">
            <v>2958.33</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2958.33</v>
          </cell>
          <cell r="BM95">
            <v>257.7</v>
          </cell>
          <cell r="BN95">
            <v>0</v>
          </cell>
          <cell r="BO95">
            <v>546.71</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326.39999999999998</v>
          </cell>
          <cell r="CP95">
            <v>0</v>
          </cell>
          <cell r="CQ95">
            <v>0</v>
          </cell>
          <cell r="CR95">
            <v>0</v>
          </cell>
          <cell r="CS95">
            <v>0</v>
          </cell>
          <cell r="CT95">
            <v>0</v>
          </cell>
          <cell r="CU95">
            <v>3284.73</v>
          </cell>
          <cell r="DR95">
            <v>0</v>
          </cell>
          <cell r="DS95">
            <v>0</v>
          </cell>
          <cell r="DT95">
            <v>0</v>
          </cell>
          <cell r="DU95">
            <v>0</v>
          </cell>
          <cell r="DW95">
            <v>0</v>
          </cell>
          <cell r="DX95">
            <v>0</v>
          </cell>
          <cell r="DY95">
            <v>0</v>
          </cell>
          <cell r="DZ95">
            <v>0</v>
          </cell>
          <cell r="EA95">
            <v>0</v>
          </cell>
          <cell r="EB95">
            <v>0</v>
          </cell>
          <cell r="ED95">
            <v>35499.96</v>
          </cell>
          <cell r="EE95">
            <v>0</v>
          </cell>
          <cell r="EF95">
            <v>0</v>
          </cell>
          <cell r="EG95">
            <v>0</v>
          </cell>
          <cell r="EH95" t="str">
            <v>Marsh            DJ Mr</v>
          </cell>
          <cell r="EI95">
            <v>4840</v>
          </cell>
          <cell r="EK95">
            <v>0</v>
          </cell>
        </row>
        <row r="96">
          <cell r="I96" t="str">
            <v>Shuttleworth     J  Mr</v>
          </cell>
          <cell r="J96">
            <v>4020</v>
          </cell>
          <cell r="K96">
            <v>350</v>
          </cell>
          <cell r="L96">
            <v>2583.33</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2583.33</v>
          </cell>
          <cell r="BM96">
            <v>239.14</v>
          </cell>
          <cell r="BN96">
            <v>0</v>
          </cell>
          <cell r="BO96">
            <v>457.61</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278.27</v>
          </cell>
          <cell r="CP96">
            <v>0</v>
          </cell>
          <cell r="CQ96">
            <v>0</v>
          </cell>
          <cell r="CR96">
            <v>0</v>
          </cell>
          <cell r="CS96">
            <v>0</v>
          </cell>
          <cell r="CT96">
            <v>0</v>
          </cell>
          <cell r="CU96">
            <v>3119.93</v>
          </cell>
          <cell r="CV96">
            <v>258.33</v>
          </cell>
          <cell r="CW96">
            <v>0</v>
          </cell>
          <cell r="CX96">
            <v>0</v>
          </cell>
          <cell r="CY96">
            <v>100.75</v>
          </cell>
          <cell r="CZ96">
            <v>258.33</v>
          </cell>
          <cell r="DA96">
            <v>0</v>
          </cell>
          <cell r="DB96">
            <v>0</v>
          </cell>
          <cell r="DC96">
            <v>0</v>
          </cell>
          <cell r="DD96">
            <v>0</v>
          </cell>
          <cell r="DE96">
            <v>0</v>
          </cell>
          <cell r="DF96">
            <v>0</v>
          </cell>
          <cell r="DG96">
            <v>29.11</v>
          </cell>
          <cell r="DR96">
            <v>0</v>
          </cell>
          <cell r="DS96">
            <v>0</v>
          </cell>
          <cell r="DT96">
            <v>0</v>
          </cell>
          <cell r="DU96">
            <v>0</v>
          </cell>
          <cell r="DW96">
            <v>0</v>
          </cell>
          <cell r="DX96" t="str">
            <v>1</v>
          </cell>
          <cell r="DY96">
            <v>0</v>
          </cell>
          <cell r="DZ96" t="str">
            <v>1</v>
          </cell>
          <cell r="EA96">
            <v>0</v>
          </cell>
          <cell r="EB96">
            <v>0</v>
          </cell>
          <cell r="ED96">
            <v>30999.96</v>
          </cell>
          <cell r="EE96">
            <v>0</v>
          </cell>
          <cell r="EF96">
            <v>0</v>
          </cell>
          <cell r="EG96">
            <v>0</v>
          </cell>
          <cell r="EH96" t="str">
            <v>Shuttleworth     J  Mr</v>
          </cell>
          <cell r="EI96">
            <v>4956</v>
          </cell>
          <cell r="EK96">
            <v>0</v>
          </cell>
        </row>
        <row r="97">
          <cell r="I97" t="str">
            <v>Poole            S  Miss</v>
          </cell>
          <cell r="J97">
            <v>4020</v>
          </cell>
          <cell r="K97">
            <v>350</v>
          </cell>
          <cell r="L97">
            <v>2166.66</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2166.66</v>
          </cell>
          <cell r="BM97">
            <v>193.38</v>
          </cell>
          <cell r="BN97">
            <v>0</v>
          </cell>
          <cell r="BO97">
            <v>365.87</v>
          </cell>
          <cell r="BP97">
            <v>0</v>
          </cell>
          <cell r="BQ97">
            <v>0</v>
          </cell>
          <cell r="BR97">
            <v>0</v>
          </cell>
          <cell r="BS97">
            <v>0</v>
          </cell>
          <cell r="BT97">
            <v>0</v>
          </cell>
          <cell r="BU97">
            <v>0</v>
          </cell>
          <cell r="BV97">
            <v>0</v>
          </cell>
          <cell r="BW97">
            <v>0</v>
          </cell>
          <cell r="BX97">
            <v>0</v>
          </cell>
          <cell r="BY97">
            <v>0</v>
          </cell>
          <cell r="BZ97">
            <v>28</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225.02</v>
          </cell>
          <cell r="CP97">
            <v>0</v>
          </cell>
          <cell r="CQ97">
            <v>0</v>
          </cell>
          <cell r="CR97">
            <v>0</v>
          </cell>
          <cell r="CS97">
            <v>0</v>
          </cell>
          <cell r="CT97">
            <v>0</v>
          </cell>
          <cell r="CU97">
            <v>2608.35</v>
          </cell>
          <cell r="CV97">
            <v>0</v>
          </cell>
          <cell r="CW97">
            <v>0</v>
          </cell>
          <cell r="CX97">
            <v>0</v>
          </cell>
          <cell r="CY97">
            <v>84.5</v>
          </cell>
          <cell r="CZ97">
            <v>216.67</v>
          </cell>
          <cell r="DR97">
            <v>0</v>
          </cell>
          <cell r="DS97">
            <v>0</v>
          </cell>
          <cell r="DT97">
            <v>0</v>
          </cell>
          <cell r="DU97" t="str">
            <v>1</v>
          </cell>
          <cell r="DV97">
            <v>22</v>
          </cell>
          <cell r="DW97">
            <v>0</v>
          </cell>
          <cell r="DX97" t="str">
            <v>1</v>
          </cell>
          <cell r="DY97">
            <v>0</v>
          </cell>
          <cell r="DZ97">
            <v>0</v>
          </cell>
          <cell r="EA97">
            <v>0</v>
          </cell>
          <cell r="EB97">
            <v>0</v>
          </cell>
          <cell r="ED97">
            <v>25999.919999999998</v>
          </cell>
          <cell r="EE97" t="str">
            <v>1</v>
          </cell>
          <cell r="EF97">
            <v>0</v>
          </cell>
          <cell r="EG97">
            <v>0</v>
          </cell>
          <cell r="EH97" t="str">
            <v>Poole            S  Miss</v>
          </cell>
          <cell r="EI97">
            <v>4957</v>
          </cell>
          <cell r="EJ97">
            <v>-5958.35</v>
          </cell>
          <cell r="EK97">
            <v>0</v>
          </cell>
        </row>
        <row r="98">
          <cell r="I98" t="str">
            <v>Heath            M  Mr</v>
          </cell>
          <cell r="J98">
            <v>4020</v>
          </cell>
          <cell r="K98">
            <v>350</v>
          </cell>
          <cell r="L98">
            <v>2791.66</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2791.66</v>
          </cell>
          <cell r="BM98">
            <v>256.02999999999997</v>
          </cell>
          <cell r="BN98">
            <v>0</v>
          </cell>
          <cell r="BO98">
            <v>508.43</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305.02999999999997</v>
          </cell>
          <cell r="CP98">
            <v>0</v>
          </cell>
          <cell r="CQ98">
            <v>0</v>
          </cell>
          <cell r="CR98">
            <v>0</v>
          </cell>
          <cell r="CS98">
            <v>0</v>
          </cell>
          <cell r="CT98">
            <v>0</v>
          </cell>
          <cell r="CU98">
            <v>3375.86</v>
          </cell>
          <cell r="CV98">
            <v>0</v>
          </cell>
          <cell r="CW98">
            <v>0</v>
          </cell>
          <cell r="CX98">
            <v>0</v>
          </cell>
          <cell r="CY98">
            <v>108.87</v>
          </cell>
          <cell r="CZ98">
            <v>279.17</v>
          </cell>
          <cell r="DR98">
            <v>0</v>
          </cell>
          <cell r="DS98">
            <v>0</v>
          </cell>
          <cell r="DT98">
            <v>0</v>
          </cell>
          <cell r="DU98">
            <v>0</v>
          </cell>
          <cell r="DW98">
            <v>0</v>
          </cell>
          <cell r="DX98" t="str">
            <v>1</v>
          </cell>
          <cell r="DY98">
            <v>0</v>
          </cell>
          <cell r="DZ98">
            <v>0</v>
          </cell>
          <cell r="EA98">
            <v>0</v>
          </cell>
          <cell r="EB98">
            <v>0</v>
          </cell>
          <cell r="ED98">
            <v>33499.919999999998</v>
          </cell>
          <cell r="EE98">
            <v>0</v>
          </cell>
          <cell r="EF98">
            <v>0</v>
          </cell>
          <cell r="EG98">
            <v>0</v>
          </cell>
          <cell r="EH98" t="str">
            <v>Heath            M  Mr</v>
          </cell>
          <cell r="EI98">
            <v>4966</v>
          </cell>
          <cell r="EJ98">
            <v>-2083.36</v>
          </cell>
          <cell r="EK98">
            <v>0</v>
          </cell>
        </row>
        <row r="99">
          <cell r="I99" t="str">
            <v>Moore            A  Mr</v>
          </cell>
          <cell r="J99">
            <v>4020</v>
          </cell>
          <cell r="K99">
            <v>350</v>
          </cell>
          <cell r="L99">
            <v>2750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2750</v>
          </cell>
          <cell r="BM99">
            <v>255.62</v>
          </cell>
          <cell r="BN99">
            <v>0</v>
          </cell>
          <cell r="BO99">
            <v>494.35</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299.77999999999997</v>
          </cell>
          <cell r="CP99">
            <v>0</v>
          </cell>
          <cell r="CQ99">
            <v>0</v>
          </cell>
          <cell r="CR99">
            <v>0</v>
          </cell>
          <cell r="CS99">
            <v>0</v>
          </cell>
          <cell r="CT99">
            <v>0</v>
          </cell>
          <cell r="CU99">
            <v>3324.78</v>
          </cell>
          <cell r="CV99">
            <v>233.33</v>
          </cell>
          <cell r="CW99">
            <v>0</v>
          </cell>
          <cell r="CX99">
            <v>0</v>
          </cell>
          <cell r="CY99">
            <v>107.25</v>
          </cell>
          <cell r="CZ99">
            <v>275</v>
          </cell>
          <cell r="DR99">
            <v>0</v>
          </cell>
          <cell r="DS99">
            <v>0</v>
          </cell>
          <cell r="DT99">
            <v>0</v>
          </cell>
          <cell r="DU99">
            <v>0</v>
          </cell>
          <cell r="DW99">
            <v>0</v>
          </cell>
          <cell r="DX99" t="str">
            <v>1</v>
          </cell>
          <cell r="DY99">
            <v>0</v>
          </cell>
          <cell r="DZ99" t="str">
            <v>1</v>
          </cell>
          <cell r="EA99">
            <v>0</v>
          </cell>
          <cell r="EB99">
            <v>0</v>
          </cell>
          <cell r="ED99">
            <v>33000</v>
          </cell>
          <cell r="EE99">
            <v>0</v>
          </cell>
          <cell r="EF99">
            <v>0</v>
          </cell>
          <cell r="EG99">
            <v>0</v>
          </cell>
          <cell r="EH99" t="str">
            <v>Moore            A  Mr</v>
          </cell>
          <cell r="EI99">
            <v>4968</v>
          </cell>
          <cell r="EJ99">
            <v>-3499.98</v>
          </cell>
          <cell r="EK99">
            <v>0</v>
          </cell>
        </row>
        <row r="100">
          <cell r="I100" t="str">
            <v>Randall          C  Mr</v>
          </cell>
          <cell r="J100">
            <v>4020</v>
          </cell>
          <cell r="K100">
            <v>350</v>
          </cell>
          <cell r="L100">
            <v>2666.66</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2666.66</v>
          </cell>
          <cell r="BM100">
            <v>248.38</v>
          </cell>
          <cell r="BN100">
            <v>0</v>
          </cell>
          <cell r="BO100">
            <v>475.87</v>
          </cell>
          <cell r="BP100">
            <v>0</v>
          </cell>
          <cell r="BQ100">
            <v>0</v>
          </cell>
          <cell r="BR100">
            <v>0</v>
          </cell>
          <cell r="BS100">
            <v>0</v>
          </cell>
          <cell r="BT100">
            <v>0</v>
          </cell>
          <cell r="BU100">
            <v>0</v>
          </cell>
          <cell r="BV100">
            <v>0</v>
          </cell>
          <cell r="BW100">
            <v>0</v>
          </cell>
          <cell r="BX100">
            <v>0</v>
          </cell>
          <cell r="BY100">
            <v>0</v>
          </cell>
          <cell r="BZ100">
            <v>22</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289.02</v>
          </cell>
          <cell r="CP100">
            <v>0</v>
          </cell>
          <cell r="CQ100">
            <v>0</v>
          </cell>
          <cell r="CR100">
            <v>0</v>
          </cell>
          <cell r="CS100">
            <v>0</v>
          </cell>
          <cell r="CT100">
            <v>0</v>
          </cell>
          <cell r="CU100">
            <v>2955.68</v>
          </cell>
          <cell r="CV100">
            <v>0</v>
          </cell>
          <cell r="CW100">
            <v>0</v>
          </cell>
          <cell r="CX100">
            <v>0</v>
          </cell>
          <cell r="CY100">
            <v>0</v>
          </cell>
          <cell r="CZ100">
            <v>0</v>
          </cell>
          <cell r="DA100">
            <v>0</v>
          </cell>
          <cell r="DB100">
            <v>0</v>
          </cell>
          <cell r="DC100">
            <v>0</v>
          </cell>
          <cell r="DD100">
            <v>0</v>
          </cell>
          <cell r="DE100">
            <v>0</v>
          </cell>
          <cell r="DF100">
            <v>0</v>
          </cell>
          <cell r="DG100">
            <v>14.56</v>
          </cell>
          <cell r="DR100">
            <v>0</v>
          </cell>
          <cell r="DS100">
            <v>0</v>
          </cell>
          <cell r="DT100">
            <v>0</v>
          </cell>
          <cell r="DU100" t="str">
            <v>1</v>
          </cell>
          <cell r="DV100">
            <v>22</v>
          </cell>
          <cell r="DW100">
            <v>0</v>
          </cell>
          <cell r="DX100">
            <v>0</v>
          </cell>
          <cell r="DY100">
            <v>0</v>
          </cell>
          <cell r="DZ100">
            <v>0</v>
          </cell>
          <cell r="EA100">
            <v>0</v>
          </cell>
          <cell r="EB100">
            <v>0</v>
          </cell>
          <cell r="ED100">
            <v>31999.919999999998</v>
          </cell>
          <cell r="EE100">
            <v>0</v>
          </cell>
          <cell r="EF100">
            <v>0</v>
          </cell>
          <cell r="EG100">
            <v>0</v>
          </cell>
          <cell r="EH100" t="str">
            <v>Randall          C  Mr</v>
          </cell>
          <cell r="EI100">
            <v>4969</v>
          </cell>
          <cell r="EJ100">
            <v>0</v>
          </cell>
          <cell r="EK100">
            <v>0</v>
          </cell>
        </row>
        <row r="101">
          <cell r="I101" t="str">
            <v>Bristow          NG Mr</v>
          </cell>
          <cell r="J101">
            <v>4020</v>
          </cell>
          <cell r="K101">
            <v>350</v>
          </cell>
          <cell r="L101">
            <v>2625</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2625</v>
          </cell>
          <cell r="BM101">
            <v>243.98</v>
          </cell>
          <cell r="BN101">
            <v>0</v>
          </cell>
          <cell r="BO101">
            <v>465.75</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283.89999999999998</v>
          </cell>
          <cell r="CP101">
            <v>0</v>
          </cell>
          <cell r="CQ101">
            <v>0</v>
          </cell>
          <cell r="CR101">
            <v>0</v>
          </cell>
          <cell r="CS101">
            <v>0</v>
          </cell>
          <cell r="CT101">
            <v>0</v>
          </cell>
          <cell r="CU101">
            <v>3171.4</v>
          </cell>
          <cell r="CV101">
            <v>12.5</v>
          </cell>
          <cell r="CW101">
            <v>262.5</v>
          </cell>
          <cell r="CX101">
            <v>0</v>
          </cell>
          <cell r="CY101">
            <v>102.38</v>
          </cell>
          <cell r="CZ101">
            <v>262.5</v>
          </cell>
          <cell r="DR101">
            <v>0</v>
          </cell>
          <cell r="DS101">
            <v>0</v>
          </cell>
          <cell r="DT101">
            <v>0</v>
          </cell>
          <cell r="DU101">
            <v>0</v>
          </cell>
          <cell r="DW101">
            <v>0</v>
          </cell>
          <cell r="DX101" t="str">
            <v>1</v>
          </cell>
          <cell r="DY101">
            <v>0</v>
          </cell>
          <cell r="DZ101" t="str">
            <v>1</v>
          </cell>
          <cell r="EA101">
            <v>0</v>
          </cell>
          <cell r="EB101">
            <v>0</v>
          </cell>
          <cell r="ED101">
            <v>31500</v>
          </cell>
          <cell r="EE101">
            <v>0</v>
          </cell>
          <cell r="EF101">
            <v>0</v>
          </cell>
          <cell r="EG101">
            <v>0</v>
          </cell>
          <cell r="EH101" t="str">
            <v>Bristow          NG Mr</v>
          </cell>
          <cell r="EI101">
            <v>507925</v>
          </cell>
          <cell r="EJ101">
            <v>-2716.67</v>
          </cell>
          <cell r="EK101">
            <v>0</v>
          </cell>
        </row>
        <row r="102">
          <cell r="I102" t="str">
            <v>Biddlecombe      PF Mr</v>
          </cell>
          <cell r="J102">
            <v>5120</v>
          </cell>
          <cell r="K102">
            <v>20</v>
          </cell>
          <cell r="L102">
            <v>3500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4150</v>
          </cell>
          <cell r="BA102">
            <v>0</v>
          </cell>
          <cell r="BB102">
            <v>0</v>
          </cell>
          <cell r="BC102">
            <v>0</v>
          </cell>
          <cell r="BD102">
            <v>0</v>
          </cell>
          <cell r="BE102">
            <v>0</v>
          </cell>
          <cell r="BF102">
            <v>650</v>
          </cell>
          <cell r="BM102">
            <v>269.62</v>
          </cell>
          <cell r="BN102">
            <v>0</v>
          </cell>
          <cell r="BO102">
            <v>945.1</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478.98</v>
          </cell>
          <cell r="CP102">
            <v>0</v>
          </cell>
          <cell r="CQ102">
            <v>0</v>
          </cell>
          <cell r="CR102">
            <v>0</v>
          </cell>
          <cell r="CS102">
            <v>0</v>
          </cell>
          <cell r="CT102">
            <v>0</v>
          </cell>
          <cell r="CU102">
            <v>4978.9799999999996</v>
          </cell>
          <cell r="CV102">
            <v>175</v>
          </cell>
          <cell r="CW102">
            <v>0</v>
          </cell>
          <cell r="CX102">
            <v>0</v>
          </cell>
          <cell r="CY102">
            <v>136.5</v>
          </cell>
          <cell r="CZ102">
            <v>350</v>
          </cell>
          <cell r="DR102">
            <v>0</v>
          </cell>
          <cell r="DS102">
            <v>0</v>
          </cell>
          <cell r="DT102">
            <v>0</v>
          </cell>
          <cell r="DU102">
            <v>0</v>
          </cell>
          <cell r="DW102" t="str">
            <v>1</v>
          </cell>
          <cell r="DX102" t="str">
            <v>1</v>
          </cell>
          <cell r="DY102">
            <v>0</v>
          </cell>
          <cell r="DZ102" t="str">
            <v>1</v>
          </cell>
          <cell r="EA102">
            <v>0</v>
          </cell>
          <cell r="EB102">
            <v>0</v>
          </cell>
          <cell r="ED102">
            <v>42000</v>
          </cell>
          <cell r="EE102">
            <v>0</v>
          </cell>
          <cell r="EF102">
            <v>0</v>
          </cell>
          <cell r="EG102">
            <v>0</v>
          </cell>
          <cell r="EH102" t="str">
            <v>Biddlecombe      PF Mr</v>
          </cell>
          <cell r="EI102">
            <v>1694</v>
          </cell>
          <cell r="EJ102">
            <v>-1000</v>
          </cell>
          <cell r="EK102">
            <v>0</v>
          </cell>
        </row>
        <row r="103">
          <cell r="I103" t="str">
            <v>Deutsch          O  Ms</v>
          </cell>
          <cell r="J103">
            <v>5120</v>
          </cell>
          <cell r="K103">
            <v>30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5112.2</v>
          </cell>
          <cell r="AW103">
            <v>0</v>
          </cell>
          <cell r="AX103">
            <v>0</v>
          </cell>
          <cell r="AY103">
            <v>0</v>
          </cell>
          <cell r="AZ103">
            <v>5112.2</v>
          </cell>
          <cell r="BM103">
            <v>279.24</v>
          </cell>
          <cell r="BN103">
            <v>0</v>
          </cell>
          <cell r="BO103">
            <v>1377.1</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602.12</v>
          </cell>
          <cell r="CP103">
            <v>0</v>
          </cell>
          <cell r="CQ103">
            <v>0</v>
          </cell>
          <cell r="CR103">
            <v>4703.2299999999996</v>
          </cell>
          <cell r="CS103">
            <v>0</v>
          </cell>
          <cell r="CT103">
            <v>0</v>
          </cell>
          <cell r="CU103">
            <v>1272.29</v>
          </cell>
          <cell r="CV103">
            <v>0</v>
          </cell>
          <cell r="CW103">
            <v>511.22</v>
          </cell>
          <cell r="CX103">
            <v>0</v>
          </cell>
          <cell r="CY103">
            <v>-97.5</v>
          </cell>
          <cell r="CZ103">
            <v>-250</v>
          </cell>
          <cell r="DA103">
            <v>0</v>
          </cell>
          <cell r="DB103">
            <v>0</v>
          </cell>
          <cell r="DC103">
            <v>0</v>
          </cell>
          <cell r="DD103">
            <v>0</v>
          </cell>
          <cell r="DE103">
            <v>0</v>
          </cell>
          <cell r="DF103">
            <v>0</v>
          </cell>
          <cell r="DG103">
            <v>0</v>
          </cell>
          <cell r="DH103">
            <v>0</v>
          </cell>
          <cell r="DI103">
            <v>0</v>
          </cell>
          <cell r="DJ103">
            <v>199.36</v>
          </cell>
          <cell r="DK103">
            <v>511.2</v>
          </cell>
          <cell r="DR103">
            <v>0</v>
          </cell>
          <cell r="DS103">
            <v>0</v>
          </cell>
          <cell r="DT103">
            <v>0</v>
          </cell>
          <cell r="DU103">
            <v>0</v>
          </cell>
          <cell r="DW103">
            <v>0</v>
          </cell>
          <cell r="DX103" t="str">
            <v>1</v>
          </cell>
          <cell r="DY103">
            <v>0</v>
          </cell>
          <cell r="DZ103">
            <v>0</v>
          </cell>
          <cell r="EA103">
            <v>0</v>
          </cell>
          <cell r="EB103">
            <v>0</v>
          </cell>
          <cell r="ED103">
            <v>0</v>
          </cell>
          <cell r="EE103" t="str">
            <v>1</v>
          </cell>
          <cell r="EF103">
            <v>0</v>
          </cell>
          <cell r="EG103">
            <v>0</v>
          </cell>
          <cell r="EH103" t="str">
            <v>Deutsch          O  Ms</v>
          </cell>
          <cell r="EI103">
            <v>4869</v>
          </cell>
          <cell r="EK103">
            <v>0</v>
          </cell>
        </row>
        <row r="104">
          <cell r="I104" t="str">
            <v>Kendall          C  Mr</v>
          </cell>
          <cell r="J104">
            <v>5120</v>
          </cell>
          <cell r="K104">
            <v>30</v>
          </cell>
          <cell r="L104">
            <v>4166.67</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4816.67</v>
          </cell>
          <cell r="BA104">
            <v>0</v>
          </cell>
          <cell r="BB104">
            <v>0</v>
          </cell>
          <cell r="BC104">
            <v>0</v>
          </cell>
          <cell r="BD104">
            <v>0</v>
          </cell>
          <cell r="BE104">
            <v>0</v>
          </cell>
          <cell r="BF104">
            <v>650</v>
          </cell>
          <cell r="BM104">
            <v>276.27999999999997</v>
          </cell>
          <cell r="BN104">
            <v>0</v>
          </cell>
          <cell r="BO104">
            <v>1256.3</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564.23</v>
          </cell>
          <cell r="CP104">
            <v>0</v>
          </cell>
          <cell r="CQ104">
            <v>0</v>
          </cell>
          <cell r="CR104">
            <v>0</v>
          </cell>
          <cell r="CS104">
            <v>0</v>
          </cell>
          <cell r="CT104">
            <v>0</v>
          </cell>
          <cell r="CU104">
            <v>5797.57</v>
          </cell>
          <cell r="CV104">
            <v>125</v>
          </cell>
          <cell r="CW104">
            <v>0</v>
          </cell>
          <cell r="CX104">
            <v>0</v>
          </cell>
          <cell r="CY104">
            <v>162.5</v>
          </cell>
          <cell r="CZ104">
            <v>416.67</v>
          </cell>
          <cell r="DR104">
            <v>0</v>
          </cell>
          <cell r="DS104">
            <v>0</v>
          </cell>
          <cell r="DT104">
            <v>0</v>
          </cell>
          <cell r="DU104">
            <v>0</v>
          </cell>
          <cell r="DW104" t="str">
            <v>1</v>
          </cell>
          <cell r="DX104" t="str">
            <v>1</v>
          </cell>
          <cell r="DY104">
            <v>0</v>
          </cell>
          <cell r="DZ104" t="str">
            <v>1</v>
          </cell>
          <cell r="EA104">
            <v>0</v>
          </cell>
          <cell r="EB104">
            <v>0</v>
          </cell>
          <cell r="ED104">
            <v>50000.04</v>
          </cell>
          <cell r="EE104">
            <v>0</v>
          </cell>
          <cell r="EF104">
            <v>0</v>
          </cell>
          <cell r="EG104">
            <v>0</v>
          </cell>
          <cell r="EH104" t="str">
            <v>Kendall          C  Mr</v>
          </cell>
          <cell r="EI104">
            <v>4939</v>
          </cell>
          <cell r="EK104">
            <v>0</v>
          </cell>
        </row>
        <row r="105">
          <cell r="I105" t="str">
            <v>Mudle            AM Mr</v>
          </cell>
          <cell r="J105">
            <v>5120</v>
          </cell>
          <cell r="K105">
            <v>201</v>
          </cell>
          <cell r="L105">
            <v>3437.5</v>
          </cell>
          <cell r="M105">
            <v>0</v>
          </cell>
          <cell r="N105">
            <v>0</v>
          </cell>
          <cell r="O105">
            <v>0</v>
          </cell>
          <cell r="P105">
            <v>0</v>
          </cell>
          <cell r="Q105">
            <v>0</v>
          </cell>
          <cell r="R105">
            <v>0</v>
          </cell>
          <cell r="S105">
            <v>250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4337.5</v>
          </cell>
          <cell r="BA105">
            <v>0</v>
          </cell>
          <cell r="BB105">
            <v>0</v>
          </cell>
          <cell r="BC105">
            <v>0</v>
          </cell>
          <cell r="BD105">
            <v>0</v>
          </cell>
          <cell r="BE105">
            <v>0</v>
          </cell>
          <cell r="BF105">
            <v>650</v>
          </cell>
          <cell r="BM105">
            <v>271.49</v>
          </cell>
          <cell r="BN105">
            <v>0</v>
          </cell>
          <cell r="BO105">
            <v>1051.5</v>
          </cell>
          <cell r="BP105">
            <v>147.5</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502.92</v>
          </cell>
          <cell r="CP105">
            <v>0</v>
          </cell>
          <cell r="CQ105">
            <v>0</v>
          </cell>
          <cell r="CR105">
            <v>0</v>
          </cell>
          <cell r="CS105">
            <v>0</v>
          </cell>
          <cell r="CT105">
            <v>0</v>
          </cell>
          <cell r="CU105">
            <v>5184.17</v>
          </cell>
          <cell r="CV105">
            <v>0</v>
          </cell>
          <cell r="CW105">
            <v>0</v>
          </cell>
          <cell r="CX105">
            <v>0</v>
          </cell>
          <cell r="CY105">
            <v>134.06</v>
          </cell>
          <cell r="CZ105">
            <v>343.75</v>
          </cell>
          <cell r="DR105">
            <v>0</v>
          </cell>
          <cell r="DS105">
            <v>0</v>
          </cell>
          <cell r="DT105">
            <v>0</v>
          </cell>
          <cell r="DU105">
            <v>0</v>
          </cell>
          <cell r="DW105" t="str">
            <v>1</v>
          </cell>
          <cell r="DX105" t="str">
            <v>1</v>
          </cell>
          <cell r="DY105">
            <v>0</v>
          </cell>
          <cell r="DZ105">
            <v>0</v>
          </cell>
          <cell r="EA105">
            <v>0</v>
          </cell>
          <cell r="EB105">
            <v>0</v>
          </cell>
          <cell r="ED105">
            <v>41250</v>
          </cell>
          <cell r="EE105">
            <v>0</v>
          </cell>
          <cell r="EF105">
            <v>0</v>
          </cell>
          <cell r="EG105">
            <v>0</v>
          </cell>
          <cell r="EH105" t="str">
            <v>Mudle            AM Mr</v>
          </cell>
          <cell r="EI105">
            <v>1015</v>
          </cell>
          <cell r="EJ105">
            <v>0</v>
          </cell>
          <cell r="EK105">
            <v>0</v>
          </cell>
        </row>
        <row r="106">
          <cell r="I106" t="str">
            <v>Sharman          CV Mr</v>
          </cell>
          <cell r="J106">
            <v>5120</v>
          </cell>
          <cell r="K106">
            <v>201</v>
          </cell>
          <cell r="L106">
            <v>4333.33</v>
          </cell>
          <cell r="M106">
            <v>0</v>
          </cell>
          <cell r="N106">
            <v>0</v>
          </cell>
          <cell r="O106">
            <v>0</v>
          </cell>
          <cell r="P106">
            <v>0</v>
          </cell>
          <cell r="Q106">
            <v>0</v>
          </cell>
          <cell r="R106">
            <v>0</v>
          </cell>
          <cell r="S106">
            <v>15112.69</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20296.02</v>
          </cell>
          <cell r="BA106">
            <v>0</v>
          </cell>
          <cell r="BB106">
            <v>0</v>
          </cell>
          <cell r="BC106">
            <v>0</v>
          </cell>
          <cell r="BD106">
            <v>0</v>
          </cell>
          <cell r="BE106">
            <v>0</v>
          </cell>
          <cell r="BF106">
            <v>850</v>
          </cell>
          <cell r="BM106">
            <v>431.08</v>
          </cell>
          <cell r="BN106">
            <v>0</v>
          </cell>
          <cell r="BO106">
            <v>7209.9</v>
          </cell>
          <cell r="BP106">
            <v>8916.49</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cell r="CI106">
            <v>0</v>
          </cell>
          <cell r="CJ106">
            <v>0</v>
          </cell>
          <cell r="CK106">
            <v>0</v>
          </cell>
          <cell r="CL106">
            <v>0</v>
          </cell>
          <cell r="CM106">
            <v>0</v>
          </cell>
          <cell r="CN106">
            <v>0</v>
          </cell>
          <cell r="CO106">
            <v>2545.67</v>
          </cell>
          <cell r="CP106">
            <v>0</v>
          </cell>
          <cell r="CQ106">
            <v>0</v>
          </cell>
          <cell r="CR106">
            <v>0</v>
          </cell>
          <cell r="CS106">
            <v>0</v>
          </cell>
          <cell r="CT106">
            <v>0</v>
          </cell>
          <cell r="CU106">
            <v>23491.69</v>
          </cell>
          <cell r="CV106">
            <v>416.66</v>
          </cell>
          <cell r="CW106">
            <v>0</v>
          </cell>
          <cell r="CX106">
            <v>0</v>
          </cell>
          <cell r="CY106">
            <v>0</v>
          </cell>
          <cell r="CZ106">
            <v>0</v>
          </cell>
          <cell r="DA106">
            <v>0</v>
          </cell>
          <cell r="DB106">
            <v>650</v>
          </cell>
          <cell r="DC106">
            <v>650</v>
          </cell>
          <cell r="DR106">
            <v>0</v>
          </cell>
          <cell r="DS106">
            <v>0</v>
          </cell>
          <cell r="DT106">
            <v>0</v>
          </cell>
          <cell r="DU106">
            <v>0</v>
          </cell>
          <cell r="DW106" t="str">
            <v>1</v>
          </cell>
          <cell r="DX106">
            <v>0</v>
          </cell>
          <cell r="DY106" t="str">
            <v>1</v>
          </cell>
          <cell r="DZ106" t="str">
            <v>1</v>
          </cell>
          <cell r="EA106" t="str">
            <v>1</v>
          </cell>
          <cell r="EB106">
            <v>0</v>
          </cell>
          <cell r="ED106">
            <v>51999.96</v>
          </cell>
          <cell r="EE106">
            <v>0</v>
          </cell>
          <cell r="EF106">
            <v>0</v>
          </cell>
          <cell r="EG106">
            <v>0</v>
          </cell>
          <cell r="EH106" t="str">
            <v>Sharman          CV Mr</v>
          </cell>
          <cell r="EI106">
            <v>2771</v>
          </cell>
          <cell r="EJ106">
            <v>0</v>
          </cell>
          <cell r="EK106">
            <v>0</v>
          </cell>
        </row>
        <row r="107">
          <cell r="I107" t="str">
            <v>Godlieb          KC Mr</v>
          </cell>
          <cell r="J107">
            <v>5120</v>
          </cell>
          <cell r="K107">
            <v>201</v>
          </cell>
          <cell r="L107">
            <v>3500</v>
          </cell>
          <cell r="M107">
            <v>0</v>
          </cell>
          <cell r="N107">
            <v>0</v>
          </cell>
          <cell r="O107">
            <v>0</v>
          </cell>
          <cell r="P107">
            <v>0</v>
          </cell>
          <cell r="Q107">
            <v>0</v>
          </cell>
          <cell r="R107">
            <v>0</v>
          </cell>
          <cell r="S107">
            <v>4223.75</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8373.75</v>
          </cell>
          <cell r="BA107">
            <v>0</v>
          </cell>
          <cell r="BB107">
            <v>0</v>
          </cell>
          <cell r="BC107">
            <v>0</v>
          </cell>
          <cell r="BD107">
            <v>0</v>
          </cell>
          <cell r="BE107">
            <v>0</v>
          </cell>
          <cell r="BF107">
            <v>650</v>
          </cell>
          <cell r="BM107">
            <v>311.85000000000002</v>
          </cell>
          <cell r="BN107">
            <v>0</v>
          </cell>
          <cell r="BO107">
            <v>2785.9</v>
          </cell>
          <cell r="BP107">
            <v>2492.0100000000002</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1019.52</v>
          </cell>
          <cell r="CP107">
            <v>0</v>
          </cell>
          <cell r="CQ107">
            <v>0</v>
          </cell>
          <cell r="CR107">
            <v>0</v>
          </cell>
          <cell r="CS107">
            <v>0</v>
          </cell>
          <cell r="CT107">
            <v>0</v>
          </cell>
          <cell r="CU107">
            <v>9743.27</v>
          </cell>
          <cell r="CV107">
            <v>0</v>
          </cell>
          <cell r="CW107">
            <v>0</v>
          </cell>
          <cell r="CX107">
            <v>0</v>
          </cell>
          <cell r="CY107">
            <v>136.5</v>
          </cell>
          <cell r="CZ107">
            <v>350</v>
          </cell>
          <cell r="DR107">
            <v>0</v>
          </cell>
          <cell r="DS107">
            <v>0</v>
          </cell>
          <cell r="DT107">
            <v>0</v>
          </cell>
          <cell r="DU107">
            <v>0</v>
          </cell>
          <cell r="DW107" t="str">
            <v>1</v>
          </cell>
          <cell r="DX107" t="str">
            <v>1</v>
          </cell>
          <cell r="DY107">
            <v>0</v>
          </cell>
          <cell r="DZ107">
            <v>0</v>
          </cell>
          <cell r="EA107">
            <v>0</v>
          </cell>
          <cell r="EB107">
            <v>0</v>
          </cell>
          <cell r="ED107">
            <v>42000</v>
          </cell>
          <cell r="EE107">
            <v>0</v>
          </cell>
          <cell r="EF107">
            <v>0</v>
          </cell>
          <cell r="EG107">
            <v>0</v>
          </cell>
          <cell r="EH107" t="str">
            <v>Godlieb          KC Mr</v>
          </cell>
          <cell r="EI107">
            <v>2895</v>
          </cell>
          <cell r="EJ107">
            <v>0</v>
          </cell>
          <cell r="EK107">
            <v>0</v>
          </cell>
        </row>
        <row r="108">
          <cell r="I108" t="str">
            <v>Pearce           CL Mr</v>
          </cell>
          <cell r="J108">
            <v>5120</v>
          </cell>
          <cell r="K108">
            <v>201</v>
          </cell>
          <cell r="L108">
            <v>3726.91</v>
          </cell>
          <cell r="M108">
            <v>0</v>
          </cell>
          <cell r="N108">
            <v>0</v>
          </cell>
          <cell r="O108">
            <v>0</v>
          </cell>
          <cell r="P108">
            <v>0</v>
          </cell>
          <cell r="Q108">
            <v>0</v>
          </cell>
          <cell r="R108">
            <v>0</v>
          </cell>
          <cell r="S108">
            <v>312.5</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4689.41</v>
          </cell>
          <cell r="BA108">
            <v>0</v>
          </cell>
          <cell r="BB108">
            <v>0</v>
          </cell>
          <cell r="BC108">
            <v>0</v>
          </cell>
          <cell r="BD108">
            <v>0</v>
          </cell>
          <cell r="BE108">
            <v>0</v>
          </cell>
          <cell r="BF108">
            <v>650</v>
          </cell>
          <cell r="BM108">
            <v>275.01</v>
          </cell>
          <cell r="BN108">
            <v>0</v>
          </cell>
          <cell r="BO108">
            <v>1205.9000000000001</v>
          </cell>
          <cell r="BP108">
            <v>184.37</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547.97</v>
          </cell>
          <cell r="CP108">
            <v>0</v>
          </cell>
          <cell r="CQ108">
            <v>0</v>
          </cell>
          <cell r="CR108">
            <v>0</v>
          </cell>
          <cell r="CS108">
            <v>0</v>
          </cell>
          <cell r="CT108">
            <v>0</v>
          </cell>
          <cell r="CU108">
            <v>5610.07</v>
          </cell>
          <cell r="CV108">
            <v>0</v>
          </cell>
          <cell r="CW108">
            <v>372.69</v>
          </cell>
          <cell r="CX108">
            <v>0</v>
          </cell>
          <cell r="CY108">
            <v>145.35</v>
          </cell>
          <cell r="CZ108">
            <v>372.69</v>
          </cell>
          <cell r="DR108">
            <v>0</v>
          </cell>
          <cell r="DS108">
            <v>0</v>
          </cell>
          <cell r="DT108">
            <v>0</v>
          </cell>
          <cell r="DU108">
            <v>0</v>
          </cell>
          <cell r="DW108" t="str">
            <v>1</v>
          </cell>
          <cell r="DX108" t="str">
            <v>1</v>
          </cell>
          <cell r="DY108">
            <v>0</v>
          </cell>
          <cell r="DZ108">
            <v>0</v>
          </cell>
          <cell r="EA108">
            <v>0</v>
          </cell>
          <cell r="EB108">
            <v>0</v>
          </cell>
          <cell r="ED108">
            <v>44722.92</v>
          </cell>
          <cell r="EE108">
            <v>0</v>
          </cell>
          <cell r="EF108">
            <v>0</v>
          </cell>
          <cell r="EG108">
            <v>0</v>
          </cell>
          <cell r="EH108" t="str">
            <v>Pearce           CL Mr</v>
          </cell>
          <cell r="EI108">
            <v>3646</v>
          </cell>
          <cell r="EJ108">
            <v>0</v>
          </cell>
          <cell r="EK108">
            <v>0</v>
          </cell>
        </row>
        <row r="109">
          <cell r="I109" t="str">
            <v>Roberts          M  Mr</v>
          </cell>
          <cell r="J109">
            <v>5120</v>
          </cell>
          <cell r="K109">
            <v>201</v>
          </cell>
          <cell r="L109">
            <v>3125</v>
          </cell>
          <cell r="M109">
            <v>0</v>
          </cell>
          <cell r="N109">
            <v>0</v>
          </cell>
          <cell r="O109">
            <v>0</v>
          </cell>
          <cell r="P109">
            <v>0</v>
          </cell>
          <cell r="Q109">
            <v>0</v>
          </cell>
          <cell r="R109">
            <v>0</v>
          </cell>
          <cell r="S109">
            <v>200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3975</v>
          </cell>
          <cell r="BA109">
            <v>0</v>
          </cell>
          <cell r="BB109">
            <v>0</v>
          </cell>
          <cell r="BC109">
            <v>0</v>
          </cell>
          <cell r="BD109">
            <v>0</v>
          </cell>
          <cell r="BE109">
            <v>0</v>
          </cell>
          <cell r="BF109">
            <v>650</v>
          </cell>
          <cell r="BM109">
            <v>267.87</v>
          </cell>
          <cell r="BN109">
            <v>0</v>
          </cell>
          <cell r="BO109">
            <v>891.5</v>
          </cell>
          <cell r="BP109">
            <v>118</v>
          </cell>
          <cell r="BQ109">
            <v>0</v>
          </cell>
          <cell r="BR109">
            <v>0</v>
          </cell>
          <cell r="BS109">
            <v>0</v>
          </cell>
          <cell r="BT109">
            <v>0</v>
          </cell>
          <cell r="BU109">
            <v>0</v>
          </cell>
          <cell r="BV109">
            <v>0</v>
          </cell>
          <cell r="BW109">
            <v>0</v>
          </cell>
          <cell r="BX109">
            <v>0</v>
          </cell>
          <cell r="BY109">
            <v>0</v>
          </cell>
          <cell r="BZ109">
            <v>28</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456.58</v>
          </cell>
          <cell r="CP109">
            <v>0</v>
          </cell>
          <cell r="CQ109">
            <v>0</v>
          </cell>
          <cell r="CR109">
            <v>0</v>
          </cell>
          <cell r="CS109">
            <v>0</v>
          </cell>
          <cell r="CT109">
            <v>0</v>
          </cell>
          <cell r="CU109">
            <v>4744.08</v>
          </cell>
          <cell r="CV109">
            <v>0</v>
          </cell>
          <cell r="CW109">
            <v>312.5</v>
          </cell>
          <cell r="CX109">
            <v>0</v>
          </cell>
          <cell r="CY109">
            <v>121.88</v>
          </cell>
          <cell r="CZ109">
            <v>312.5</v>
          </cell>
          <cell r="DR109">
            <v>0</v>
          </cell>
          <cell r="DS109">
            <v>0</v>
          </cell>
          <cell r="DT109">
            <v>0</v>
          </cell>
          <cell r="DU109" t="str">
            <v>1</v>
          </cell>
          <cell r="DV109">
            <v>22</v>
          </cell>
          <cell r="DW109" t="str">
            <v>1</v>
          </cell>
          <cell r="DX109" t="str">
            <v>1</v>
          </cell>
          <cell r="DY109">
            <v>0</v>
          </cell>
          <cell r="DZ109">
            <v>0</v>
          </cell>
          <cell r="EA109">
            <v>0</v>
          </cell>
          <cell r="EB109">
            <v>0</v>
          </cell>
          <cell r="ED109">
            <v>37500</v>
          </cell>
          <cell r="EE109">
            <v>0</v>
          </cell>
          <cell r="EF109">
            <v>0</v>
          </cell>
          <cell r="EG109">
            <v>0</v>
          </cell>
          <cell r="EH109" t="str">
            <v>Roberts          M  Mr</v>
          </cell>
          <cell r="EI109">
            <v>4278</v>
          </cell>
          <cell r="EJ109">
            <v>0</v>
          </cell>
          <cell r="EK109">
            <v>0</v>
          </cell>
        </row>
        <row r="110">
          <cell r="I110" t="str">
            <v>Conway           P  Mr</v>
          </cell>
          <cell r="J110">
            <v>5120</v>
          </cell>
          <cell r="K110">
            <v>201</v>
          </cell>
          <cell r="L110">
            <v>3916.66</v>
          </cell>
          <cell r="M110">
            <v>0</v>
          </cell>
          <cell r="N110">
            <v>0</v>
          </cell>
          <cell r="O110">
            <v>0</v>
          </cell>
          <cell r="P110">
            <v>0</v>
          </cell>
          <cell r="Q110">
            <v>0</v>
          </cell>
          <cell r="R110">
            <v>0</v>
          </cell>
          <cell r="S110">
            <v>1000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5566.66</v>
          </cell>
          <cell r="BA110">
            <v>0</v>
          </cell>
          <cell r="BB110">
            <v>0</v>
          </cell>
          <cell r="BC110">
            <v>0</v>
          </cell>
          <cell r="BD110">
            <v>0</v>
          </cell>
          <cell r="BE110">
            <v>0</v>
          </cell>
          <cell r="BF110">
            <v>650</v>
          </cell>
          <cell r="BM110">
            <v>283.77999999999997</v>
          </cell>
          <cell r="BN110">
            <v>0</v>
          </cell>
          <cell r="BO110">
            <v>1549.5</v>
          </cell>
          <cell r="BP110">
            <v>590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660.23</v>
          </cell>
          <cell r="CP110">
            <v>0</v>
          </cell>
          <cell r="CQ110">
            <v>0</v>
          </cell>
          <cell r="CR110">
            <v>0</v>
          </cell>
          <cell r="CS110">
            <v>0</v>
          </cell>
          <cell r="CT110">
            <v>0</v>
          </cell>
          <cell r="CU110">
            <v>6618.56</v>
          </cell>
          <cell r="CV110">
            <v>0</v>
          </cell>
          <cell r="CW110">
            <v>0</v>
          </cell>
          <cell r="CX110">
            <v>0</v>
          </cell>
          <cell r="CY110">
            <v>152.75</v>
          </cell>
          <cell r="CZ110">
            <v>391.67</v>
          </cell>
          <cell r="DR110">
            <v>0</v>
          </cell>
          <cell r="DS110">
            <v>0</v>
          </cell>
          <cell r="DT110">
            <v>0</v>
          </cell>
          <cell r="DU110">
            <v>0</v>
          </cell>
          <cell r="DW110" t="str">
            <v>1</v>
          </cell>
          <cell r="DX110" t="str">
            <v>1</v>
          </cell>
          <cell r="DY110">
            <v>0</v>
          </cell>
          <cell r="DZ110">
            <v>0</v>
          </cell>
          <cell r="EA110">
            <v>0</v>
          </cell>
          <cell r="EB110">
            <v>0</v>
          </cell>
          <cell r="ED110">
            <v>46999.92</v>
          </cell>
          <cell r="EE110">
            <v>0</v>
          </cell>
          <cell r="EF110">
            <v>0</v>
          </cell>
          <cell r="EG110">
            <v>0</v>
          </cell>
          <cell r="EH110" t="str">
            <v>Conway           P  Mr</v>
          </cell>
          <cell r="EI110">
            <v>4456</v>
          </cell>
          <cell r="EJ110">
            <v>0</v>
          </cell>
          <cell r="EK110">
            <v>0</v>
          </cell>
        </row>
        <row r="111">
          <cell r="I111" t="str">
            <v>Thomas           G  Mr</v>
          </cell>
          <cell r="J111">
            <v>5120</v>
          </cell>
          <cell r="K111">
            <v>201</v>
          </cell>
          <cell r="L111">
            <v>2750</v>
          </cell>
          <cell r="M111">
            <v>0</v>
          </cell>
          <cell r="N111">
            <v>0</v>
          </cell>
          <cell r="O111">
            <v>0</v>
          </cell>
          <cell r="P111">
            <v>0</v>
          </cell>
          <cell r="Q111">
            <v>0</v>
          </cell>
          <cell r="R111">
            <v>0</v>
          </cell>
          <cell r="S111">
            <v>11247.11</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14647.11</v>
          </cell>
          <cell r="BA111">
            <v>0</v>
          </cell>
          <cell r="BB111">
            <v>0</v>
          </cell>
          <cell r="BC111">
            <v>0</v>
          </cell>
          <cell r="BD111">
            <v>0</v>
          </cell>
          <cell r="BE111">
            <v>0</v>
          </cell>
          <cell r="BF111">
            <v>650</v>
          </cell>
          <cell r="BM111">
            <v>374.59</v>
          </cell>
          <cell r="BN111">
            <v>0</v>
          </cell>
          <cell r="BO111">
            <v>5191.8999999999996</v>
          </cell>
          <cell r="BP111">
            <v>6741.99</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1822.6</v>
          </cell>
          <cell r="CP111">
            <v>0</v>
          </cell>
          <cell r="CQ111">
            <v>0</v>
          </cell>
          <cell r="CR111">
            <v>0</v>
          </cell>
          <cell r="CS111">
            <v>0</v>
          </cell>
          <cell r="CT111">
            <v>0</v>
          </cell>
          <cell r="CU111">
            <v>16744.71</v>
          </cell>
          <cell r="CV111">
            <v>55</v>
          </cell>
          <cell r="CW111">
            <v>0</v>
          </cell>
          <cell r="CX111">
            <v>0</v>
          </cell>
          <cell r="CY111">
            <v>107.25</v>
          </cell>
          <cell r="CZ111">
            <v>275</v>
          </cell>
          <cell r="DR111">
            <v>0</v>
          </cell>
          <cell r="DS111">
            <v>0</v>
          </cell>
          <cell r="DT111">
            <v>0</v>
          </cell>
          <cell r="DU111">
            <v>0</v>
          </cell>
          <cell r="DW111" t="str">
            <v>1</v>
          </cell>
          <cell r="DX111" t="str">
            <v>1</v>
          </cell>
          <cell r="DY111">
            <v>0</v>
          </cell>
          <cell r="DZ111" t="str">
            <v>1</v>
          </cell>
          <cell r="EA111">
            <v>0</v>
          </cell>
          <cell r="EB111">
            <v>0</v>
          </cell>
          <cell r="ED111">
            <v>33000</v>
          </cell>
          <cell r="EE111">
            <v>0</v>
          </cell>
          <cell r="EF111">
            <v>0</v>
          </cell>
          <cell r="EG111">
            <v>0</v>
          </cell>
          <cell r="EH111" t="str">
            <v>Thomas           G  Mr</v>
          </cell>
          <cell r="EI111">
            <v>4547</v>
          </cell>
          <cell r="EJ111">
            <v>-333.3</v>
          </cell>
          <cell r="EK111">
            <v>0</v>
          </cell>
        </row>
        <row r="112">
          <cell r="I112" t="str">
            <v>Murley           WM Mr</v>
          </cell>
          <cell r="J112">
            <v>5120</v>
          </cell>
          <cell r="K112">
            <v>201</v>
          </cell>
          <cell r="L112">
            <v>4416.66</v>
          </cell>
          <cell r="M112">
            <v>0</v>
          </cell>
          <cell r="N112">
            <v>0</v>
          </cell>
          <cell r="O112">
            <v>0</v>
          </cell>
          <cell r="P112">
            <v>0</v>
          </cell>
          <cell r="Q112">
            <v>0</v>
          </cell>
          <cell r="R112">
            <v>0</v>
          </cell>
          <cell r="S112">
            <v>8869.43</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14111.09</v>
          </cell>
          <cell r="BA112">
            <v>0</v>
          </cell>
          <cell r="BB112">
            <v>0</v>
          </cell>
          <cell r="BC112">
            <v>0</v>
          </cell>
          <cell r="BD112">
            <v>0</v>
          </cell>
          <cell r="BE112">
            <v>0</v>
          </cell>
          <cell r="BF112">
            <v>825</v>
          </cell>
          <cell r="BM112">
            <v>369.23</v>
          </cell>
          <cell r="BN112">
            <v>0</v>
          </cell>
          <cell r="BO112">
            <v>4990.7</v>
          </cell>
          <cell r="BP112">
            <v>5232.96</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1753.99</v>
          </cell>
          <cell r="CP112">
            <v>0</v>
          </cell>
          <cell r="CQ112">
            <v>0</v>
          </cell>
          <cell r="CR112">
            <v>0</v>
          </cell>
          <cell r="CS112">
            <v>0</v>
          </cell>
          <cell r="CT112">
            <v>0</v>
          </cell>
          <cell r="CU112">
            <v>16306.75</v>
          </cell>
          <cell r="CV112">
            <v>441.66</v>
          </cell>
          <cell r="CW112">
            <v>0</v>
          </cell>
          <cell r="CX112">
            <v>0</v>
          </cell>
          <cell r="CY112">
            <v>172.25</v>
          </cell>
          <cell r="CZ112">
            <v>441.67</v>
          </cell>
          <cell r="DR112">
            <v>0</v>
          </cell>
          <cell r="DS112">
            <v>0</v>
          </cell>
          <cell r="DT112">
            <v>0</v>
          </cell>
          <cell r="DU112">
            <v>0</v>
          </cell>
          <cell r="DW112" t="str">
            <v>1</v>
          </cell>
          <cell r="DX112" t="str">
            <v>1</v>
          </cell>
          <cell r="DY112">
            <v>0</v>
          </cell>
          <cell r="DZ112" t="str">
            <v>1</v>
          </cell>
          <cell r="EA112">
            <v>0</v>
          </cell>
          <cell r="EB112">
            <v>0</v>
          </cell>
          <cell r="ED112">
            <v>52999.92</v>
          </cell>
          <cell r="EE112">
            <v>0</v>
          </cell>
          <cell r="EF112">
            <v>0</v>
          </cell>
          <cell r="EG112">
            <v>0</v>
          </cell>
          <cell r="EH112" t="str">
            <v>Murley           WM Mr</v>
          </cell>
          <cell r="EI112">
            <v>4589</v>
          </cell>
          <cell r="EJ112">
            <v>0</v>
          </cell>
          <cell r="EK112">
            <v>0</v>
          </cell>
        </row>
        <row r="113">
          <cell r="I113" t="str">
            <v>Bailey           S  Mr</v>
          </cell>
          <cell r="J113">
            <v>5120</v>
          </cell>
          <cell r="K113">
            <v>201</v>
          </cell>
          <cell r="L113">
            <v>3333.33</v>
          </cell>
          <cell r="M113">
            <v>0</v>
          </cell>
          <cell r="N113">
            <v>0</v>
          </cell>
          <cell r="O113">
            <v>0</v>
          </cell>
          <cell r="P113">
            <v>0</v>
          </cell>
          <cell r="Q113">
            <v>0</v>
          </cell>
          <cell r="R113">
            <v>0</v>
          </cell>
          <cell r="S113">
            <v>15063.72</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18997.05</v>
          </cell>
          <cell r="BA113">
            <v>0</v>
          </cell>
          <cell r="BB113">
            <v>0</v>
          </cell>
          <cell r="BC113">
            <v>0</v>
          </cell>
          <cell r="BD113">
            <v>0</v>
          </cell>
          <cell r="BE113">
            <v>0</v>
          </cell>
          <cell r="BF113">
            <v>600</v>
          </cell>
          <cell r="BM113">
            <v>418.09</v>
          </cell>
          <cell r="BN113">
            <v>0</v>
          </cell>
          <cell r="BO113">
            <v>6929.5</v>
          </cell>
          <cell r="BP113">
            <v>8887.59</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2379.4</v>
          </cell>
          <cell r="CP113">
            <v>0</v>
          </cell>
          <cell r="CQ113">
            <v>0</v>
          </cell>
          <cell r="CR113">
            <v>0</v>
          </cell>
          <cell r="CS113">
            <v>0</v>
          </cell>
          <cell r="CT113">
            <v>0</v>
          </cell>
          <cell r="CU113">
            <v>21709.78</v>
          </cell>
          <cell r="CV113">
            <v>0</v>
          </cell>
          <cell r="CW113">
            <v>0</v>
          </cell>
          <cell r="CX113">
            <v>0</v>
          </cell>
          <cell r="CY113">
            <v>130</v>
          </cell>
          <cell r="CZ113">
            <v>333.33</v>
          </cell>
          <cell r="DR113">
            <v>0</v>
          </cell>
          <cell r="DS113">
            <v>0</v>
          </cell>
          <cell r="DT113">
            <v>0</v>
          </cell>
          <cell r="DU113">
            <v>0</v>
          </cell>
          <cell r="DW113" t="str">
            <v>1</v>
          </cell>
          <cell r="DX113" t="str">
            <v>1</v>
          </cell>
          <cell r="DY113">
            <v>0</v>
          </cell>
          <cell r="DZ113">
            <v>0</v>
          </cell>
          <cell r="EA113">
            <v>0</v>
          </cell>
          <cell r="EB113">
            <v>0</v>
          </cell>
          <cell r="ED113">
            <v>39999.96</v>
          </cell>
          <cell r="EE113">
            <v>0</v>
          </cell>
          <cell r="EF113">
            <v>0</v>
          </cell>
          <cell r="EG113">
            <v>0</v>
          </cell>
          <cell r="EH113" t="str">
            <v>Bailey           S  Mr</v>
          </cell>
          <cell r="EI113">
            <v>4637</v>
          </cell>
          <cell r="EJ113">
            <v>0</v>
          </cell>
          <cell r="EK113">
            <v>0</v>
          </cell>
        </row>
        <row r="114">
          <cell r="I114" t="str">
            <v>Nash             T  Mr</v>
          </cell>
          <cell r="J114">
            <v>5120</v>
          </cell>
          <cell r="K114">
            <v>201</v>
          </cell>
          <cell r="L114">
            <v>3041.66</v>
          </cell>
          <cell r="M114">
            <v>0</v>
          </cell>
          <cell r="N114">
            <v>0</v>
          </cell>
          <cell r="O114">
            <v>0</v>
          </cell>
          <cell r="P114">
            <v>0</v>
          </cell>
          <cell r="Q114">
            <v>0</v>
          </cell>
          <cell r="R114">
            <v>0</v>
          </cell>
          <cell r="S114">
            <v>13644.82</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17336.48</v>
          </cell>
          <cell r="BA114">
            <v>0</v>
          </cell>
          <cell r="BB114">
            <v>0</v>
          </cell>
          <cell r="BC114">
            <v>0</v>
          </cell>
          <cell r="BD114">
            <v>0</v>
          </cell>
          <cell r="BE114">
            <v>0</v>
          </cell>
          <cell r="BF114">
            <v>650</v>
          </cell>
          <cell r="BM114">
            <v>401.48</v>
          </cell>
          <cell r="BN114">
            <v>0</v>
          </cell>
          <cell r="BO114">
            <v>6273.5</v>
          </cell>
          <cell r="BP114">
            <v>8050.44</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2166.79</v>
          </cell>
          <cell r="CP114">
            <v>0</v>
          </cell>
          <cell r="CQ114">
            <v>0</v>
          </cell>
          <cell r="CR114">
            <v>0</v>
          </cell>
          <cell r="CS114">
            <v>0</v>
          </cell>
          <cell r="CT114">
            <v>0</v>
          </cell>
          <cell r="CU114">
            <v>19807.439999999999</v>
          </cell>
          <cell r="CV114">
            <v>341.66</v>
          </cell>
          <cell r="CW114">
            <v>0</v>
          </cell>
          <cell r="CX114">
            <v>0</v>
          </cell>
          <cell r="CY114">
            <v>118.62</v>
          </cell>
          <cell r="CZ114">
            <v>304.17</v>
          </cell>
          <cell r="DR114">
            <v>0</v>
          </cell>
          <cell r="DS114">
            <v>0</v>
          </cell>
          <cell r="DT114">
            <v>0</v>
          </cell>
          <cell r="DU114">
            <v>0</v>
          </cell>
          <cell r="DW114" t="str">
            <v>1</v>
          </cell>
          <cell r="DX114" t="str">
            <v>1</v>
          </cell>
          <cell r="DY114">
            <v>0</v>
          </cell>
          <cell r="DZ114" t="str">
            <v>1</v>
          </cell>
          <cell r="EA114">
            <v>0</v>
          </cell>
          <cell r="EB114">
            <v>0</v>
          </cell>
          <cell r="ED114">
            <v>36499.919999999998</v>
          </cell>
          <cell r="EE114">
            <v>0</v>
          </cell>
          <cell r="EF114">
            <v>0</v>
          </cell>
          <cell r="EG114">
            <v>0</v>
          </cell>
          <cell r="EH114" t="str">
            <v>Nash             T  Mr</v>
          </cell>
          <cell r="EI114">
            <v>4649</v>
          </cell>
          <cell r="EJ114">
            <v>0</v>
          </cell>
          <cell r="EK114">
            <v>0</v>
          </cell>
        </row>
        <row r="115">
          <cell r="I115" t="str">
            <v>Witt             K  Mr</v>
          </cell>
          <cell r="J115">
            <v>5120</v>
          </cell>
          <cell r="K115">
            <v>201</v>
          </cell>
          <cell r="L115">
            <v>2583.33</v>
          </cell>
          <cell r="M115">
            <v>0</v>
          </cell>
          <cell r="N115">
            <v>0</v>
          </cell>
          <cell r="O115">
            <v>0</v>
          </cell>
          <cell r="P115">
            <v>0</v>
          </cell>
          <cell r="Q115">
            <v>0</v>
          </cell>
          <cell r="R115">
            <v>0</v>
          </cell>
          <cell r="S115">
            <v>1247.75</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225</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4706.08</v>
          </cell>
          <cell r="BA115">
            <v>0</v>
          </cell>
          <cell r="BB115">
            <v>0</v>
          </cell>
          <cell r="BC115">
            <v>0</v>
          </cell>
          <cell r="BD115">
            <v>0</v>
          </cell>
          <cell r="BE115">
            <v>0</v>
          </cell>
          <cell r="BF115">
            <v>650</v>
          </cell>
          <cell r="BM115">
            <v>275.18</v>
          </cell>
          <cell r="BN115">
            <v>0</v>
          </cell>
          <cell r="BO115">
            <v>1225.9000000000001</v>
          </cell>
          <cell r="BP115">
            <v>736.17</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550.15</v>
          </cell>
          <cell r="CP115">
            <v>0</v>
          </cell>
          <cell r="CQ115">
            <v>0</v>
          </cell>
          <cell r="CR115">
            <v>0</v>
          </cell>
          <cell r="CS115">
            <v>0</v>
          </cell>
          <cell r="CT115">
            <v>0</v>
          </cell>
          <cell r="CU115">
            <v>5514.56</v>
          </cell>
          <cell r="CV115">
            <v>32.82</v>
          </cell>
          <cell r="CW115">
            <v>258.33</v>
          </cell>
          <cell r="CX115">
            <v>0</v>
          </cell>
          <cell r="CY115">
            <v>100.75</v>
          </cell>
          <cell r="CZ115">
            <v>258.33</v>
          </cell>
          <cell r="DR115">
            <v>0</v>
          </cell>
          <cell r="DS115">
            <v>0</v>
          </cell>
          <cell r="DT115">
            <v>0</v>
          </cell>
          <cell r="DU115">
            <v>0</v>
          </cell>
          <cell r="DW115" t="str">
            <v>1</v>
          </cell>
          <cell r="DX115" t="str">
            <v>1</v>
          </cell>
          <cell r="DY115">
            <v>0</v>
          </cell>
          <cell r="DZ115" t="str">
            <v>1</v>
          </cell>
          <cell r="EA115">
            <v>0</v>
          </cell>
          <cell r="EB115">
            <v>0</v>
          </cell>
          <cell r="ED115">
            <v>30999.96</v>
          </cell>
          <cell r="EE115">
            <v>0</v>
          </cell>
          <cell r="EF115">
            <v>225</v>
          </cell>
          <cell r="EG115" t="str">
            <v>1</v>
          </cell>
          <cell r="EH115" t="str">
            <v>Witt             K  Mr</v>
          </cell>
          <cell r="EI115">
            <v>4681</v>
          </cell>
          <cell r="EJ115">
            <v>0</v>
          </cell>
          <cell r="EK115">
            <v>0</v>
          </cell>
        </row>
        <row r="116">
          <cell r="I116" t="str">
            <v>Worrall          M  Mr</v>
          </cell>
          <cell r="J116">
            <v>5120</v>
          </cell>
          <cell r="K116">
            <v>201</v>
          </cell>
          <cell r="L116">
            <v>3250</v>
          </cell>
          <cell r="M116">
            <v>0</v>
          </cell>
          <cell r="N116">
            <v>0</v>
          </cell>
          <cell r="O116">
            <v>0</v>
          </cell>
          <cell r="P116">
            <v>0</v>
          </cell>
          <cell r="Q116">
            <v>0</v>
          </cell>
          <cell r="R116">
            <v>0</v>
          </cell>
          <cell r="S116">
            <v>2314.38</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6214.38</v>
          </cell>
          <cell r="BA116">
            <v>0</v>
          </cell>
          <cell r="BB116">
            <v>0</v>
          </cell>
          <cell r="BC116">
            <v>0</v>
          </cell>
          <cell r="BD116">
            <v>0</v>
          </cell>
          <cell r="BE116">
            <v>0</v>
          </cell>
          <cell r="BF116">
            <v>650</v>
          </cell>
          <cell r="BM116">
            <v>290.26</v>
          </cell>
          <cell r="BN116">
            <v>0</v>
          </cell>
          <cell r="BO116">
            <v>1837.1</v>
          </cell>
          <cell r="BP116">
            <v>1365.48</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743.17</v>
          </cell>
          <cell r="CP116">
            <v>0</v>
          </cell>
          <cell r="CQ116">
            <v>0</v>
          </cell>
          <cell r="CR116">
            <v>0</v>
          </cell>
          <cell r="CS116">
            <v>0</v>
          </cell>
          <cell r="CT116">
            <v>0</v>
          </cell>
          <cell r="CU116">
            <v>7282.55</v>
          </cell>
          <cell r="CV116">
            <v>325</v>
          </cell>
          <cell r="CW116">
            <v>0</v>
          </cell>
          <cell r="CX116">
            <v>0</v>
          </cell>
          <cell r="CY116">
            <v>126.75</v>
          </cell>
          <cell r="CZ116">
            <v>325</v>
          </cell>
          <cell r="DR116">
            <v>0</v>
          </cell>
          <cell r="DS116">
            <v>0</v>
          </cell>
          <cell r="DT116">
            <v>0</v>
          </cell>
          <cell r="DU116">
            <v>0</v>
          </cell>
          <cell r="DW116" t="str">
            <v>1</v>
          </cell>
          <cell r="DX116" t="str">
            <v>1</v>
          </cell>
          <cell r="DY116">
            <v>0</v>
          </cell>
          <cell r="DZ116" t="str">
            <v>1</v>
          </cell>
          <cell r="EA116">
            <v>0</v>
          </cell>
          <cell r="EB116">
            <v>0</v>
          </cell>
          <cell r="ED116">
            <v>39000</v>
          </cell>
          <cell r="EE116">
            <v>0</v>
          </cell>
          <cell r="EF116">
            <v>0</v>
          </cell>
          <cell r="EG116">
            <v>0</v>
          </cell>
          <cell r="EH116" t="str">
            <v>Worrall          M  Mr</v>
          </cell>
          <cell r="EI116">
            <v>4711</v>
          </cell>
          <cell r="EJ116">
            <v>0</v>
          </cell>
          <cell r="EK116">
            <v>0</v>
          </cell>
        </row>
        <row r="117">
          <cell r="I117" t="str">
            <v>Grindle          GA Mr</v>
          </cell>
          <cell r="J117">
            <v>5120</v>
          </cell>
          <cell r="K117">
            <v>201</v>
          </cell>
          <cell r="L117">
            <v>3333.33</v>
          </cell>
          <cell r="M117">
            <v>0</v>
          </cell>
          <cell r="N117">
            <v>0</v>
          </cell>
          <cell r="O117">
            <v>0</v>
          </cell>
          <cell r="P117">
            <v>0</v>
          </cell>
          <cell r="Q117">
            <v>0</v>
          </cell>
          <cell r="R117">
            <v>0</v>
          </cell>
          <cell r="S117">
            <v>7122.31</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11105.64</v>
          </cell>
          <cell r="BA117">
            <v>0</v>
          </cell>
          <cell r="BB117">
            <v>0</v>
          </cell>
          <cell r="BC117">
            <v>0</v>
          </cell>
          <cell r="BD117">
            <v>0</v>
          </cell>
          <cell r="BE117">
            <v>0</v>
          </cell>
          <cell r="BF117">
            <v>650</v>
          </cell>
          <cell r="BM117">
            <v>339.17</v>
          </cell>
          <cell r="BN117">
            <v>0</v>
          </cell>
          <cell r="BO117">
            <v>3963.1</v>
          </cell>
          <cell r="BP117">
            <v>4202.16</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1369.22</v>
          </cell>
          <cell r="CP117">
            <v>0</v>
          </cell>
          <cell r="CQ117">
            <v>0</v>
          </cell>
          <cell r="CR117">
            <v>0</v>
          </cell>
          <cell r="CS117">
            <v>0</v>
          </cell>
          <cell r="CT117">
            <v>0</v>
          </cell>
          <cell r="CU117">
            <v>12808.19</v>
          </cell>
          <cell r="CV117">
            <v>0</v>
          </cell>
          <cell r="CW117">
            <v>0</v>
          </cell>
          <cell r="CX117">
            <v>0</v>
          </cell>
          <cell r="CY117">
            <v>130</v>
          </cell>
          <cell r="CZ117">
            <v>333.33</v>
          </cell>
          <cell r="DR117">
            <v>0</v>
          </cell>
          <cell r="DS117">
            <v>0</v>
          </cell>
          <cell r="DT117">
            <v>0</v>
          </cell>
          <cell r="DU117">
            <v>0</v>
          </cell>
          <cell r="DW117" t="str">
            <v>1</v>
          </cell>
          <cell r="DX117" t="str">
            <v>1</v>
          </cell>
          <cell r="DY117">
            <v>0</v>
          </cell>
          <cell r="DZ117">
            <v>0</v>
          </cell>
          <cell r="EA117">
            <v>0</v>
          </cell>
          <cell r="EB117">
            <v>0</v>
          </cell>
          <cell r="ED117">
            <v>39999.96</v>
          </cell>
          <cell r="EE117">
            <v>0</v>
          </cell>
          <cell r="EF117">
            <v>0</v>
          </cell>
          <cell r="EG117">
            <v>0</v>
          </cell>
          <cell r="EH117" t="str">
            <v>Grindle          GA Mr</v>
          </cell>
          <cell r="EI117">
            <v>4762</v>
          </cell>
          <cell r="EK117">
            <v>0</v>
          </cell>
        </row>
        <row r="118">
          <cell r="I118" t="str">
            <v>Harrigan         J  Mr</v>
          </cell>
          <cell r="J118">
            <v>5120</v>
          </cell>
          <cell r="K118">
            <v>201</v>
          </cell>
          <cell r="L118">
            <v>3333.33</v>
          </cell>
          <cell r="M118">
            <v>0</v>
          </cell>
          <cell r="N118">
            <v>0</v>
          </cell>
          <cell r="O118">
            <v>0</v>
          </cell>
          <cell r="P118">
            <v>0</v>
          </cell>
          <cell r="Q118">
            <v>0</v>
          </cell>
          <cell r="R118">
            <v>0</v>
          </cell>
          <cell r="S118">
            <v>22264.99</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26248.32</v>
          </cell>
          <cell r="BA118">
            <v>0</v>
          </cell>
          <cell r="BB118">
            <v>0</v>
          </cell>
          <cell r="BC118">
            <v>0</v>
          </cell>
          <cell r="BD118">
            <v>0</v>
          </cell>
          <cell r="BE118">
            <v>0</v>
          </cell>
          <cell r="BF118">
            <v>650</v>
          </cell>
          <cell r="BM118">
            <v>490.6</v>
          </cell>
          <cell r="BN118">
            <v>0</v>
          </cell>
          <cell r="BO118">
            <v>9829.1</v>
          </cell>
          <cell r="BP118">
            <v>13136.34</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3307.52</v>
          </cell>
          <cell r="CP118">
            <v>0</v>
          </cell>
          <cell r="CQ118">
            <v>0</v>
          </cell>
          <cell r="CR118">
            <v>0</v>
          </cell>
          <cell r="CS118">
            <v>0</v>
          </cell>
          <cell r="CT118">
            <v>0</v>
          </cell>
          <cell r="CU118">
            <v>29889.17</v>
          </cell>
          <cell r="CV118">
            <v>0</v>
          </cell>
          <cell r="CW118">
            <v>0</v>
          </cell>
          <cell r="CX118">
            <v>0</v>
          </cell>
          <cell r="CY118">
            <v>260</v>
          </cell>
          <cell r="CZ118">
            <v>333.33</v>
          </cell>
          <cell r="DR118">
            <v>0</v>
          </cell>
          <cell r="DS118">
            <v>0</v>
          </cell>
          <cell r="DT118">
            <v>0</v>
          </cell>
          <cell r="DU118">
            <v>0</v>
          </cell>
          <cell r="DW118" t="str">
            <v>1</v>
          </cell>
          <cell r="DX118" t="str">
            <v>1</v>
          </cell>
          <cell r="DY118">
            <v>0</v>
          </cell>
          <cell r="DZ118">
            <v>0</v>
          </cell>
          <cell r="EA118">
            <v>0</v>
          </cell>
          <cell r="EB118">
            <v>0</v>
          </cell>
          <cell r="ED118">
            <v>39999.96</v>
          </cell>
          <cell r="EE118">
            <v>0</v>
          </cell>
          <cell r="EF118">
            <v>0</v>
          </cell>
          <cell r="EG118">
            <v>0</v>
          </cell>
          <cell r="EH118" t="str">
            <v>Harrigan         J  Mr</v>
          </cell>
          <cell r="EI118">
            <v>4784</v>
          </cell>
          <cell r="EJ118">
            <v>-833.36</v>
          </cell>
          <cell r="EK118">
            <v>0</v>
          </cell>
        </row>
        <row r="119">
          <cell r="I119" t="str">
            <v>Margalit         I  Mr</v>
          </cell>
          <cell r="J119">
            <v>5120</v>
          </cell>
          <cell r="K119">
            <v>201</v>
          </cell>
          <cell r="L119">
            <v>8750</v>
          </cell>
          <cell r="M119">
            <v>0</v>
          </cell>
          <cell r="N119">
            <v>0</v>
          </cell>
          <cell r="O119">
            <v>0</v>
          </cell>
          <cell r="P119">
            <v>0</v>
          </cell>
          <cell r="Q119">
            <v>0</v>
          </cell>
          <cell r="R119">
            <v>0</v>
          </cell>
          <cell r="S119">
            <v>25384.25</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35034.25</v>
          </cell>
          <cell r="BA119">
            <v>0</v>
          </cell>
          <cell r="BB119">
            <v>0</v>
          </cell>
          <cell r="BC119">
            <v>0</v>
          </cell>
          <cell r="BD119">
            <v>0</v>
          </cell>
          <cell r="BE119">
            <v>0</v>
          </cell>
          <cell r="BF119">
            <v>900</v>
          </cell>
          <cell r="BM119">
            <v>578.46</v>
          </cell>
          <cell r="BN119">
            <v>0</v>
          </cell>
          <cell r="BO119">
            <v>13520.7</v>
          </cell>
          <cell r="BP119">
            <v>14976.71</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4432.13</v>
          </cell>
          <cell r="CP119">
            <v>0</v>
          </cell>
          <cell r="CQ119">
            <v>0</v>
          </cell>
          <cell r="CR119">
            <v>0</v>
          </cell>
          <cell r="CS119">
            <v>0</v>
          </cell>
          <cell r="CT119">
            <v>0</v>
          </cell>
          <cell r="CU119">
            <v>40341.379999999997</v>
          </cell>
          <cell r="CV119">
            <v>750</v>
          </cell>
          <cell r="CW119">
            <v>0</v>
          </cell>
          <cell r="CX119">
            <v>0</v>
          </cell>
          <cell r="CY119">
            <v>341.25</v>
          </cell>
          <cell r="CZ119">
            <v>875</v>
          </cell>
          <cell r="DR119">
            <v>0</v>
          </cell>
          <cell r="DS119">
            <v>0</v>
          </cell>
          <cell r="DT119">
            <v>0</v>
          </cell>
          <cell r="DU119">
            <v>0</v>
          </cell>
          <cell r="DW119" t="str">
            <v>1</v>
          </cell>
          <cell r="DX119" t="str">
            <v>1</v>
          </cell>
          <cell r="DY119">
            <v>0</v>
          </cell>
          <cell r="DZ119" t="str">
            <v>1</v>
          </cell>
          <cell r="EA119">
            <v>0</v>
          </cell>
          <cell r="EB119">
            <v>0</v>
          </cell>
          <cell r="ED119">
            <v>105000</v>
          </cell>
          <cell r="EE119">
            <v>0</v>
          </cell>
          <cell r="EF119">
            <v>0</v>
          </cell>
          <cell r="EG119">
            <v>0</v>
          </cell>
          <cell r="EH119" t="str">
            <v>Margalit         I  Mr</v>
          </cell>
          <cell r="EI119">
            <v>4858</v>
          </cell>
          <cell r="EJ119">
            <v>0</v>
          </cell>
          <cell r="EK119">
            <v>0</v>
          </cell>
        </row>
        <row r="120">
          <cell r="I120" t="str">
            <v>Evans            P  Mr</v>
          </cell>
          <cell r="J120">
            <v>5120</v>
          </cell>
          <cell r="K120">
            <v>201</v>
          </cell>
          <cell r="L120">
            <v>6458.33</v>
          </cell>
          <cell r="M120">
            <v>0</v>
          </cell>
          <cell r="N120">
            <v>0</v>
          </cell>
          <cell r="O120">
            <v>0</v>
          </cell>
          <cell r="P120">
            <v>0</v>
          </cell>
          <cell r="Q120">
            <v>0</v>
          </cell>
          <cell r="R120">
            <v>0</v>
          </cell>
          <cell r="S120">
            <v>7187.81</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14187.81</v>
          </cell>
          <cell r="BA120">
            <v>0</v>
          </cell>
          <cell r="BB120">
            <v>0</v>
          </cell>
          <cell r="BC120">
            <v>0</v>
          </cell>
          <cell r="BD120">
            <v>0</v>
          </cell>
          <cell r="BE120">
            <v>0</v>
          </cell>
          <cell r="BF120">
            <v>541.66999999999996</v>
          </cell>
          <cell r="BM120">
            <v>369.99</v>
          </cell>
          <cell r="BN120">
            <v>0</v>
          </cell>
          <cell r="BO120">
            <v>5032.3</v>
          </cell>
          <cell r="BP120">
            <v>4240.8100000000004</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1763.72</v>
          </cell>
          <cell r="CP120">
            <v>0</v>
          </cell>
          <cell r="CQ120">
            <v>0</v>
          </cell>
          <cell r="CR120">
            <v>0</v>
          </cell>
          <cell r="CS120">
            <v>0</v>
          </cell>
          <cell r="CT120">
            <v>0</v>
          </cell>
          <cell r="CU120">
            <v>16597.36</v>
          </cell>
          <cell r="CV120">
            <v>0</v>
          </cell>
          <cell r="CW120">
            <v>0</v>
          </cell>
          <cell r="CX120">
            <v>0</v>
          </cell>
          <cell r="CY120">
            <v>251.87</v>
          </cell>
          <cell r="CZ120">
            <v>645.83000000000004</v>
          </cell>
          <cell r="DR120">
            <v>0</v>
          </cell>
          <cell r="DS120">
            <v>0</v>
          </cell>
          <cell r="DT120">
            <v>0</v>
          </cell>
          <cell r="DU120">
            <v>0</v>
          </cell>
          <cell r="DW120" t="str">
            <v>1</v>
          </cell>
          <cell r="DX120" t="str">
            <v>1</v>
          </cell>
          <cell r="DY120">
            <v>0</v>
          </cell>
          <cell r="DZ120">
            <v>0</v>
          </cell>
          <cell r="EA120">
            <v>0</v>
          </cell>
          <cell r="EB120">
            <v>0</v>
          </cell>
          <cell r="ED120">
            <v>77499.959999999992</v>
          </cell>
          <cell r="EE120">
            <v>0</v>
          </cell>
          <cell r="EF120">
            <v>0</v>
          </cell>
          <cell r="EG120">
            <v>0</v>
          </cell>
          <cell r="EH120" t="str">
            <v>Evans            P  Mr</v>
          </cell>
          <cell r="EI120">
            <v>4859</v>
          </cell>
          <cell r="EJ120">
            <v>27.33</v>
          </cell>
          <cell r="EK120">
            <v>0</v>
          </cell>
        </row>
        <row r="121">
          <cell r="I121" t="str">
            <v>Grinberg         J  Mr</v>
          </cell>
          <cell r="J121">
            <v>5120</v>
          </cell>
          <cell r="K121">
            <v>201</v>
          </cell>
          <cell r="L121">
            <v>6666.66</v>
          </cell>
          <cell r="M121">
            <v>0</v>
          </cell>
          <cell r="N121">
            <v>0</v>
          </cell>
          <cell r="O121">
            <v>0</v>
          </cell>
          <cell r="P121">
            <v>0</v>
          </cell>
          <cell r="Q121">
            <v>0</v>
          </cell>
          <cell r="R121">
            <v>0</v>
          </cell>
          <cell r="S121">
            <v>7225.06</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14432.72</v>
          </cell>
          <cell r="BA121">
            <v>0</v>
          </cell>
          <cell r="BB121">
            <v>0</v>
          </cell>
          <cell r="BC121">
            <v>0</v>
          </cell>
          <cell r="BD121">
            <v>0</v>
          </cell>
          <cell r="BE121">
            <v>0</v>
          </cell>
          <cell r="BF121">
            <v>541</v>
          </cell>
          <cell r="BM121">
            <v>372.44</v>
          </cell>
          <cell r="BN121">
            <v>0</v>
          </cell>
          <cell r="BO121">
            <v>5046.3</v>
          </cell>
          <cell r="BP121">
            <v>4262.79</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1795.08</v>
          </cell>
          <cell r="CP121">
            <v>0</v>
          </cell>
          <cell r="CQ121">
            <v>0</v>
          </cell>
          <cell r="CR121">
            <v>0</v>
          </cell>
          <cell r="CS121">
            <v>0</v>
          </cell>
          <cell r="CT121">
            <v>0</v>
          </cell>
          <cell r="CU121">
            <v>16894.47</v>
          </cell>
          <cell r="CV121">
            <v>666.66</v>
          </cell>
          <cell r="CW121">
            <v>0</v>
          </cell>
          <cell r="CX121">
            <v>0</v>
          </cell>
          <cell r="CY121">
            <v>260</v>
          </cell>
          <cell r="CZ121">
            <v>666.67</v>
          </cell>
          <cell r="DR121">
            <v>0</v>
          </cell>
          <cell r="DS121">
            <v>0</v>
          </cell>
          <cell r="DT121">
            <v>0</v>
          </cell>
          <cell r="DU121">
            <v>0</v>
          </cell>
          <cell r="DW121" t="str">
            <v>1</v>
          </cell>
          <cell r="DX121" t="str">
            <v>1</v>
          </cell>
          <cell r="DY121">
            <v>0</v>
          </cell>
          <cell r="DZ121" t="str">
            <v>1</v>
          </cell>
          <cell r="EA121">
            <v>0</v>
          </cell>
          <cell r="EB121">
            <v>0</v>
          </cell>
          <cell r="ED121">
            <v>79999.92</v>
          </cell>
          <cell r="EE121">
            <v>0</v>
          </cell>
          <cell r="EF121">
            <v>0</v>
          </cell>
          <cell r="EG121">
            <v>0</v>
          </cell>
          <cell r="EH121" t="str">
            <v>Grinberg         J  Mr</v>
          </cell>
          <cell r="EI121">
            <v>4861</v>
          </cell>
          <cell r="EJ121">
            <v>-972.5</v>
          </cell>
          <cell r="EK121">
            <v>0</v>
          </cell>
        </row>
        <row r="122">
          <cell r="I122" t="str">
            <v>Dawson           R  Mr</v>
          </cell>
          <cell r="J122">
            <v>5120</v>
          </cell>
          <cell r="K122">
            <v>201</v>
          </cell>
          <cell r="L122">
            <v>4250</v>
          </cell>
          <cell r="M122">
            <v>0</v>
          </cell>
          <cell r="N122">
            <v>0</v>
          </cell>
          <cell r="O122">
            <v>0</v>
          </cell>
          <cell r="P122">
            <v>0</v>
          </cell>
          <cell r="Q122">
            <v>0</v>
          </cell>
          <cell r="R122">
            <v>0</v>
          </cell>
          <cell r="S122">
            <v>1072.06</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6005.06</v>
          </cell>
          <cell r="BA122">
            <v>0</v>
          </cell>
          <cell r="BB122">
            <v>0</v>
          </cell>
          <cell r="BC122">
            <v>0</v>
          </cell>
          <cell r="BD122">
            <v>0</v>
          </cell>
          <cell r="BE122">
            <v>0</v>
          </cell>
          <cell r="BF122">
            <v>683</v>
          </cell>
          <cell r="BM122">
            <v>288.17</v>
          </cell>
          <cell r="BN122">
            <v>0</v>
          </cell>
          <cell r="BO122">
            <v>1791.9</v>
          </cell>
          <cell r="BP122">
            <v>632.51</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716.42</v>
          </cell>
          <cell r="CP122">
            <v>0</v>
          </cell>
          <cell r="CQ122">
            <v>0</v>
          </cell>
          <cell r="CR122">
            <v>0</v>
          </cell>
          <cell r="CS122">
            <v>0</v>
          </cell>
          <cell r="CT122">
            <v>0</v>
          </cell>
          <cell r="CU122">
            <v>7146.48</v>
          </cell>
          <cell r="CV122">
            <v>200</v>
          </cell>
          <cell r="CW122">
            <v>0</v>
          </cell>
          <cell r="CX122">
            <v>0</v>
          </cell>
          <cell r="CY122">
            <v>165.75</v>
          </cell>
          <cell r="CZ122">
            <v>425</v>
          </cell>
          <cell r="DR122">
            <v>0</v>
          </cell>
          <cell r="DS122">
            <v>0</v>
          </cell>
          <cell r="DT122">
            <v>0</v>
          </cell>
          <cell r="DU122">
            <v>0</v>
          </cell>
          <cell r="DW122" t="str">
            <v>1</v>
          </cell>
          <cell r="DX122" t="str">
            <v>1</v>
          </cell>
          <cell r="DY122">
            <v>0</v>
          </cell>
          <cell r="DZ122" t="str">
            <v>1</v>
          </cell>
          <cell r="EA122">
            <v>0</v>
          </cell>
          <cell r="EB122">
            <v>0</v>
          </cell>
          <cell r="ED122">
            <v>51000</v>
          </cell>
          <cell r="EE122">
            <v>0</v>
          </cell>
          <cell r="EF122">
            <v>0</v>
          </cell>
          <cell r="EG122">
            <v>0</v>
          </cell>
          <cell r="EH122" t="str">
            <v>Dawson           R  Mr</v>
          </cell>
          <cell r="EI122">
            <v>4862</v>
          </cell>
          <cell r="EJ122">
            <v>-929.17</v>
          </cell>
          <cell r="EK122">
            <v>0</v>
          </cell>
        </row>
        <row r="123">
          <cell r="I123" t="str">
            <v>Mason            C  Mrs</v>
          </cell>
          <cell r="J123">
            <v>5120</v>
          </cell>
          <cell r="K123">
            <v>201</v>
          </cell>
          <cell r="L123">
            <v>6250</v>
          </cell>
          <cell r="M123">
            <v>0</v>
          </cell>
          <cell r="N123">
            <v>0</v>
          </cell>
          <cell r="O123">
            <v>0</v>
          </cell>
          <cell r="P123">
            <v>0</v>
          </cell>
          <cell r="Q123">
            <v>0</v>
          </cell>
          <cell r="R123">
            <v>0</v>
          </cell>
          <cell r="S123">
            <v>16468.75</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23368.75</v>
          </cell>
          <cell r="BA123">
            <v>0</v>
          </cell>
          <cell r="BB123">
            <v>0</v>
          </cell>
          <cell r="BC123">
            <v>0</v>
          </cell>
          <cell r="BD123">
            <v>0</v>
          </cell>
          <cell r="BE123">
            <v>0</v>
          </cell>
          <cell r="BF123">
            <v>650</v>
          </cell>
          <cell r="BM123">
            <v>461.8</v>
          </cell>
          <cell r="BN123">
            <v>0</v>
          </cell>
          <cell r="BO123">
            <v>8638.2999999999993</v>
          </cell>
          <cell r="BP123">
            <v>9716.56</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2938.88</v>
          </cell>
          <cell r="CP123">
            <v>0</v>
          </cell>
          <cell r="CQ123">
            <v>0</v>
          </cell>
          <cell r="CR123">
            <v>0</v>
          </cell>
          <cell r="CS123">
            <v>0</v>
          </cell>
          <cell r="CT123">
            <v>0</v>
          </cell>
          <cell r="CU123">
            <v>26932.63</v>
          </cell>
          <cell r="CV123">
            <v>0</v>
          </cell>
          <cell r="CW123">
            <v>0</v>
          </cell>
          <cell r="CX123">
            <v>0</v>
          </cell>
          <cell r="CY123">
            <v>365.63</v>
          </cell>
          <cell r="CZ123">
            <v>625</v>
          </cell>
          <cell r="DR123">
            <v>0</v>
          </cell>
          <cell r="DS123">
            <v>0</v>
          </cell>
          <cell r="DT123">
            <v>0</v>
          </cell>
          <cell r="DU123">
            <v>0</v>
          </cell>
          <cell r="DW123" t="str">
            <v>1</v>
          </cell>
          <cell r="DX123" t="str">
            <v>1</v>
          </cell>
          <cell r="DY123">
            <v>0</v>
          </cell>
          <cell r="DZ123">
            <v>0</v>
          </cell>
          <cell r="EA123">
            <v>0</v>
          </cell>
          <cell r="EB123">
            <v>0</v>
          </cell>
          <cell r="ED123">
            <v>75000</v>
          </cell>
          <cell r="EE123">
            <v>0</v>
          </cell>
          <cell r="EF123">
            <v>0</v>
          </cell>
          <cell r="EG123">
            <v>0</v>
          </cell>
          <cell r="EH123" t="str">
            <v>Mason            C  Mrs</v>
          </cell>
          <cell r="EI123">
            <v>4895</v>
          </cell>
          <cell r="EJ123">
            <v>225</v>
          </cell>
          <cell r="EK123">
            <v>0</v>
          </cell>
        </row>
        <row r="124">
          <cell r="I124" t="str">
            <v>Montagnino       E  Mr</v>
          </cell>
          <cell r="J124">
            <v>5120</v>
          </cell>
          <cell r="K124">
            <v>201</v>
          </cell>
          <cell r="L124">
            <v>3500</v>
          </cell>
          <cell r="M124">
            <v>0</v>
          </cell>
          <cell r="N124">
            <v>0</v>
          </cell>
          <cell r="O124">
            <v>0</v>
          </cell>
          <cell r="P124">
            <v>0</v>
          </cell>
          <cell r="Q124">
            <v>0</v>
          </cell>
          <cell r="R124">
            <v>0</v>
          </cell>
          <cell r="S124">
            <v>6611.15</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10761.15</v>
          </cell>
          <cell r="BA124">
            <v>0</v>
          </cell>
          <cell r="BB124">
            <v>0</v>
          </cell>
          <cell r="BC124">
            <v>0</v>
          </cell>
          <cell r="BD124">
            <v>0</v>
          </cell>
          <cell r="BE124">
            <v>0</v>
          </cell>
          <cell r="BF124">
            <v>650</v>
          </cell>
          <cell r="BM124">
            <v>335.73</v>
          </cell>
          <cell r="BN124">
            <v>0</v>
          </cell>
          <cell r="BO124">
            <v>3634.3</v>
          </cell>
          <cell r="BP124">
            <v>3900.58</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1325.19</v>
          </cell>
          <cell r="CP124">
            <v>0</v>
          </cell>
          <cell r="CQ124">
            <v>0</v>
          </cell>
          <cell r="CR124">
            <v>0</v>
          </cell>
          <cell r="CS124">
            <v>0</v>
          </cell>
          <cell r="CT124">
            <v>0</v>
          </cell>
          <cell r="CU124">
            <v>12436.34</v>
          </cell>
          <cell r="CV124">
            <v>0</v>
          </cell>
          <cell r="CW124">
            <v>0</v>
          </cell>
          <cell r="CX124">
            <v>0</v>
          </cell>
          <cell r="CY124">
            <v>136.5</v>
          </cell>
          <cell r="CZ124">
            <v>350</v>
          </cell>
          <cell r="DR124">
            <v>0</v>
          </cell>
          <cell r="DS124">
            <v>0</v>
          </cell>
          <cell r="DT124">
            <v>0</v>
          </cell>
          <cell r="DU124">
            <v>0</v>
          </cell>
          <cell r="DW124" t="str">
            <v>1</v>
          </cell>
          <cell r="DX124" t="str">
            <v>1</v>
          </cell>
          <cell r="DY124">
            <v>0</v>
          </cell>
          <cell r="DZ124">
            <v>0</v>
          </cell>
          <cell r="EA124">
            <v>0</v>
          </cell>
          <cell r="EB124">
            <v>0</v>
          </cell>
          <cell r="ED124">
            <v>42000</v>
          </cell>
          <cell r="EE124">
            <v>0</v>
          </cell>
          <cell r="EF124">
            <v>0</v>
          </cell>
          <cell r="EG124">
            <v>0</v>
          </cell>
          <cell r="EH124" t="str">
            <v>Montagnino       E  Mr</v>
          </cell>
          <cell r="EI124">
            <v>4951</v>
          </cell>
          <cell r="EJ124">
            <v>0</v>
          </cell>
          <cell r="EK124">
            <v>0</v>
          </cell>
        </row>
        <row r="125">
          <cell r="I125" t="str">
            <v>Nolan            A  Mr</v>
          </cell>
          <cell r="J125">
            <v>5120</v>
          </cell>
          <cell r="K125">
            <v>201</v>
          </cell>
          <cell r="L125">
            <v>3833.33</v>
          </cell>
          <cell r="M125">
            <v>0</v>
          </cell>
          <cell r="N125">
            <v>0</v>
          </cell>
          <cell r="O125">
            <v>0</v>
          </cell>
          <cell r="P125">
            <v>0</v>
          </cell>
          <cell r="Q125">
            <v>0</v>
          </cell>
          <cell r="R125">
            <v>0</v>
          </cell>
          <cell r="S125">
            <v>13840.65</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18323.98</v>
          </cell>
          <cell r="BA125">
            <v>0</v>
          </cell>
          <cell r="BB125">
            <v>0</v>
          </cell>
          <cell r="BC125">
            <v>0</v>
          </cell>
          <cell r="BD125">
            <v>0</v>
          </cell>
          <cell r="BE125">
            <v>0</v>
          </cell>
          <cell r="BF125">
            <v>650</v>
          </cell>
          <cell r="BM125">
            <v>411.35</v>
          </cell>
          <cell r="BN125">
            <v>0</v>
          </cell>
          <cell r="BO125">
            <v>6647.5</v>
          </cell>
          <cell r="BP125">
            <v>8165.98</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2293.12</v>
          </cell>
          <cell r="CP125">
            <v>0</v>
          </cell>
          <cell r="CQ125">
            <v>0</v>
          </cell>
          <cell r="CR125">
            <v>0</v>
          </cell>
          <cell r="CS125">
            <v>0</v>
          </cell>
          <cell r="CT125">
            <v>0</v>
          </cell>
          <cell r="CU125">
            <v>21000.43</v>
          </cell>
          <cell r="CV125">
            <v>383.33</v>
          </cell>
          <cell r="CW125">
            <v>0</v>
          </cell>
          <cell r="CX125">
            <v>0</v>
          </cell>
          <cell r="CY125">
            <v>149.5</v>
          </cell>
          <cell r="CZ125">
            <v>383.33</v>
          </cell>
          <cell r="DA125">
            <v>0</v>
          </cell>
          <cell r="DB125">
            <v>0</v>
          </cell>
          <cell r="DC125">
            <v>0</v>
          </cell>
          <cell r="DD125">
            <v>0</v>
          </cell>
          <cell r="DE125">
            <v>0</v>
          </cell>
          <cell r="DF125">
            <v>0</v>
          </cell>
          <cell r="DG125">
            <v>29.11</v>
          </cell>
          <cell r="DR125">
            <v>0</v>
          </cell>
          <cell r="DS125">
            <v>0</v>
          </cell>
          <cell r="DT125">
            <v>0</v>
          </cell>
          <cell r="DU125">
            <v>0</v>
          </cell>
          <cell r="DW125" t="str">
            <v>1</v>
          </cell>
          <cell r="DX125" t="str">
            <v>1</v>
          </cell>
          <cell r="DY125">
            <v>0</v>
          </cell>
          <cell r="DZ125" t="str">
            <v>1</v>
          </cell>
          <cell r="EA125">
            <v>0</v>
          </cell>
          <cell r="EB125">
            <v>0</v>
          </cell>
          <cell r="ED125">
            <v>45999.96</v>
          </cell>
          <cell r="EE125">
            <v>0</v>
          </cell>
          <cell r="EF125">
            <v>0</v>
          </cell>
          <cell r="EG125">
            <v>0</v>
          </cell>
          <cell r="EH125" t="str">
            <v>Nolan            A  Mr</v>
          </cell>
          <cell r="EI125">
            <v>4953</v>
          </cell>
          <cell r="EJ125">
            <v>0</v>
          </cell>
          <cell r="EK125">
            <v>0</v>
          </cell>
        </row>
        <row r="126">
          <cell r="I126" t="str">
            <v>Viscito          E  Mr</v>
          </cell>
          <cell r="J126">
            <v>5120</v>
          </cell>
          <cell r="K126">
            <v>201</v>
          </cell>
          <cell r="L126">
            <v>11250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12075</v>
          </cell>
          <cell r="BA126">
            <v>0</v>
          </cell>
          <cell r="BB126">
            <v>0</v>
          </cell>
          <cell r="BC126">
            <v>0</v>
          </cell>
          <cell r="BD126">
            <v>0</v>
          </cell>
          <cell r="BE126">
            <v>0</v>
          </cell>
          <cell r="BF126">
            <v>825</v>
          </cell>
          <cell r="BM126">
            <v>348.87</v>
          </cell>
          <cell r="BN126">
            <v>0</v>
          </cell>
          <cell r="BO126">
            <v>4187.1000000000004</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1493.38</v>
          </cell>
          <cell r="CP126">
            <v>0</v>
          </cell>
          <cell r="CQ126">
            <v>0</v>
          </cell>
          <cell r="CR126">
            <v>0</v>
          </cell>
          <cell r="CS126">
            <v>0</v>
          </cell>
          <cell r="CT126">
            <v>0</v>
          </cell>
          <cell r="CU126">
            <v>14693.38</v>
          </cell>
          <cell r="CV126">
            <v>0</v>
          </cell>
          <cell r="CW126">
            <v>0</v>
          </cell>
          <cell r="CX126">
            <v>0</v>
          </cell>
          <cell r="CY126">
            <v>438.75</v>
          </cell>
          <cell r="CZ126">
            <v>1125</v>
          </cell>
          <cell r="DA126">
            <v>0</v>
          </cell>
          <cell r="DB126">
            <v>0</v>
          </cell>
          <cell r="DC126">
            <v>0</v>
          </cell>
          <cell r="DD126">
            <v>0</v>
          </cell>
          <cell r="DE126">
            <v>0</v>
          </cell>
          <cell r="DF126">
            <v>0</v>
          </cell>
          <cell r="DG126">
            <v>43.67</v>
          </cell>
          <cell r="DR126">
            <v>0</v>
          </cell>
          <cell r="DS126">
            <v>0</v>
          </cell>
          <cell r="DT126">
            <v>0</v>
          </cell>
          <cell r="DU126">
            <v>0</v>
          </cell>
          <cell r="DW126" t="str">
            <v>1</v>
          </cell>
          <cell r="DX126" t="str">
            <v>1</v>
          </cell>
          <cell r="DY126">
            <v>0</v>
          </cell>
          <cell r="DZ126">
            <v>0</v>
          </cell>
          <cell r="EA126">
            <v>0</v>
          </cell>
          <cell r="EB126">
            <v>0</v>
          </cell>
          <cell r="ED126">
            <v>135000</v>
          </cell>
          <cell r="EE126">
            <v>0</v>
          </cell>
          <cell r="EF126">
            <v>0</v>
          </cell>
          <cell r="EG126">
            <v>0</v>
          </cell>
          <cell r="EH126" t="str">
            <v>Viscito          E  Mr</v>
          </cell>
          <cell r="EI126">
            <v>104978</v>
          </cell>
          <cell r="EJ126">
            <v>277.08</v>
          </cell>
          <cell r="EK126">
            <v>0</v>
          </cell>
        </row>
        <row r="127">
          <cell r="I127" t="str">
            <v>TAGGART          J  MR</v>
          </cell>
          <cell r="J127">
            <v>5121</v>
          </cell>
          <cell r="K127">
            <v>201</v>
          </cell>
          <cell r="L127">
            <v>3333.33</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3783.33</v>
          </cell>
          <cell r="BA127">
            <v>0</v>
          </cell>
          <cell r="BB127">
            <v>0</v>
          </cell>
          <cell r="BC127">
            <v>0</v>
          </cell>
          <cell r="BD127">
            <v>0</v>
          </cell>
          <cell r="BE127">
            <v>0</v>
          </cell>
          <cell r="BF127">
            <v>450</v>
          </cell>
          <cell r="BM127">
            <v>265.95</v>
          </cell>
          <cell r="BN127">
            <v>0</v>
          </cell>
          <cell r="BO127">
            <v>956.3</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432</v>
          </cell>
          <cell r="CP127">
            <v>0</v>
          </cell>
          <cell r="CQ127">
            <v>0</v>
          </cell>
          <cell r="CR127">
            <v>0</v>
          </cell>
          <cell r="CS127">
            <v>0</v>
          </cell>
          <cell r="CT127">
            <v>0</v>
          </cell>
          <cell r="CU127">
            <v>4548.66</v>
          </cell>
          <cell r="CV127">
            <v>0</v>
          </cell>
          <cell r="CW127">
            <v>0</v>
          </cell>
          <cell r="CX127">
            <v>0</v>
          </cell>
          <cell r="CY127">
            <v>130</v>
          </cell>
          <cell r="CZ127">
            <v>333.33</v>
          </cell>
          <cell r="DR127">
            <v>0</v>
          </cell>
          <cell r="DS127">
            <v>0</v>
          </cell>
          <cell r="DT127">
            <v>0</v>
          </cell>
          <cell r="DU127">
            <v>0</v>
          </cell>
          <cell r="DW127" t="str">
            <v>1</v>
          </cell>
          <cell r="DX127" t="str">
            <v>1</v>
          </cell>
          <cell r="DY127">
            <v>0</v>
          </cell>
          <cell r="DZ127">
            <v>0</v>
          </cell>
          <cell r="EA127">
            <v>0</v>
          </cell>
          <cell r="EB127">
            <v>0</v>
          </cell>
          <cell r="ED127">
            <v>39999.96</v>
          </cell>
          <cell r="EE127">
            <v>0</v>
          </cell>
          <cell r="EF127">
            <v>0</v>
          </cell>
          <cell r="EG127">
            <v>0</v>
          </cell>
          <cell r="EH127" t="str">
            <v>TAGGART          J  MR</v>
          </cell>
          <cell r="EI127">
            <v>5003</v>
          </cell>
          <cell r="EJ127">
            <v>260</v>
          </cell>
          <cell r="EK127">
            <v>0</v>
          </cell>
        </row>
        <row r="128">
          <cell r="I128" t="str">
            <v>Ginat            T  Mr</v>
          </cell>
          <cell r="J128">
            <v>5130</v>
          </cell>
          <cell r="K128">
            <v>20</v>
          </cell>
          <cell r="L128">
            <v>13666.66</v>
          </cell>
          <cell r="M128">
            <v>0</v>
          </cell>
          <cell r="N128">
            <v>0</v>
          </cell>
          <cell r="O128">
            <v>0</v>
          </cell>
          <cell r="P128">
            <v>0</v>
          </cell>
          <cell r="Q128">
            <v>0</v>
          </cell>
          <cell r="R128">
            <v>0</v>
          </cell>
          <cell r="S128">
            <v>15459.87</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30476.53</v>
          </cell>
          <cell r="BA128">
            <v>0</v>
          </cell>
          <cell r="BB128">
            <v>0</v>
          </cell>
          <cell r="BC128">
            <v>0</v>
          </cell>
          <cell r="BD128">
            <v>0</v>
          </cell>
          <cell r="BE128">
            <v>0</v>
          </cell>
          <cell r="BF128">
            <v>1350</v>
          </cell>
          <cell r="BM128">
            <v>532.88</v>
          </cell>
          <cell r="BN128">
            <v>0</v>
          </cell>
          <cell r="BO128">
            <v>11307.1</v>
          </cell>
          <cell r="BP128">
            <v>9121.32</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3848.71</v>
          </cell>
          <cell r="CP128">
            <v>0</v>
          </cell>
          <cell r="CQ128">
            <v>0</v>
          </cell>
          <cell r="CR128">
            <v>0</v>
          </cell>
          <cell r="CS128">
            <v>0</v>
          </cell>
          <cell r="CT128">
            <v>0</v>
          </cell>
          <cell r="CU128">
            <v>37741.910000000003</v>
          </cell>
          <cell r="CV128">
            <v>1366.66</v>
          </cell>
          <cell r="CW128">
            <v>0</v>
          </cell>
          <cell r="CX128">
            <v>0</v>
          </cell>
          <cell r="CY128">
            <v>0</v>
          </cell>
          <cell r="CZ128">
            <v>0</v>
          </cell>
          <cell r="DA128">
            <v>0</v>
          </cell>
          <cell r="DB128">
            <v>683.33</v>
          </cell>
          <cell r="DC128">
            <v>3416.67</v>
          </cell>
          <cell r="DR128">
            <v>0</v>
          </cell>
          <cell r="DS128">
            <v>0</v>
          </cell>
          <cell r="DT128">
            <v>0</v>
          </cell>
          <cell r="DU128">
            <v>0</v>
          </cell>
          <cell r="DW128" t="str">
            <v>1</v>
          </cell>
          <cell r="DX128">
            <v>0</v>
          </cell>
          <cell r="DY128" t="str">
            <v>1</v>
          </cell>
          <cell r="DZ128" t="str">
            <v>1</v>
          </cell>
          <cell r="EA128" t="str">
            <v>1</v>
          </cell>
          <cell r="EB128">
            <v>0</v>
          </cell>
          <cell r="ED128">
            <v>163999.91999999998</v>
          </cell>
          <cell r="EE128">
            <v>0</v>
          </cell>
          <cell r="EF128">
            <v>0</v>
          </cell>
          <cell r="EG128">
            <v>0</v>
          </cell>
          <cell r="EH128" t="str">
            <v>Ginat            T  Mr</v>
          </cell>
          <cell r="EI128">
            <v>4855</v>
          </cell>
          <cell r="EJ128">
            <v>350</v>
          </cell>
          <cell r="EK128">
            <v>0</v>
          </cell>
        </row>
        <row r="129">
          <cell r="I129" t="str">
            <v>Daza             N  Miss</v>
          </cell>
          <cell r="J129">
            <v>5130</v>
          </cell>
          <cell r="K129">
            <v>20</v>
          </cell>
          <cell r="L129">
            <v>2041.66</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2041.66</v>
          </cell>
          <cell r="BM129">
            <v>179.74</v>
          </cell>
          <cell r="BN129">
            <v>0</v>
          </cell>
          <cell r="BO129">
            <v>344.29</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209.15</v>
          </cell>
          <cell r="CP129">
            <v>0</v>
          </cell>
          <cell r="CQ129">
            <v>0</v>
          </cell>
          <cell r="CR129">
            <v>0</v>
          </cell>
          <cell r="CS129">
            <v>0</v>
          </cell>
          <cell r="CT129">
            <v>0</v>
          </cell>
          <cell r="CU129">
            <v>2454.98</v>
          </cell>
          <cell r="CV129">
            <v>0</v>
          </cell>
          <cell r="CW129">
            <v>0</v>
          </cell>
          <cell r="CX129">
            <v>0</v>
          </cell>
          <cell r="CY129">
            <v>79.62</v>
          </cell>
          <cell r="CZ129">
            <v>204.17</v>
          </cell>
          <cell r="DA129">
            <v>0</v>
          </cell>
          <cell r="DB129">
            <v>0</v>
          </cell>
          <cell r="DC129">
            <v>0</v>
          </cell>
          <cell r="DD129">
            <v>0</v>
          </cell>
          <cell r="DE129">
            <v>0</v>
          </cell>
          <cell r="DF129">
            <v>0</v>
          </cell>
          <cell r="DG129">
            <v>29.11</v>
          </cell>
          <cell r="DR129">
            <v>0</v>
          </cell>
          <cell r="DS129">
            <v>0</v>
          </cell>
          <cell r="DT129">
            <v>0</v>
          </cell>
          <cell r="DU129">
            <v>0</v>
          </cell>
          <cell r="DW129">
            <v>0</v>
          </cell>
          <cell r="DX129" t="str">
            <v>1</v>
          </cell>
          <cell r="DY129">
            <v>0</v>
          </cell>
          <cell r="DZ129">
            <v>0</v>
          </cell>
          <cell r="EA129">
            <v>0</v>
          </cell>
          <cell r="EB129">
            <v>0</v>
          </cell>
          <cell r="ED129">
            <v>24499.920000000002</v>
          </cell>
          <cell r="EE129" t="str">
            <v>1</v>
          </cell>
          <cell r="EF129">
            <v>0</v>
          </cell>
          <cell r="EG129">
            <v>0</v>
          </cell>
          <cell r="EH129" t="str">
            <v>Daza             N  Miss</v>
          </cell>
          <cell r="EI129">
            <v>4982</v>
          </cell>
          <cell r="EJ129">
            <v>0</v>
          </cell>
          <cell r="EK129">
            <v>0</v>
          </cell>
        </row>
        <row r="130">
          <cell r="I130" t="str">
            <v>Park             JA Mr</v>
          </cell>
          <cell r="J130">
            <v>5130</v>
          </cell>
          <cell r="K130">
            <v>350</v>
          </cell>
          <cell r="L130">
            <v>12500</v>
          </cell>
          <cell r="M130">
            <v>0</v>
          </cell>
          <cell r="N130">
            <v>0</v>
          </cell>
          <cell r="O130">
            <v>0</v>
          </cell>
          <cell r="P130">
            <v>0</v>
          </cell>
          <cell r="Q130">
            <v>0</v>
          </cell>
          <cell r="R130">
            <v>0</v>
          </cell>
          <cell r="S130">
            <v>31125</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40.92</v>
          </cell>
          <cell r="AU130">
            <v>-40.92</v>
          </cell>
          <cell r="AV130">
            <v>0</v>
          </cell>
          <cell r="AW130">
            <v>0</v>
          </cell>
          <cell r="AX130">
            <v>0</v>
          </cell>
          <cell r="AY130">
            <v>0</v>
          </cell>
          <cell r="AZ130">
            <v>194027.7</v>
          </cell>
          <cell r="BA130">
            <v>0</v>
          </cell>
          <cell r="BB130">
            <v>0</v>
          </cell>
          <cell r="BC130">
            <v>0</v>
          </cell>
          <cell r="BD130">
            <v>0</v>
          </cell>
          <cell r="BE130">
            <v>0</v>
          </cell>
          <cell r="BF130">
            <v>1000</v>
          </cell>
          <cell r="BG130">
            <v>0</v>
          </cell>
          <cell r="BH130">
            <v>0</v>
          </cell>
          <cell r="BI130">
            <v>0</v>
          </cell>
          <cell r="BJ130">
            <v>149402.70000000001</v>
          </cell>
          <cell r="BM130">
            <v>2168.39</v>
          </cell>
          <cell r="BN130">
            <v>0</v>
          </cell>
          <cell r="BO130">
            <v>76695.100000000006</v>
          </cell>
          <cell r="BP130">
            <v>106511.34</v>
          </cell>
          <cell r="BQ130">
            <v>0</v>
          </cell>
          <cell r="BR130">
            <v>0</v>
          </cell>
          <cell r="BS130">
            <v>0</v>
          </cell>
          <cell r="BT130">
            <v>0</v>
          </cell>
          <cell r="BU130">
            <v>0</v>
          </cell>
          <cell r="BV130">
            <v>0</v>
          </cell>
          <cell r="BW130">
            <v>0</v>
          </cell>
          <cell r="BX130">
            <v>0</v>
          </cell>
          <cell r="BY130">
            <v>0</v>
          </cell>
          <cell r="BZ130">
            <v>109</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24783.24</v>
          </cell>
          <cell r="CP130">
            <v>0</v>
          </cell>
          <cell r="CQ130">
            <v>0</v>
          </cell>
          <cell r="CR130">
            <v>0</v>
          </cell>
          <cell r="CS130">
            <v>0</v>
          </cell>
          <cell r="CT130">
            <v>0</v>
          </cell>
          <cell r="CU130">
            <v>221935.94</v>
          </cell>
          <cell r="CV130">
            <v>1250</v>
          </cell>
          <cell r="CW130">
            <v>0</v>
          </cell>
          <cell r="CX130">
            <v>0</v>
          </cell>
          <cell r="CY130">
            <v>0</v>
          </cell>
          <cell r="CZ130">
            <v>0</v>
          </cell>
          <cell r="DA130">
            <v>0</v>
          </cell>
          <cell r="DB130">
            <v>625</v>
          </cell>
          <cell r="DC130">
            <v>3125</v>
          </cell>
          <cell r="DR130">
            <v>0</v>
          </cell>
          <cell r="DS130">
            <v>0</v>
          </cell>
          <cell r="DT130">
            <v>0</v>
          </cell>
          <cell r="DU130" t="str">
            <v>1</v>
          </cell>
          <cell r="DV130">
            <v>22</v>
          </cell>
          <cell r="DW130" t="str">
            <v>1</v>
          </cell>
          <cell r="DX130">
            <v>0</v>
          </cell>
          <cell r="DY130" t="str">
            <v>1</v>
          </cell>
          <cell r="DZ130" t="str">
            <v>1</v>
          </cell>
          <cell r="EA130" t="str">
            <v>1</v>
          </cell>
          <cell r="EB130">
            <v>0</v>
          </cell>
          <cell r="ED130">
            <v>150000</v>
          </cell>
          <cell r="EE130">
            <v>0</v>
          </cell>
          <cell r="EF130">
            <v>0</v>
          </cell>
          <cell r="EG130">
            <v>0</v>
          </cell>
          <cell r="EH130" t="str">
            <v>Park             JA Mr</v>
          </cell>
          <cell r="EI130">
            <v>3</v>
          </cell>
          <cell r="EJ130">
            <v>-3500</v>
          </cell>
          <cell r="EK130">
            <v>0</v>
          </cell>
        </row>
        <row r="131">
          <cell r="I131" t="str">
            <v>Baker            PJ Mrs</v>
          </cell>
          <cell r="J131">
            <v>5130</v>
          </cell>
          <cell r="K131">
            <v>350</v>
          </cell>
          <cell r="L131">
            <v>1708.33</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106.55</v>
          </cell>
          <cell r="AS131">
            <v>0</v>
          </cell>
          <cell r="AT131">
            <v>0</v>
          </cell>
          <cell r="AU131">
            <v>0</v>
          </cell>
          <cell r="AV131">
            <v>0</v>
          </cell>
          <cell r="AW131">
            <v>0</v>
          </cell>
          <cell r="AX131">
            <v>0</v>
          </cell>
          <cell r="AY131">
            <v>0</v>
          </cell>
          <cell r="AZ131">
            <v>1814.88</v>
          </cell>
          <cell r="BA131">
            <v>7.5</v>
          </cell>
          <cell r="BB131">
            <v>106.55</v>
          </cell>
          <cell r="BC131">
            <v>0</v>
          </cell>
          <cell r="BD131">
            <v>26.64</v>
          </cell>
          <cell r="BM131">
            <v>154.66</v>
          </cell>
          <cell r="BN131">
            <v>0</v>
          </cell>
          <cell r="BO131">
            <v>288.64999999999998</v>
          </cell>
          <cell r="BP131">
            <v>0</v>
          </cell>
          <cell r="BQ131">
            <v>0</v>
          </cell>
          <cell r="BR131">
            <v>0</v>
          </cell>
          <cell r="BS131">
            <v>0</v>
          </cell>
          <cell r="BT131">
            <v>0</v>
          </cell>
          <cell r="BU131">
            <v>0</v>
          </cell>
          <cell r="BV131">
            <v>14.72</v>
          </cell>
          <cell r="BW131">
            <v>0</v>
          </cell>
          <cell r="BX131">
            <v>4.33</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179.97</v>
          </cell>
          <cell r="CP131">
            <v>0</v>
          </cell>
          <cell r="CQ131">
            <v>0</v>
          </cell>
          <cell r="CR131">
            <v>0</v>
          </cell>
          <cell r="CS131">
            <v>0</v>
          </cell>
          <cell r="CT131">
            <v>0</v>
          </cell>
          <cell r="CU131">
            <v>2165.6799999999998</v>
          </cell>
          <cell r="CV131">
            <v>66.66</v>
          </cell>
          <cell r="CW131">
            <v>0</v>
          </cell>
          <cell r="CX131">
            <v>0</v>
          </cell>
          <cell r="CY131">
            <v>66.62</v>
          </cell>
          <cell r="CZ131">
            <v>170.83</v>
          </cell>
          <cell r="DA131">
            <v>0</v>
          </cell>
          <cell r="DB131">
            <v>0</v>
          </cell>
          <cell r="DC131">
            <v>0</v>
          </cell>
          <cell r="DD131">
            <v>0</v>
          </cell>
          <cell r="DE131">
            <v>0</v>
          </cell>
          <cell r="DF131">
            <v>0</v>
          </cell>
          <cell r="DG131">
            <v>29.11</v>
          </cell>
          <cell r="DR131" t="str">
            <v>1</v>
          </cell>
          <cell r="DS131" t="str">
            <v>1</v>
          </cell>
          <cell r="DT131">
            <v>0</v>
          </cell>
          <cell r="DU131">
            <v>0</v>
          </cell>
          <cell r="DW131">
            <v>0</v>
          </cell>
          <cell r="DX131" t="str">
            <v>1</v>
          </cell>
          <cell r="DY131">
            <v>0</v>
          </cell>
          <cell r="DZ131" t="str">
            <v>1</v>
          </cell>
          <cell r="EA131">
            <v>0</v>
          </cell>
          <cell r="EB131">
            <v>0</v>
          </cell>
          <cell r="ED131">
            <v>20499.96</v>
          </cell>
          <cell r="EE131" t="str">
            <v>1</v>
          </cell>
          <cell r="EF131">
            <v>106.55</v>
          </cell>
          <cell r="EG131" t="str">
            <v>1</v>
          </cell>
          <cell r="EH131" t="str">
            <v>Baker            PJ Mrs</v>
          </cell>
          <cell r="EI131">
            <v>86</v>
          </cell>
          <cell r="EJ131">
            <v>179.16</v>
          </cell>
          <cell r="EK131">
            <v>0</v>
          </cell>
        </row>
        <row r="132">
          <cell r="I132" t="str">
            <v>Chetwynd         J  Mr</v>
          </cell>
          <cell r="J132">
            <v>5155</v>
          </cell>
          <cell r="K132">
            <v>35</v>
          </cell>
          <cell r="L132">
            <v>3437.5</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4087.5</v>
          </cell>
          <cell r="BA132">
            <v>0</v>
          </cell>
          <cell r="BB132">
            <v>0</v>
          </cell>
          <cell r="BC132">
            <v>0</v>
          </cell>
          <cell r="BD132">
            <v>0</v>
          </cell>
          <cell r="BE132">
            <v>0</v>
          </cell>
          <cell r="BF132">
            <v>650</v>
          </cell>
          <cell r="BM132">
            <v>268.99</v>
          </cell>
          <cell r="BN132">
            <v>0</v>
          </cell>
          <cell r="BO132">
            <v>917.5</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470.92</v>
          </cell>
          <cell r="CP132">
            <v>0</v>
          </cell>
          <cell r="CQ132">
            <v>0</v>
          </cell>
          <cell r="CR132">
            <v>0</v>
          </cell>
          <cell r="CS132">
            <v>0</v>
          </cell>
          <cell r="CT132">
            <v>0</v>
          </cell>
          <cell r="CU132">
            <v>4902.17</v>
          </cell>
          <cell r="CV132">
            <v>0</v>
          </cell>
          <cell r="CW132">
            <v>0</v>
          </cell>
          <cell r="CX132">
            <v>0</v>
          </cell>
          <cell r="CY132">
            <v>134.06</v>
          </cell>
          <cell r="CZ132">
            <v>343.75</v>
          </cell>
          <cell r="DR132">
            <v>0</v>
          </cell>
          <cell r="DS132">
            <v>0</v>
          </cell>
          <cell r="DT132">
            <v>0</v>
          </cell>
          <cell r="DU132">
            <v>0</v>
          </cell>
          <cell r="DW132" t="str">
            <v>1</v>
          </cell>
          <cell r="DX132" t="str">
            <v>1</v>
          </cell>
          <cell r="DY132">
            <v>0</v>
          </cell>
          <cell r="DZ132">
            <v>0</v>
          </cell>
          <cell r="EA132">
            <v>0</v>
          </cell>
          <cell r="EB132">
            <v>0</v>
          </cell>
          <cell r="ED132">
            <v>41250</v>
          </cell>
          <cell r="EE132">
            <v>0</v>
          </cell>
          <cell r="EF132">
            <v>0</v>
          </cell>
          <cell r="EG132">
            <v>0</v>
          </cell>
          <cell r="EH132" t="str">
            <v>Chetwynd         J  Mr</v>
          </cell>
          <cell r="EI132">
            <v>4022</v>
          </cell>
          <cell r="EJ132">
            <v>-1000</v>
          </cell>
          <cell r="EK132">
            <v>0</v>
          </cell>
        </row>
        <row r="133">
          <cell r="I133" t="str">
            <v>Tomaszewski      C  Mr</v>
          </cell>
          <cell r="J133">
            <v>5155</v>
          </cell>
          <cell r="K133">
            <v>35</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18819.03</v>
          </cell>
          <cell r="BA133">
            <v>0</v>
          </cell>
          <cell r="BB133">
            <v>0</v>
          </cell>
          <cell r="BC133">
            <v>0</v>
          </cell>
          <cell r="BD133">
            <v>0</v>
          </cell>
          <cell r="BE133">
            <v>0</v>
          </cell>
          <cell r="BF133">
            <v>0</v>
          </cell>
          <cell r="BG133">
            <v>0</v>
          </cell>
          <cell r="BH133">
            <v>0</v>
          </cell>
          <cell r="BI133">
            <v>0</v>
          </cell>
          <cell r="BJ133">
            <v>18819.03</v>
          </cell>
          <cell r="BM133">
            <v>416.31</v>
          </cell>
          <cell r="BN133">
            <v>0</v>
          </cell>
          <cell r="BO133">
            <v>4140.18</v>
          </cell>
          <cell r="BP133">
            <v>11103.23</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2356.61</v>
          </cell>
          <cell r="CP133">
            <v>0</v>
          </cell>
          <cell r="CQ133">
            <v>0</v>
          </cell>
          <cell r="CR133">
            <v>0</v>
          </cell>
          <cell r="CS133">
            <v>0</v>
          </cell>
          <cell r="CT133">
            <v>0</v>
          </cell>
          <cell r="CU133">
            <v>21175.64</v>
          </cell>
          <cell r="DR133">
            <v>0</v>
          </cell>
          <cell r="DS133">
            <v>0</v>
          </cell>
          <cell r="DT133">
            <v>0</v>
          </cell>
          <cell r="DU133">
            <v>0</v>
          </cell>
          <cell r="DW133">
            <v>0</v>
          </cell>
          <cell r="DX133">
            <v>0</v>
          </cell>
          <cell r="DY133">
            <v>0</v>
          </cell>
          <cell r="DZ133">
            <v>0</v>
          </cell>
          <cell r="EA133">
            <v>0</v>
          </cell>
          <cell r="EB133">
            <v>0</v>
          </cell>
          <cell r="ED133">
            <v>0</v>
          </cell>
          <cell r="EE133" t="str">
            <v>1</v>
          </cell>
          <cell r="EF133">
            <v>0</v>
          </cell>
          <cell r="EG133">
            <v>0</v>
          </cell>
          <cell r="EH133" t="str">
            <v>Tomaszewski      C  Mr</v>
          </cell>
          <cell r="EI133">
            <v>4759</v>
          </cell>
          <cell r="EJ133">
            <v>0</v>
          </cell>
          <cell r="EK133">
            <v>0</v>
          </cell>
        </row>
        <row r="134">
          <cell r="I134" t="str">
            <v>Bannon           M  Mr</v>
          </cell>
          <cell r="J134">
            <v>5155</v>
          </cell>
          <cell r="K134">
            <v>35</v>
          </cell>
          <cell r="L134">
            <v>5416.67</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6066.67</v>
          </cell>
          <cell r="BA134">
            <v>0</v>
          </cell>
          <cell r="BB134">
            <v>0</v>
          </cell>
          <cell r="BC134">
            <v>0</v>
          </cell>
          <cell r="BD134">
            <v>0</v>
          </cell>
          <cell r="BE134">
            <v>0</v>
          </cell>
          <cell r="BF134">
            <v>650</v>
          </cell>
          <cell r="BM134">
            <v>288.77999999999997</v>
          </cell>
          <cell r="BN134">
            <v>0</v>
          </cell>
          <cell r="BO134">
            <v>1759.1</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724.23</v>
          </cell>
          <cell r="CP134">
            <v>0</v>
          </cell>
          <cell r="CQ134">
            <v>0</v>
          </cell>
          <cell r="CR134">
            <v>0</v>
          </cell>
          <cell r="CS134">
            <v>0</v>
          </cell>
          <cell r="CT134">
            <v>0</v>
          </cell>
          <cell r="CU134">
            <v>7332.57</v>
          </cell>
          <cell r="CV134">
            <v>0</v>
          </cell>
          <cell r="CW134">
            <v>0</v>
          </cell>
          <cell r="CX134">
            <v>0</v>
          </cell>
          <cell r="CY134">
            <v>422.5</v>
          </cell>
          <cell r="CZ134">
            <v>541.66999999999996</v>
          </cell>
          <cell r="DA134">
            <v>0</v>
          </cell>
          <cell r="DB134">
            <v>0</v>
          </cell>
          <cell r="DC134">
            <v>0</v>
          </cell>
          <cell r="DD134">
            <v>0</v>
          </cell>
          <cell r="DE134">
            <v>0</v>
          </cell>
          <cell r="DF134">
            <v>0</v>
          </cell>
          <cell r="DG134">
            <v>29.11</v>
          </cell>
          <cell r="DR134">
            <v>0</v>
          </cell>
          <cell r="DS134">
            <v>0</v>
          </cell>
          <cell r="DT134">
            <v>0</v>
          </cell>
          <cell r="DU134">
            <v>0</v>
          </cell>
          <cell r="DW134" t="str">
            <v>1</v>
          </cell>
          <cell r="DX134" t="str">
            <v>1</v>
          </cell>
          <cell r="DY134">
            <v>0</v>
          </cell>
          <cell r="DZ134">
            <v>0</v>
          </cell>
          <cell r="EA134">
            <v>0</v>
          </cell>
          <cell r="EB134">
            <v>0</v>
          </cell>
          <cell r="ED134">
            <v>65000.04</v>
          </cell>
          <cell r="EE134">
            <v>0</v>
          </cell>
          <cell r="EF134">
            <v>0</v>
          </cell>
          <cell r="EG134">
            <v>0</v>
          </cell>
          <cell r="EH134" t="str">
            <v>Bannon           M  Mr</v>
          </cell>
          <cell r="EI134">
            <v>4912</v>
          </cell>
          <cell r="EJ134">
            <v>0</v>
          </cell>
          <cell r="EK134">
            <v>0</v>
          </cell>
        </row>
        <row r="135">
          <cell r="I135" t="str">
            <v>Phelvin          N  Mrs</v>
          </cell>
          <cell r="J135">
            <v>5170</v>
          </cell>
          <cell r="K135">
            <v>10</v>
          </cell>
          <cell r="L135">
            <v>2562.5</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2562.5</v>
          </cell>
          <cell r="BM135">
            <v>236.94</v>
          </cell>
          <cell r="BN135">
            <v>0</v>
          </cell>
          <cell r="BO135">
            <v>452.99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275.70999999999998</v>
          </cell>
          <cell r="CP135">
            <v>0</v>
          </cell>
          <cell r="CQ135">
            <v>0</v>
          </cell>
          <cell r="CR135">
            <v>0</v>
          </cell>
          <cell r="CS135">
            <v>0</v>
          </cell>
          <cell r="CT135">
            <v>0</v>
          </cell>
          <cell r="CU135">
            <v>3094.46</v>
          </cell>
          <cell r="CV135">
            <v>0</v>
          </cell>
          <cell r="CW135">
            <v>0</v>
          </cell>
          <cell r="CX135">
            <v>0</v>
          </cell>
          <cell r="CY135">
            <v>99.94</v>
          </cell>
          <cell r="CZ135">
            <v>256.25</v>
          </cell>
          <cell r="DR135">
            <v>0</v>
          </cell>
          <cell r="DS135">
            <v>0</v>
          </cell>
          <cell r="DT135">
            <v>0</v>
          </cell>
          <cell r="DU135">
            <v>0</v>
          </cell>
          <cell r="DW135">
            <v>0</v>
          </cell>
          <cell r="DX135" t="str">
            <v>1</v>
          </cell>
          <cell r="DY135">
            <v>0</v>
          </cell>
          <cell r="DZ135">
            <v>0</v>
          </cell>
          <cell r="EA135">
            <v>0</v>
          </cell>
          <cell r="EB135">
            <v>0</v>
          </cell>
          <cell r="ED135">
            <v>30750</v>
          </cell>
          <cell r="EE135">
            <v>0</v>
          </cell>
          <cell r="EF135">
            <v>0</v>
          </cell>
          <cell r="EG135">
            <v>0</v>
          </cell>
          <cell r="EH135" t="str">
            <v>Phelvin          N  Mrs</v>
          </cell>
          <cell r="EI135">
            <v>4811</v>
          </cell>
          <cell r="EJ135">
            <v>-515.5</v>
          </cell>
          <cell r="EK135">
            <v>0</v>
          </cell>
        </row>
        <row r="136">
          <cell r="I136" t="str">
            <v>Simpson          G  Miss</v>
          </cell>
          <cell r="J136">
            <v>5170</v>
          </cell>
          <cell r="K136">
            <v>10</v>
          </cell>
          <cell r="L136">
            <v>1479.16</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1479.16</v>
          </cell>
          <cell r="BM136">
            <v>117.7</v>
          </cell>
          <cell r="BN136">
            <v>0</v>
          </cell>
          <cell r="BO136">
            <v>214.73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136.96</v>
          </cell>
          <cell r="CP136">
            <v>0</v>
          </cell>
          <cell r="CQ136">
            <v>0</v>
          </cell>
          <cell r="CR136">
            <v>0</v>
          </cell>
          <cell r="CS136">
            <v>0</v>
          </cell>
          <cell r="CT136">
            <v>20</v>
          </cell>
          <cell r="CU136">
            <v>1764.04</v>
          </cell>
          <cell r="CV136">
            <v>0</v>
          </cell>
          <cell r="CW136">
            <v>0</v>
          </cell>
          <cell r="CX136">
            <v>0</v>
          </cell>
          <cell r="CY136">
            <v>57.69</v>
          </cell>
          <cell r="CZ136">
            <v>147.91999999999999</v>
          </cell>
          <cell r="DR136">
            <v>0</v>
          </cell>
          <cell r="DS136">
            <v>0</v>
          </cell>
          <cell r="DT136">
            <v>0</v>
          </cell>
          <cell r="DU136">
            <v>0</v>
          </cell>
          <cell r="DW136">
            <v>0</v>
          </cell>
          <cell r="DX136" t="str">
            <v>1</v>
          </cell>
          <cell r="DY136">
            <v>0</v>
          </cell>
          <cell r="DZ136">
            <v>0</v>
          </cell>
          <cell r="EA136">
            <v>0</v>
          </cell>
          <cell r="EB136">
            <v>0</v>
          </cell>
          <cell r="ED136">
            <v>17749.920000000002</v>
          </cell>
          <cell r="EE136" t="str">
            <v>1</v>
          </cell>
          <cell r="EF136">
            <v>0</v>
          </cell>
          <cell r="EG136">
            <v>0</v>
          </cell>
          <cell r="EH136" t="str">
            <v>Simpson          G  Miss</v>
          </cell>
          <cell r="EI136">
            <v>4933</v>
          </cell>
          <cell r="EJ136">
            <v>0</v>
          </cell>
          <cell r="EK136">
            <v>0</v>
          </cell>
        </row>
        <row r="137">
          <cell r="I137" t="str">
            <v>Macquarrie       C  Mr</v>
          </cell>
          <cell r="J137">
            <v>5180</v>
          </cell>
          <cell r="K137">
            <v>20</v>
          </cell>
          <cell r="L137">
            <v>5833.33</v>
          </cell>
          <cell r="M137">
            <v>0</v>
          </cell>
          <cell r="N137">
            <v>0</v>
          </cell>
          <cell r="O137">
            <v>0</v>
          </cell>
          <cell r="P137">
            <v>0</v>
          </cell>
          <cell r="Q137">
            <v>0</v>
          </cell>
          <cell r="R137">
            <v>0</v>
          </cell>
          <cell r="S137">
            <v>9142.69</v>
          </cell>
          <cell r="T137">
            <v>0</v>
          </cell>
          <cell r="U137">
            <v>0</v>
          </cell>
          <cell r="V137">
            <v>0</v>
          </cell>
          <cell r="W137">
            <v>0</v>
          </cell>
          <cell r="X137">
            <v>0</v>
          </cell>
          <cell r="Y137">
            <v>0</v>
          </cell>
          <cell r="Z137">
            <v>0</v>
          </cell>
          <cell r="AA137">
            <v>0</v>
          </cell>
          <cell r="AB137">
            <v>0</v>
          </cell>
          <cell r="AC137">
            <v>0</v>
          </cell>
          <cell r="AD137">
            <v>0</v>
          </cell>
          <cell r="AE137">
            <v>3769.23</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19570.25</v>
          </cell>
          <cell r="BA137">
            <v>0</v>
          </cell>
          <cell r="BB137">
            <v>0</v>
          </cell>
          <cell r="BC137">
            <v>0</v>
          </cell>
          <cell r="BD137">
            <v>0</v>
          </cell>
          <cell r="BE137">
            <v>0</v>
          </cell>
          <cell r="BF137">
            <v>825</v>
          </cell>
          <cell r="BM137">
            <v>423.82</v>
          </cell>
          <cell r="BN137">
            <v>0</v>
          </cell>
          <cell r="BO137">
            <v>7169.9</v>
          </cell>
          <cell r="BP137">
            <v>5394.19</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cell r="CN137">
            <v>0</v>
          </cell>
          <cell r="CO137">
            <v>2452.7399999999998</v>
          </cell>
          <cell r="CP137">
            <v>0</v>
          </cell>
          <cell r="CQ137">
            <v>0</v>
          </cell>
          <cell r="CR137">
            <v>0</v>
          </cell>
          <cell r="CS137">
            <v>0</v>
          </cell>
          <cell r="CT137">
            <v>0</v>
          </cell>
          <cell r="CU137">
            <v>22606.32</v>
          </cell>
          <cell r="CV137">
            <v>0</v>
          </cell>
          <cell r="CW137">
            <v>0</v>
          </cell>
          <cell r="CX137">
            <v>0</v>
          </cell>
          <cell r="CY137">
            <v>227.5</v>
          </cell>
          <cell r="CZ137">
            <v>583.33000000000004</v>
          </cell>
          <cell r="DR137">
            <v>0</v>
          </cell>
          <cell r="DS137">
            <v>0</v>
          </cell>
          <cell r="DT137">
            <v>0</v>
          </cell>
          <cell r="DU137">
            <v>0</v>
          </cell>
          <cell r="DW137" t="str">
            <v>1</v>
          </cell>
          <cell r="DX137" t="str">
            <v>1</v>
          </cell>
          <cell r="DY137">
            <v>0</v>
          </cell>
          <cell r="DZ137">
            <v>0</v>
          </cell>
          <cell r="EA137">
            <v>0</v>
          </cell>
          <cell r="EB137">
            <v>0</v>
          </cell>
          <cell r="ED137">
            <v>69999.959999999992</v>
          </cell>
          <cell r="EE137">
            <v>0</v>
          </cell>
          <cell r="EF137">
            <v>0</v>
          </cell>
          <cell r="EG137">
            <v>0</v>
          </cell>
          <cell r="EH137" t="str">
            <v>Macquarrie       C  Mr</v>
          </cell>
          <cell r="EI137">
            <v>4685</v>
          </cell>
          <cell r="EJ137">
            <v>-1041.6500000000001</v>
          </cell>
          <cell r="EK137">
            <v>0</v>
          </cell>
        </row>
        <row r="138">
          <cell r="I138" t="str">
            <v>Hodge            E  Miss</v>
          </cell>
          <cell r="J138">
            <v>5180</v>
          </cell>
          <cell r="K138">
            <v>20</v>
          </cell>
          <cell r="L138">
            <v>3083.33</v>
          </cell>
          <cell r="M138">
            <v>0</v>
          </cell>
          <cell r="N138">
            <v>0</v>
          </cell>
          <cell r="O138">
            <v>0</v>
          </cell>
          <cell r="P138">
            <v>0</v>
          </cell>
          <cell r="Q138">
            <v>0</v>
          </cell>
          <cell r="R138">
            <v>0</v>
          </cell>
          <cell r="S138">
            <v>2971.37</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6704.7</v>
          </cell>
          <cell r="BA138">
            <v>0</v>
          </cell>
          <cell r="BB138">
            <v>0</v>
          </cell>
          <cell r="BC138">
            <v>0</v>
          </cell>
          <cell r="BD138">
            <v>0</v>
          </cell>
          <cell r="BE138">
            <v>0</v>
          </cell>
          <cell r="BF138">
            <v>650</v>
          </cell>
          <cell r="BM138">
            <v>295.16000000000003</v>
          </cell>
          <cell r="BN138">
            <v>0</v>
          </cell>
          <cell r="BO138">
            <v>2011.9</v>
          </cell>
          <cell r="BP138">
            <v>1753.11</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805.89</v>
          </cell>
          <cell r="CP138">
            <v>0</v>
          </cell>
          <cell r="CQ138">
            <v>0</v>
          </cell>
          <cell r="CR138">
            <v>0</v>
          </cell>
          <cell r="CS138">
            <v>0</v>
          </cell>
          <cell r="CT138">
            <v>0</v>
          </cell>
          <cell r="CU138">
            <v>7818.92</v>
          </cell>
          <cell r="CV138">
            <v>0</v>
          </cell>
          <cell r="CW138">
            <v>0</v>
          </cell>
          <cell r="CX138">
            <v>0</v>
          </cell>
          <cell r="CY138">
            <v>120.25</v>
          </cell>
          <cell r="CZ138">
            <v>308.33</v>
          </cell>
          <cell r="DR138">
            <v>0</v>
          </cell>
          <cell r="DS138">
            <v>0</v>
          </cell>
          <cell r="DT138">
            <v>0</v>
          </cell>
          <cell r="DU138">
            <v>0</v>
          </cell>
          <cell r="DW138" t="str">
            <v>1</v>
          </cell>
          <cell r="DX138" t="str">
            <v>1</v>
          </cell>
          <cell r="DY138">
            <v>0</v>
          </cell>
          <cell r="DZ138">
            <v>0</v>
          </cell>
          <cell r="EA138">
            <v>0</v>
          </cell>
          <cell r="EB138">
            <v>0</v>
          </cell>
          <cell r="ED138">
            <v>36999.96</v>
          </cell>
          <cell r="EE138">
            <v>0</v>
          </cell>
          <cell r="EF138">
            <v>0</v>
          </cell>
          <cell r="EG138">
            <v>0</v>
          </cell>
          <cell r="EH138" t="str">
            <v>Hodge            E  Miss</v>
          </cell>
          <cell r="EI138">
            <v>4709</v>
          </cell>
          <cell r="EJ138">
            <v>0</v>
          </cell>
          <cell r="EK138">
            <v>0</v>
          </cell>
        </row>
        <row r="139">
          <cell r="I139" t="str">
            <v>Humby            R  Mr</v>
          </cell>
          <cell r="J139">
            <v>5190</v>
          </cell>
          <cell r="K139">
            <v>20</v>
          </cell>
          <cell r="L139">
            <v>2250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2250</v>
          </cell>
          <cell r="BM139">
            <v>202.62</v>
          </cell>
          <cell r="BN139">
            <v>0</v>
          </cell>
          <cell r="BO139">
            <v>384.11</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235.78</v>
          </cell>
          <cell r="CP139">
            <v>0</v>
          </cell>
          <cell r="CQ139">
            <v>0</v>
          </cell>
          <cell r="CR139">
            <v>0</v>
          </cell>
          <cell r="CS139">
            <v>0</v>
          </cell>
          <cell r="CT139">
            <v>0</v>
          </cell>
          <cell r="CU139">
            <v>2710.78</v>
          </cell>
          <cell r="CV139">
            <v>0</v>
          </cell>
          <cell r="CW139">
            <v>0</v>
          </cell>
          <cell r="CX139">
            <v>0</v>
          </cell>
          <cell r="CY139">
            <v>351</v>
          </cell>
          <cell r="CZ139">
            <v>225</v>
          </cell>
          <cell r="DR139">
            <v>0</v>
          </cell>
          <cell r="DS139">
            <v>0</v>
          </cell>
          <cell r="DT139">
            <v>0</v>
          </cell>
          <cell r="DU139">
            <v>0</v>
          </cell>
          <cell r="DW139">
            <v>0</v>
          </cell>
          <cell r="DX139" t="str">
            <v>1</v>
          </cell>
          <cell r="DY139">
            <v>0</v>
          </cell>
          <cell r="DZ139">
            <v>0</v>
          </cell>
          <cell r="EA139">
            <v>0</v>
          </cell>
          <cell r="EB139">
            <v>0</v>
          </cell>
          <cell r="ED139">
            <v>27000</v>
          </cell>
          <cell r="EE139" t="str">
            <v>1</v>
          </cell>
          <cell r="EF139">
            <v>0</v>
          </cell>
          <cell r="EG139">
            <v>0</v>
          </cell>
          <cell r="EH139" t="str">
            <v>Humby            R  Mr</v>
          </cell>
          <cell r="EI139">
            <v>2879</v>
          </cell>
          <cell r="EJ139">
            <v>0</v>
          </cell>
          <cell r="EK139">
            <v>0</v>
          </cell>
        </row>
        <row r="140">
          <cell r="I140" t="str">
            <v>Smith            C  Mrs</v>
          </cell>
          <cell r="J140">
            <v>5190</v>
          </cell>
          <cell r="K140">
            <v>20</v>
          </cell>
          <cell r="L140">
            <v>1416.66</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1416.66</v>
          </cell>
          <cell r="BM140">
            <v>111.1</v>
          </cell>
          <cell r="BN140">
            <v>0</v>
          </cell>
          <cell r="BO140">
            <v>202.85</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129.28</v>
          </cell>
          <cell r="CP140">
            <v>0</v>
          </cell>
          <cell r="CQ140">
            <v>0</v>
          </cell>
          <cell r="CR140">
            <v>0</v>
          </cell>
          <cell r="CS140">
            <v>0</v>
          </cell>
          <cell r="CT140">
            <v>0</v>
          </cell>
          <cell r="CU140">
            <v>1687.61</v>
          </cell>
          <cell r="CV140">
            <v>0</v>
          </cell>
          <cell r="CW140">
            <v>141.66999999999999</v>
          </cell>
          <cell r="CX140">
            <v>0</v>
          </cell>
          <cell r="CY140">
            <v>55.25</v>
          </cell>
          <cell r="CZ140">
            <v>141.66999999999999</v>
          </cell>
          <cell r="DR140">
            <v>0</v>
          </cell>
          <cell r="DS140">
            <v>0</v>
          </cell>
          <cell r="DT140">
            <v>0</v>
          </cell>
          <cell r="DU140">
            <v>0</v>
          </cell>
          <cell r="DW140">
            <v>0</v>
          </cell>
          <cell r="DX140" t="str">
            <v>1</v>
          </cell>
          <cell r="DY140">
            <v>0</v>
          </cell>
          <cell r="DZ140">
            <v>0</v>
          </cell>
          <cell r="EA140">
            <v>0</v>
          </cell>
          <cell r="EB140">
            <v>0</v>
          </cell>
          <cell r="ED140">
            <v>16999.920000000002</v>
          </cell>
          <cell r="EE140" t="str">
            <v>1</v>
          </cell>
          <cell r="EF140">
            <v>0</v>
          </cell>
          <cell r="EG140">
            <v>0</v>
          </cell>
          <cell r="EH140" t="str">
            <v>Smith            C  Mrs</v>
          </cell>
          <cell r="EI140">
            <v>4515</v>
          </cell>
          <cell r="EJ140">
            <v>0</v>
          </cell>
          <cell r="EK140">
            <v>0</v>
          </cell>
        </row>
        <row r="141">
          <cell r="I141" t="str">
            <v>Edwards          DW Mr</v>
          </cell>
          <cell r="J141">
            <v>5190</v>
          </cell>
          <cell r="K141">
            <v>20</v>
          </cell>
          <cell r="L141">
            <v>3958.33</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4608.33</v>
          </cell>
          <cell r="BA141">
            <v>0</v>
          </cell>
          <cell r="BB141">
            <v>0</v>
          </cell>
          <cell r="BC141">
            <v>0</v>
          </cell>
          <cell r="BD141">
            <v>0</v>
          </cell>
          <cell r="BE141">
            <v>0</v>
          </cell>
          <cell r="BF141">
            <v>650</v>
          </cell>
          <cell r="BM141">
            <v>274.2</v>
          </cell>
          <cell r="BN141">
            <v>0</v>
          </cell>
          <cell r="BO141">
            <v>1085.5</v>
          </cell>
          <cell r="BP141">
            <v>0</v>
          </cell>
          <cell r="BQ141">
            <v>0</v>
          </cell>
          <cell r="BR141">
            <v>0</v>
          </cell>
          <cell r="BS141">
            <v>0</v>
          </cell>
          <cell r="BT141">
            <v>0</v>
          </cell>
          <cell r="BU141">
            <v>0</v>
          </cell>
          <cell r="BV141">
            <v>0</v>
          </cell>
          <cell r="BW141">
            <v>0</v>
          </cell>
          <cell r="BX141">
            <v>0</v>
          </cell>
          <cell r="BY141">
            <v>0</v>
          </cell>
          <cell r="BZ141">
            <v>0</v>
          </cell>
          <cell r="CA141">
            <v>0</v>
          </cell>
          <cell r="CB141">
            <v>0</v>
          </cell>
          <cell r="CC141">
            <v>0</v>
          </cell>
          <cell r="CD141">
            <v>0</v>
          </cell>
          <cell r="CE141">
            <v>0</v>
          </cell>
          <cell r="CF141">
            <v>0</v>
          </cell>
          <cell r="CG141">
            <v>0</v>
          </cell>
          <cell r="CH141">
            <v>0</v>
          </cell>
          <cell r="CI141">
            <v>0</v>
          </cell>
          <cell r="CJ141">
            <v>0</v>
          </cell>
          <cell r="CK141">
            <v>0</v>
          </cell>
          <cell r="CL141">
            <v>0</v>
          </cell>
          <cell r="CM141">
            <v>0</v>
          </cell>
          <cell r="CN141">
            <v>0</v>
          </cell>
          <cell r="CO141">
            <v>537.6</v>
          </cell>
          <cell r="CP141">
            <v>0</v>
          </cell>
          <cell r="CQ141">
            <v>0</v>
          </cell>
          <cell r="CR141">
            <v>0</v>
          </cell>
          <cell r="CS141">
            <v>0</v>
          </cell>
          <cell r="CT141">
            <v>0</v>
          </cell>
          <cell r="CU141">
            <v>5739.68</v>
          </cell>
          <cell r="CV141">
            <v>197.92</v>
          </cell>
          <cell r="CW141">
            <v>0</v>
          </cell>
          <cell r="CX141">
            <v>0</v>
          </cell>
          <cell r="CY141">
            <v>463.12</v>
          </cell>
          <cell r="CZ141">
            <v>593.75</v>
          </cell>
          <cell r="DR141">
            <v>0</v>
          </cell>
          <cell r="DS141">
            <v>0</v>
          </cell>
          <cell r="DT141">
            <v>0</v>
          </cell>
          <cell r="DU141">
            <v>0</v>
          </cell>
          <cell r="DW141" t="str">
            <v>1</v>
          </cell>
          <cell r="DX141" t="str">
            <v>1</v>
          </cell>
          <cell r="DY141">
            <v>0</v>
          </cell>
          <cell r="DZ141" t="str">
            <v>1</v>
          </cell>
          <cell r="EA141">
            <v>0</v>
          </cell>
          <cell r="EB141">
            <v>0</v>
          </cell>
          <cell r="ED141">
            <v>47499.96</v>
          </cell>
          <cell r="EE141">
            <v>0</v>
          </cell>
          <cell r="EF141">
            <v>0</v>
          </cell>
          <cell r="EG141">
            <v>0</v>
          </cell>
          <cell r="EH141" t="str">
            <v>Edwards          DW Mr</v>
          </cell>
          <cell r="EI141">
            <v>4545</v>
          </cell>
          <cell r="EJ141">
            <v>0</v>
          </cell>
          <cell r="EK141">
            <v>0</v>
          </cell>
        </row>
        <row r="142">
          <cell r="I142" t="str">
            <v>Dainton          DW Mr</v>
          </cell>
          <cell r="J142">
            <v>5190</v>
          </cell>
          <cell r="K142">
            <v>20</v>
          </cell>
          <cell r="L142">
            <v>2291.66</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228.69</v>
          </cell>
          <cell r="AS142">
            <v>0</v>
          </cell>
          <cell r="AT142">
            <v>0</v>
          </cell>
          <cell r="AU142">
            <v>0</v>
          </cell>
          <cell r="AV142">
            <v>0</v>
          </cell>
          <cell r="AW142">
            <v>0</v>
          </cell>
          <cell r="AX142">
            <v>0</v>
          </cell>
          <cell r="AY142">
            <v>0</v>
          </cell>
          <cell r="AZ142">
            <v>2520.35</v>
          </cell>
          <cell r="BA142">
            <v>12</v>
          </cell>
          <cell r="BB142">
            <v>228.69</v>
          </cell>
          <cell r="BC142">
            <v>0</v>
          </cell>
          <cell r="BD142">
            <v>57.17</v>
          </cell>
          <cell r="BM142">
            <v>232.54</v>
          </cell>
          <cell r="BN142">
            <v>0</v>
          </cell>
          <cell r="BO142">
            <v>443.75</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270.58999999999997</v>
          </cell>
          <cell r="CP142">
            <v>0</v>
          </cell>
          <cell r="CQ142">
            <v>0</v>
          </cell>
          <cell r="CR142">
            <v>0</v>
          </cell>
          <cell r="CS142">
            <v>0</v>
          </cell>
          <cell r="CT142">
            <v>0</v>
          </cell>
          <cell r="CU142">
            <v>3020.11</v>
          </cell>
          <cell r="CV142">
            <v>229.16</v>
          </cell>
          <cell r="CW142">
            <v>0</v>
          </cell>
          <cell r="CX142">
            <v>0</v>
          </cell>
          <cell r="CY142">
            <v>268.12</v>
          </cell>
          <cell r="CZ142">
            <v>229.17</v>
          </cell>
          <cell r="DA142">
            <v>0</v>
          </cell>
          <cell r="DB142">
            <v>0</v>
          </cell>
          <cell r="DC142">
            <v>0</v>
          </cell>
          <cell r="DD142">
            <v>0</v>
          </cell>
          <cell r="DE142">
            <v>0</v>
          </cell>
          <cell r="DF142">
            <v>0</v>
          </cell>
          <cell r="DG142">
            <v>29.11</v>
          </cell>
          <cell r="DR142">
            <v>0</v>
          </cell>
          <cell r="DS142">
            <v>0</v>
          </cell>
          <cell r="DT142">
            <v>0</v>
          </cell>
          <cell r="DU142">
            <v>0</v>
          </cell>
          <cell r="DW142">
            <v>0</v>
          </cell>
          <cell r="DX142" t="str">
            <v>1</v>
          </cell>
          <cell r="DY142">
            <v>0</v>
          </cell>
          <cell r="DZ142" t="str">
            <v>1</v>
          </cell>
          <cell r="EA142">
            <v>0</v>
          </cell>
          <cell r="EB142">
            <v>0</v>
          </cell>
          <cell r="ED142">
            <v>27499.919999999998</v>
          </cell>
          <cell r="EE142" t="str">
            <v>1</v>
          </cell>
          <cell r="EF142">
            <v>228.69</v>
          </cell>
          <cell r="EG142" t="str">
            <v>1</v>
          </cell>
          <cell r="EH142" t="str">
            <v>Dainton          DW Mr</v>
          </cell>
          <cell r="EI142">
            <v>4751</v>
          </cell>
          <cell r="EJ142">
            <v>0</v>
          </cell>
          <cell r="EK142">
            <v>0</v>
          </cell>
        </row>
        <row r="143">
          <cell r="I143" t="str">
            <v>Smith            AJ Mr</v>
          </cell>
          <cell r="J143">
            <v>5440</v>
          </cell>
          <cell r="K143">
            <v>350</v>
          </cell>
          <cell r="L143">
            <v>3375</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3900</v>
          </cell>
          <cell r="BA143">
            <v>0</v>
          </cell>
          <cell r="BB143">
            <v>0</v>
          </cell>
          <cell r="BC143">
            <v>0</v>
          </cell>
          <cell r="BD143">
            <v>0</v>
          </cell>
          <cell r="BE143">
            <v>0</v>
          </cell>
          <cell r="BF143">
            <v>525</v>
          </cell>
          <cell r="BM143">
            <v>267.12</v>
          </cell>
          <cell r="BN143">
            <v>0</v>
          </cell>
          <cell r="BO143">
            <v>846.7</v>
          </cell>
          <cell r="BP143">
            <v>0</v>
          </cell>
          <cell r="BQ143">
            <v>0</v>
          </cell>
          <cell r="BR143">
            <v>0</v>
          </cell>
          <cell r="BS143">
            <v>0</v>
          </cell>
          <cell r="BT143">
            <v>0</v>
          </cell>
          <cell r="BU143">
            <v>0</v>
          </cell>
          <cell r="BV143">
            <v>0</v>
          </cell>
          <cell r="BW143">
            <v>0</v>
          </cell>
          <cell r="BX143">
            <v>0</v>
          </cell>
          <cell r="BY143">
            <v>0</v>
          </cell>
          <cell r="BZ143">
            <v>76</v>
          </cell>
          <cell r="CA143">
            <v>0</v>
          </cell>
          <cell r="CB143">
            <v>0</v>
          </cell>
          <cell r="CC143">
            <v>0</v>
          </cell>
          <cell r="CD143">
            <v>0</v>
          </cell>
          <cell r="CE143">
            <v>0</v>
          </cell>
          <cell r="CF143">
            <v>0</v>
          </cell>
          <cell r="CG143">
            <v>0</v>
          </cell>
          <cell r="CH143">
            <v>0</v>
          </cell>
          <cell r="CI143">
            <v>0</v>
          </cell>
          <cell r="CJ143">
            <v>0</v>
          </cell>
          <cell r="CK143">
            <v>0</v>
          </cell>
          <cell r="CL143">
            <v>0</v>
          </cell>
          <cell r="CM143">
            <v>0</v>
          </cell>
          <cell r="CN143">
            <v>0</v>
          </cell>
          <cell r="CO143">
            <v>446.98</v>
          </cell>
          <cell r="CP143">
            <v>0</v>
          </cell>
          <cell r="CQ143">
            <v>0</v>
          </cell>
          <cell r="CR143">
            <v>0</v>
          </cell>
          <cell r="CS143">
            <v>0</v>
          </cell>
          <cell r="CT143">
            <v>0</v>
          </cell>
          <cell r="CU143">
            <v>4684.4799999999996</v>
          </cell>
          <cell r="CV143">
            <v>135</v>
          </cell>
          <cell r="CW143">
            <v>0</v>
          </cell>
          <cell r="CX143">
            <v>0</v>
          </cell>
          <cell r="CY143">
            <v>131.63</v>
          </cell>
          <cell r="CZ143">
            <v>337.5</v>
          </cell>
          <cell r="DR143">
            <v>0</v>
          </cell>
          <cell r="DS143">
            <v>0</v>
          </cell>
          <cell r="DT143">
            <v>0</v>
          </cell>
          <cell r="DU143" t="str">
            <v>1</v>
          </cell>
          <cell r="DV143">
            <v>22</v>
          </cell>
          <cell r="DW143" t="str">
            <v>1</v>
          </cell>
          <cell r="DX143" t="str">
            <v>1</v>
          </cell>
          <cell r="DY143">
            <v>0</v>
          </cell>
          <cell r="DZ143" t="str">
            <v>1</v>
          </cell>
          <cell r="EA143">
            <v>0</v>
          </cell>
          <cell r="EB143">
            <v>0</v>
          </cell>
          <cell r="ED143">
            <v>40500</v>
          </cell>
          <cell r="EE143">
            <v>0</v>
          </cell>
          <cell r="EF143">
            <v>0</v>
          </cell>
          <cell r="EG143">
            <v>0</v>
          </cell>
          <cell r="EH143" t="str">
            <v>Smith            AJ Mr</v>
          </cell>
          <cell r="EI143">
            <v>4662</v>
          </cell>
          <cell r="EJ143">
            <v>0</v>
          </cell>
          <cell r="EK143">
            <v>0</v>
          </cell>
        </row>
        <row r="144">
          <cell r="I144" t="str">
            <v>Nisani           M  Mr</v>
          </cell>
          <cell r="J144">
            <v>5440</v>
          </cell>
          <cell r="K144">
            <v>350</v>
          </cell>
          <cell r="L144">
            <v>7083.33</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7911.33</v>
          </cell>
          <cell r="BA144">
            <v>0</v>
          </cell>
          <cell r="BB144">
            <v>0</v>
          </cell>
          <cell r="BC144">
            <v>0</v>
          </cell>
          <cell r="BD144">
            <v>0</v>
          </cell>
          <cell r="BE144">
            <v>0</v>
          </cell>
          <cell r="BF144">
            <v>828</v>
          </cell>
          <cell r="BM144">
            <v>307.23</v>
          </cell>
          <cell r="BN144">
            <v>0</v>
          </cell>
          <cell r="BO144">
            <v>2496.6999999999998</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960.39</v>
          </cell>
          <cell r="CP144">
            <v>0</v>
          </cell>
          <cell r="CQ144">
            <v>0</v>
          </cell>
          <cell r="CR144">
            <v>0</v>
          </cell>
          <cell r="CS144">
            <v>0</v>
          </cell>
          <cell r="CT144">
            <v>0</v>
          </cell>
          <cell r="CU144">
            <v>9580.0499999999993</v>
          </cell>
          <cell r="CV144">
            <v>708.33</v>
          </cell>
          <cell r="CW144">
            <v>0</v>
          </cell>
          <cell r="CX144">
            <v>0</v>
          </cell>
          <cell r="CY144">
            <v>276.25</v>
          </cell>
          <cell r="CZ144">
            <v>708.33</v>
          </cell>
          <cell r="DR144">
            <v>0</v>
          </cell>
          <cell r="DS144">
            <v>0</v>
          </cell>
          <cell r="DT144">
            <v>0</v>
          </cell>
          <cell r="DU144">
            <v>0</v>
          </cell>
          <cell r="DW144" t="str">
            <v>1</v>
          </cell>
          <cell r="DX144" t="str">
            <v>1</v>
          </cell>
          <cell r="DY144">
            <v>0</v>
          </cell>
          <cell r="DZ144" t="str">
            <v>1</v>
          </cell>
          <cell r="EA144">
            <v>0</v>
          </cell>
          <cell r="EB144">
            <v>0</v>
          </cell>
          <cell r="ED144">
            <v>84999.959999999992</v>
          </cell>
          <cell r="EE144">
            <v>0</v>
          </cell>
          <cell r="EF144">
            <v>0</v>
          </cell>
          <cell r="EG144">
            <v>0</v>
          </cell>
          <cell r="EH144" t="str">
            <v>Nisani           M  Mr</v>
          </cell>
          <cell r="EI144">
            <v>4913</v>
          </cell>
          <cell r="EJ144">
            <v>-1000</v>
          </cell>
          <cell r="EK144">
            <v>0</v>
          </cell>
        </row>
        <row r="145">
          <cell r="I145" t="str">
            <v>Lillywhite       K  Miss</v>
          </cell>
          <cell r="J145">
            <v>5610</v>
          </cell>
          <cell r="K145">
            <v>20</v>
          </cell>
          <cell r="L145">
            <v>3250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6185.67</v>
          </cell>
          <cell r="BA145">
            <v>0</v>
          </cell>
          <cell r="BB145">
            <v>0</v>
          </cell>
          <cell r="BC145">
            <v>0</v>
          </cell>
          <cell r="BD145">
            <v>0</v>
          </cell>
          <cell r="BE145">
            <v>0</v>
          </cell>
          <cell r="BF145">
            <v>650</v>
          </cell>
          <cell r="BG145">
            <v>0</v>
          </cell>
          <cell r="BH145">
            <v>2285.67</v>
          </cell>
          <cell r="BM145">
            <v>289.97000000000003</v>
          </cell>
          <cell r="BN145">
            <v>0</v>
          </cell>
          <cell r="BO145">
            <v>1816.7</v>
          </cell>
          <cell r="BP145">
            <v>1348.55</v>
          </cell>
          <cell r="BQ145">
            <v>0</v>
          </cell>
          <cell r="BR145">
            <v>0</v>
          </cell>
          <cell r="BS145">
            <v>0</v>
          </cell>
          <cell r="BT145">
            <v>0</v>
          </cell>
          <cell r="BU145">
            <v>0</v>
          </cell>
          <cell r="BV145">
            <v>7.36</v>
          </cell>
          <cell r="BW145">
            <v>0</v>
          </cell>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N145">
            <v>0</v>
          </cell>
          <cell r="CO145">
            <v>739.46</v>
          </cell>
          <cell r="CP145">
            <v>0</v>
          </cell>
          <cell r="CQ145">
            <v>0</v>
          </cell>
          <cell r="CR145">
            <v>0</v>
          </cell>
          <cell r="CS145">
            <v>0</v>
          </cell>
          <cell r="CT145">
            <v>0</v>
          </cell>
          <cell r="CU145">
            <v>7250.13</v>
          </cell>
          <cell r="CV145">
            <v>0</v>
          </cell>
          <cell r="CW145">
            <v>260</v>
          </cell>
          <cell r="CX145">
            <v>0</v>
          </cell>
          <cell r="CY145">
            <v>126.75</v>
          </cell>
          <cell r="CZ145">
            <v>325</v>
          </cell>
          <cell r="DR145" t="str">
            <v>1</v>
          </cell>
          <cell r="DS145">
            <v>0</v>
          </cell>
          <cell r="DT145">
            <v>0</v>
          </cell>
          <cell r="DU145">
            <v>0</v>
          </cell>
          <cell r="DW145" t="str">
            <v>1</v>
          </cell>
          <cell r="DX145" t="str">
            <v>1</v>
          </cell>
          <cell r="DY145">
            <v>0</v>
          </cell>
          <cell r="DZ145">
            <v>0</v>
          </cell>
          <cell r="EA145">
            <v>0</v>
          </cell>
          <cell r="EB145">
            <v>0</v>
          </cell>
          <cell r="ED145">
            <v>39000</v>
          </cell>
          <cell r="EE145">
            <v>0</v>
          </cell>
          <cell r="EF145">
            <v>0</v>
          </cell>
          <cell r="EG145">
            <v>0</v>
          </cell>
          <cell r="EH145" t="str">
            <v>Lillywhite       K  Miss</v>
          </cell>
          <cell r="EI145">
            <v>4251</v>
          </cell>
          <cell r="EK145">
            <v>0</v>
          </cell>
        </row>
        <row r="146">
          <cell r="I146" t="str">
            <v>Snook            S  Miss</v>
          </cell>
          <cell r="J146">
            <v>5610</v>
          </cell>
          <cell r="K146">
            <v>20</v>
          </cell>
          <cell r="L146">
            <v>1366.5</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1366.5</v>
          </cell>
          <cell r="BM146">
            <v>105.38</v>
          </cell>
          <cell r="BN146">
            <v>0</v>
          </cell>
          <cell r="BO146">
            <v>191.85</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122.62</v>
          </cell>
          <cell r="CP146">
            <v>0</v>
          </cell>
          <cell r="CQ146">
            <v>0</v>
          </cell>
          <cell r="CR146">
            <v>0</v>
          </cell>
          <cell r="CS146">
            <v>0</v>
          </cell>
          <cell r="CT146">
            <v>0</v>
          </cell>
          <cell r="CU146">
            <v>1625.77</v>
          </cell>
          <cell r="CV146">
            <v>0</v>
          </cell>
          <cell r="CW146">
            <v>0</v>
          </cell>
          <cell r="CX146">
            <v>0</v>
          </cell>
          <cell r="CY146">
            <v>53.29</v>
          </cell>
          <cell r="CZ146">
            <v>136.65</v>
          </cell>
          <cell r="DR146">
            <v>0</v>
          </cell>
          <cell r="DS146">
            <v>0</v>
          </cell>
          <cell r="DT146">
            <v>0</v>
          </cell>
          <cell r="DU146">
            <v>0</v>
          </cell>
          <cell r="DW146">
            <v>0</v>
          </cell>
          <cell r="DX146" t="str">
            <v>1</v>
          </cell>
          <cell r="DY146">
            <v>0</v>
          </cell>
          <cell r="DZ146">
            <v>0</v>
          </cell>
          <cell r="EA146">
            <v>0</v>
          </cell>
          <cell r="EB146">
            <v>0</v>
          </cell>
          <cell r="ED146">
            <v>16398</v>
          </cell>
          <cell r="EE146" t="str">
            <v>1</v>
          </cell>
          <cell r="EF146">
            <v>0</v>
          </cell>
          <cell r="EG146">
            <v>0</v>
          </cell>
          <cell r="EH146" t="str">
            <v>Snook            S  Miss</v>
          </cell>
          <cell r="EI146">
            <v>4538</v>
          </cell>
          <cell r="EJ146">
            <v>-1500</v>
          </cell>
          <cell r="EK146">
            <v>0</v>
          </cell>
        </row>
        <row r="147">
          <cell r="I147" t="str">
            <v>Roberts          MA Mr</v>
          </cell>
          <cell r="J147">
            <v>5610</v>
          </cell>
          <cell r="K147">
            <v>20</v>
          </cell>
          <cell r="L147">
            <v>7083.33</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88057.85</v>
          </cell>
          <cell r="BA147">
            <v>0</v>
          </cell>
          <cell r="BB147">
            <v>0</v>
          </cell>
          <cell r="BC147">
            <v>0</v>
          </cell>
          <cell r="BD147">
            <v>0</v>
          </cell>
          <cell r="BE147">
            <v>0</v>
          </cell>
          <cell r="BF147">
            <v>825</v>
          </cell>
          <cell r="BG147">
            <v>0</v>
          </cell>
          <cell r="BH147">
            <v>4321.34</v>
          </cell>
          <cell r="BI147">
            <v>0</v>
          </cell>
          <cell r="BJ147">
            <v>75828.179999999993</v>
          </cell>
          <cell r="BM147">
            <v>1108.69</v>
          </cell>
          <cell r="BN147">
            <v>0</v>
          </cell>
          <cell r="BO147">
            <v>34463.1</v>
          </cell>
          <cell r="BP147">
            <v>47288.22</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11219.08</v>
          </cell>
          <cell r="CP147">
            <v>0</v>
          </cell>
          <cell r="CQ147">
            <v>0</v>
          </cell>
          <cell r="CR147">
            <v>0</v>
          </cell>
          <cell r="CS147">
            <v>0</v>
          </cell>
          <cell r="CT147">
            <v>0</v>
          </cell>
          <cell r="CU147">
            <v>101047.76</v>
          </cell>
          <cell r="CV147">
            <v>700</v>
          </cell>
          <cell r="CW147">
            <v>0</v>
          </cell>
          <cell r="CX147">
            <v>0</v>
          </cell>
          <cell r="CY147">
            <v>0</v>
          </cell>
          <cell r="CZ147">
            <v>0</v>
          </cell>
          <cell r="DA147">
            <v>0</v>
          </cell>
          <cell r="DB147">
            <v>354.17</v>
          </cell>
          <cell r="DC147">
            <v>1770.83</v>
          </cell>
          <cell r="DR147">
            <v>0</v>
          </cell>
          <cell r="DS147">
            <v>0</v>
          </cell>
          <cell r="DT147">
            <v>0</v>
          </cell>
          <cell r="DU147">
            <v>0</v>
          </cell>
          <cell r="DW147" t="str">
            <v>1</v>
          </cell>
          <cell r="DX147">
            <v>0</v>
          </cell>
          <cell r="DY147" t="str">
            <v>1</v>
          </cell>
          <cell r="DZ147" t="str">
            <v>1</v>
          </cell>
          <cell r="EA147" t="str">
            <v>1</v>
          </cell>
          <cell r="EB147">
            <v>0</v>
          </cell>
          <cell r="ED147">
            <v>84999.959999999992</v>
          </cell>
          <cell r="EE147">
            <v>0</v>
          </cell>
          <cell r="EF147">
            <v>0</v>
          </cell>
          <cell r="EG147">
            <v>0</v>
          </cell>
          <cell r="EH147" t="str">
            <v>Roberts          MA Mr</v>
          </cell>
          <cell r="EI147">
            <v>4643</v>
          </cell>
          <cell r="EJ147">
            <v>0</v>
          </cell>
          <cell r="EK147">
            <v>0</v>
          </cell>
        </row>
        <row r="148">
          <cell r="I148" t="str">
            <v>Pumfrey          C  Mr</v>
          </cell>
          <cell r="J148">
            <v>5610</v>
          </cell>
          <cell r="K148">
            <v>20</v>
          </cell>
          <cell r="L148">
            <v>3583.33</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20887.52</v>
          </cell>
          <cell r="BA148">
            <v>0</v>
          </cell>
          <cell r="BB148">
            <v>0</v>
          </cell>
          <cell r="BC148">
            <v>0</v>
          </cell>
          <cell r="BD148">
            <v>0</v>
          </cell>
          <cell r="BE148">
            <v>0</v>
          </cell>
          <cell r="BF148">
            <v>650</v>
          </cell>
          <cell r="BG148">
            <v>0</v>
          </cell>
          <cell r="BH148">
            <v>2285.67</v>
          </cell>
          <cell r="BI148">
            <v>0</v>
          </cell>
          <cell r="BJ148">
            <v>14368.52</v>
          </cell>
          <cell r="BM148">
            <v>436.99</v>
          </cell>
          <cell r="BN148">
            <v>0</v>
          </cell>
          <cell r="BO148">
            <v>7741.1</v>
          </cell>
          <cell r="BP148">
            <v>9825.98</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2621.3200000000002</v>
          </cell>
          <cell r="CP148">
            <v>0</v>
          </cell>
          <cell r="CQ148">
            <v>0</v>
          </cell>
          <cell r="CR148">
            <v>0</v>
          </cell>
          <cell r="CS148">
            <v>0</v>
          </cell>
          <cell r="CT148">
            <v>0</v>
          </cell>
          <cell r="CU148">
            <v>23867.17</v>
          </cell>
          <cell r="CV148">
            <v>179.16</v>
          </cell>
          <cell r="CW148">
            <v>0</v>
          </cell>
          <cell r="CX148">
            <v>0</v>
          </cell>
          <cell r="CY148">
            <v>209.62</v>
          </cell>
          <cell r="CZ148">
            <v>358.33</v>
          </cell>
          <cell r="DR148">
            <v>0</v>
          </cell>
          <cell r="DS148">
            <v>0</v>
          </cell>
          <cell r="DT148">
            <v>0</v>
          </cell>
          <cell r="DU148">
            <v>0</v>
          </cell>
          <cell r="DW148" t="str">
            <v>1</v>
          </cell>
          <cell r="DX148" t="str">
            <v>1</v>
          </cell>
          <cell r="DY148">
            <v>0</v>
          </cell>
          <cell r="DZ148" t="str">
            <v>1</v>
          </cell>
          <cell r="EA148">
            <v>0</v>
          </cell>
          <cell r="EB148">
            <v>0</v>
          </cell>
          <cell r="ED148">
            <v>42999.96</v>
          </cell>
          <cell r="EE148">
            <v>0</v>
          </cell>
          <cell r="EF148">
            <v>0</v>
          </cell>
          <cell r="EG148">
            <v>0</v>
          </cell>
          <cell r="EH148" t="str">
            <v>Pumfrey          C  Mr</v>
          </cell>
          <cell r="EI148">
            <v>4715</v>
          </cell>
          <cell r="EJ148">
            <v>0</v>
          </cell>
          <cell r="EK148">
            <v>0</v>
          </cell>
        </row>
        <row r="149">
          <cell r="I149" t="str">
            <v>Wright           SJ Mr</v>
          </cell>
          <cell r="J149">
            <v>5610</v>
          </cell>
          <cell r="K149">
            <v>20</v>
          </cell>
          <cell r="L149">
            <v>5000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8222.9699999999993</v>
          </cell>
          <cell r="BA149">
            <v>0</v>
          </cell>
          <cell r="BB149">
            <v>0</v>
          </cell>
          <cell r="BC149">
            <v>0</v>
          </cell>
          <cell r="BD149">
            <v>0</v>
          </cell>
          <cell r="BE149">
            <v>0</v>
          </cell>
          <cell r="BF149">
            <v>420</v>
          </cell>
          <cell r="BG149">
            <v>0</v>
          </cell>
          <cell r="BH149">
            <v>2802.97</v>
          </cell>
          <cell r="BM149">
            <v>310.33999999999997</v>
          </cell>
          <cell r="BN149">
            <v>0</v>
          </cell>
          <cell r="BO149">
            <v>2614.3000000000002</v>
          </cell>
          <cell r="BP149">
            <v>1653.75</v>
          </cell>
          <cell r="BQ149">
            <v>0</v>
          </cell>
          <cell r="BR149">
            <v>0</v>
          </cell>
          <cell r="BS149">
            <v>0</v>
          </cell>
          <cell r="BT149">
            <v>0</v>
          </cell>
          <cell r="BU149">
            <v>0</v>
          </cell>
          <cell r="BV149">
            <v>0</v>
          </cell>
          <cell r="BW149">
            <v>0</v>
          </cell>
          <cell r="BX149">
            <v>4.33</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N149">
            <v>0</v>
          </cell>
          <cell r="CO149">
            <v>1000.2</v>
          </cell>
          <cell r="CP149">
            <v>0</v>
          </cell>
          <cell r="CQ149">
            <v>0</v>
          </cell>
          <cell r="CR149">
            <v>0</v>
          </cell>
          <cell r="CS149">
            <v>0</v>
          </cell>
          <cell r="CT149">
            <v>0</v>
          </cell>
          <cell r="CU149">
            <v>9973.17</v>
          </cell>
          <cell r="CV149">
            <v>200</v>
          </cell>
          <cell r="CW149">
            <v>0</v>
          </cell>
          <cell r="CX149">
            <v>0</v>
          </cell>
          <cell r="CY149">
            <v>0</v>
          </cell>
          <cell r="CZ149">
            <v>0</v>
          </cell>
          <cell r="DA149">
            <v>0</v>
          </cell>
          <cell r="DB149">
            <v>550</v>
          </cell>
          <cell r="DC149">
            <v>750</v>
          </cell>
          <cell r="DR149">
            <v>0</v>
          </cell>
          <cell r="DS149" t="str">
            <v>1</v>
          </cell>
          <cell r="DT149">
            <v>0</v>
          </cell>
          <cell r="DU149">
            <v>0</v>
          </cell>
          <cell r="DW149" t="str">
            <v>1</v>
          </cell>
          <cell r="DX149">
            <v>0</v>
          </cell>
          <cell r="DY149" t="str">
            <v>1</v>
          </cell>
          <cell r="DZ149" t="str">
            <v>1</v>
          </cell>
          <cell r="EA149" t="str">
            <v>1</v>
          </cell>
          <cell r="EB149">
            <v>0</v>
          </cell>
          <cell r="ED149">
            <v>60000</v>
          </cell>
          <cell r="EE149">
            <v>0</v>
          </cell>
          <cell r="EF149">
            <v>0</v>
          </cell>
          <cell r="EG149">
            <v>0</v>
          </cell>
          <cell r="EH149" t="str">
            <v>Wright           SJ Mr</v>
          </cell>
          <cell r="EI149">
            <v>4749</v>
          </cell>
          <cell r="EJ149">
            <v>0</v>
          </cell>
          <cell r="EK149">
            <v>0</v>
          </cell>
        </row>
        <row r="150">
          <cell r="I150" t="str">
            <v>Mills            M  Mr</v>
          </cell>
          <cell r="J150">
            <v>5610</v>
          </cell>
          <cell r="K150">
            <v>20</v>
          </cell>
          <cell r="L150">
            <v>2500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2500</v>
          </cell>
          <cell r="BM150">
            <v>230.34</v>
          </cell>
          <cell r="BN150">
            <v>0</v>
          </cell>
          <cell r="BO150">
            <v>329.9</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268.02999999999997</v>
          </cell>
          <cell r="CP150">
            <v>0</v>
          </cell>
          <cell r="CQ150">
            <v>0</v>
          </cell>
          <cell r="CR150">
            <v>0</v>
          </cell>
          <cell r="CS150">
            <v>0</v>
          </cell>
          <cell r="CT150">
            <v>0</v>
          </cell>
          <cell r="CU150">
            <v>3018.03</v>
          </cell>
          <cell r="CV150">
            <v>0</v>
          </cell>
          <cell r="CW150">
            <v>0</v>
          </cell>
          <cell r="CX150">
            <v>0</v>
          </cell>
          <cell r="CY150">
            <v>97.5</v>
          </cell>
          <cell r="CZ150">
            <v>250</v>
          </cell>
          <cell r="DR150">
            <v>0</v>
          </cell>
          <cell r="DS150">
            <v>0</v>
          </cell>
          <cell r="DT150">
            <v>0</v>
          </cell>
          <cell r="DU150">
            <v>0</v>
          </cell>
          <cell r="DW150">
            <v>0</v>
          </cell>
          <cell r="DX150" t="str">
            <v>1</v>
          </cell>
          <cell r="DY150">
            <v>0</v>
          </cell>
          <cell r="DZ150">
            <v>0</v>
          </cell>
          <cell r="EA150">
            <v>0</v>
          </cell>
          <cell r="EB150">
            <v>0</v>
          </cell>
          <cell r="ED150">
            <v>30000</v>
          </cell>
          <cell r="EE150">
            <v>0</v>
          </cell>
          <cell r="EF150">
            <v>0</v>
          </cell>
          <cell r="EG150">
            <v>0</v>
          </cell>
          <cell r="EH150" t="str">
            <v>Mills            M  Mr</v>
          </cell>
          <cell r="EI150">
            <v>4944</v>
          </cell>
          <cell r="EJ150">
            <v>-401.95</v>
          </cell>
          <cell r="EK150">
            <v>0</v>
          </cell>
        </row>
        <row r="151">
          <cell r="I151" t="str">
            <v>Wilkes           G  Mr</v>
          </cell>
          <cell r="J151">
            <v>5610</v>
          </cell>
          <cell r="K151">
            <v>20</v>
          </cell>
          <cell r="L151">
            <v>1583.33</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26.33</v>
          </cell>
          <cell r="AS151">
            <v>0</v>
          </cell>
          <cell r="AT151">
            <v>0</v>
          </cell>
          <cell r="AU151">
            <v>0</v>
          </cell>
          <cell r="AV151">
            <v>0</v>
          </cell>
          <cell r="AW151">
            <v>0</v>
          </cell>
          <cell r="AX151">
            <v>0</v>
          </cell>
          <cell r="AY151">
            <v>0</v>
          </cell>
          <cell r="AZ151">
            <v>1609.66</v>
          </cell>
          <cell r="BA151">
            <v>2</v>
          </cell>
          <cell r="BB151">
            <v>26.33</v>
          </cell>
          <cell r="BC151">
            <v>0</v>
          </cell>
          <cell r="BD151">
            <v>6.58</v>
          </cell>
          <cell r="BM151">
            <v>132.22</v>
          </cell>
          <cell r="BN151">
            <v>0</v>
          </cell>
          <cell r="BO151">
            <v>243.33</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N151">
            <v>0</v>
          </cell>
          <cell r="CO151">
            <v>153.86000000000001</v>
          </cell>
          <cell r="CP151">
            <v>0</v>
          </cell>
          <cell r="CQ151">
            <v>0</v>
          </cell>
          <cell r="CR151">
            <v>0</v>
          </cell>
          <cell r="CS151">
            <v>0</v>
          </cell>
          <cell r="CT151">
            <v>0</v>
          </cell>
          <cell r="CU151">
            <v>1921.85</v>
          </cell>
          <cell r="CV151">
            <v>0</v>
          </cell>
          <cell r="CW151">
            <v>0</v>
          </cell>
          <cell r="CX151">
            <v>0</v>
          </cell>
          <cell r="CY151">
            <v>61.75</v>
          </cell>
          <cell r="CZ151">
            <v>158.33000000000001</v>
          </cell>
          <cell r="DR151">
            <v>0</v>
          </cell>
          <cell r="DS151">
            <v>0</v>
          </cell>
          <cell r="DT151">
            <v>0</v>
          </cell>
          <cell r="DU151">
            <v>0</v>
          </cell>
          <cell r="DW151">
            <v>0</v>
          </cell>
          <cell r="DX151" t="str">
            <v>1</v>
          </cell>
          <cell r="DY151">
            <v>0</v>
          </cell>
          <cell r="DZ151">
            <v>0</v>
          </cell>
          <cell r="EA151">
            <v>0</v>
          </cell>
          <cell r="EB151">
            <v>0</v>
          </cell>
          <cell r="ED151">
            <v>18999.96</v>
          </cell>
          <cell r="EE151" t="str">
            <v>1</v>
          </cell>
          <cell r="EF151">
            <v>26.33</v>
          </cell>
          <cell r="EG151" t="str">
            <v>1</v>
          </cell>
          <cell r="EH151" t="str">
            <v>Wilkes           G  Mr</v>
          </cell>
          <cell r="EI151">
            <v>4958</v>
          </cell>
          <cell r="EJ151">
            <v>-204.15</v>
          </cell>
          <cell r="EK151">
            <v>0</v>
          </cell>
        </row>
        <row r="152">
          <cell r="I152" t="str">
            <v>LEVINSON         W  MISS</v>
          </cell>
          <cell r="J152">
            <v>5610</v>
          </cell>
          <cell r="K152">
            <v>20</v>
          </cell>
          <cell r="L152">
            <v>1908.33</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1908.33</v>
          </cell>
          <cell r="BM152">
            <v>165.22</v>
          </cell>
          <cell r="BN152">
            <v>0</v>
          </cell>
          <cell r="BO152">
            <v>309.11</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192.26</v>
          </cell>
          <cell r="CP152">
            <v>0</v>
          </cell>
          <cell r="CQ152">
            <v>0</v>
          </cell>
          <cell r="CR152">
            <v>0</v>
          </cell>
          <cell r="CS152">
            <v>0</v>
          </cell>
          <cell r="CT152">
            <v>0</v>
          </cell>
          <cell r="CU152">
            <v>2291.42</v>
          </cell>
          <cell r="CV152">
            <v>0</v>
          </cell>
          <cell r="CW152">
            <v>0</v>
          </cell>
          <cell r="CX152">
            <v>0</v>
          </cell>
          <cell r="CY152">
            <v>74.42</v>
          </cell>
          <cell r="CZ152">
            <v>190.83</v>
          </cell>
          <cell r="DR152">
            <v>0</v>
          </cell>
          <cell r="DS152">
            <v>0</v>
          </cell>
          <cell r="DT152">
            <v>0</v>
          </cell>
          <cell r="DU152">
            <v>0</v>
          </cell>
          <cell r="DW152">
            <v>0</v>
          </cell>
          <cell r="DX152" t="str">
            <v>1</v>
          </cell>
          <cell r="DY152">
            <v>0</v>
          </cell>
          <cell r="DZ152">
            <v>0</v>
          </cell>
          <cell r="EA152">
            <v>0</v>
          </cell>
          <cell r="EB152">
            <v>0</v>
          </cell>
          <cell r="ED152">
            <v>22899.96</v>
          </cell>
          <cell r="EE152" t="str">
            <v>1</v>
          </cell>
          <cell r="EF152">
            <v>0</v>
          </cell>
          <cell r="EG152">
            <v>0</v>
          </cell>
          <cell r="EH152" t="str">
            <v>LEVINSON         W  MISS</v>
          </cell>
          <cell r="EI152">
            <v>4993</v>
          </cell>
          <cell r="EJ152">
            <v>-1475</v>
          </cell>
          <cell r="EK152">
            <v>0</v>
          </cell>
        </row>
        <row r="153">
          <cell r="I153" t="str">
            <v>Giles            TG Mr</v>
          </cell>
          <cell r="J153">
            <v>5610</v>
          </cell>
          <cell r="K153">
            <v>30</v>
          </cell>
          <cell r="L153">
            <v>3500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15045.71</v>
          </cell>
          <cell r="BA153">
            <v>0</v>
          </cell>
          <cell r="BB153">
            <v>0</v>
          </cell>
          <cell r="BC153">
            <v>0</v>
          </cell>
          <cell r="BD153">
            <v>0</v>
          </cell>
          <cell r="BE153">
            <v>0</v>
          </cell>
          <cell r="BF153">
            <v>0</v>
          </cell>
          <cell r="BG153">
            <v>0</v>
          </cell>
          <cell r="BH153">
            <v>2458.66</v>
          </cell>
          <cell r="BI153">
            <v>0</v>
          </cell>
          <cell r="BJ153">
            <v>9087.0499999999993</v>
          </cell>
          <cell r="BM153">
            <v>378.57</v>
          </cell>
          <cell r="BN153">
            <v>0</v>
          </cell>
          <cell r="BO153">
            <v>5595.5</v>
          </cell>
          <cell r="BP153">
            <v>6811.97</v>
          </cell>
          <cell r="BQ153">
            <v>60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0</v>
          </cell>
          <cell r="CM153">
            <v>0</v>
          </cell>
          <cell r="CN153">
            <v>0</v>
          </cell>
          <cell r="CO153">
            <v>1873.54</v>
          </cell>
          <cell r="CP153">
            <v>0</v>
          </cell>
          <cell r="CQ153">
            <v>0</v>
          </cell>
          <cell r="CR153">
            <v>0</v>
          </cell>
          <cell r="CS153">
            <v>0</v>
          </cell>
          <cell r="CT153">
            <v>0</v>
          </cell>
          <cell r="CU153">
            <v>17269.25</v>
          </cell>
          <cell r="CV153">
            <v>350</v>
          </cell>
          <cell r="CW153">
            <v>0</v>
          </cell>
          <cell r="CX153">
            <v>0</v>
          </cell>
          <cell r="CY153">
            <v>136.5</v>
          </cell>
          <cell r="CZ153">
            <v>350</v>
          </cell>
          <cell r="DR153">
            <v>0</v>
          </cell>
          <cell r="DS153">
            <v>0</v>
          </cell>
          <cell r="DT153" t="str">
            <v>1</v>
          </cell>
          <cell r="DU153">
            <v>0</v>
          </cell>
          <cell r="DW153">
            <v>0</v>
          </cell>
          <cell r="DX153" t="str">
            <v>1</v>
          </cell>
          <cell r="DY153">
            <v>0</v>
          </cell>
          <cell r="DZ153" t="str">
            <v>1</v>
          </cell>
          <cell r="EA153">
            <v>0</v>
          </cell>
          <cell r="EB153">
            <v>0</v>
          </cell>
          <cell r="ED153">
            <v>42000</v>
          </cell>
          <cell r="EE153">
            <v>0</v>
          </cell>
          <cell r="EF153">
            <v>0</v>
          </cell>
          <cell r="EG153">
            <v>0</v>
          </cell>
          <cell r="EH153" t="str">
            <v>Giles            TG Mr</v>
          </cell>
          <cell r="EI153">
            <v>4417</v>
          </cell>
          <cell r="EJ153">
            <v>0</v>
          </cell>
          <cell r="EK153">
            <v>0</v>
          </cell>
        </row>
        <row r="154">
          <cell r="I154" t="str">
            <v>Malins           JC Mr</v>
          </cell>
          <cell r="J154">
            <v>7020</v>
          </cell>
          <cell r="K154">
            <v>10</v>
          </cell>
          <cell r="L154">
            <v>7291.66</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7991.66</v>
          </cell>
          <cell r="BA154">
            <v>0</v>
          </cell>
          <cell r="BB154">
            <v>0</v>
          </cell>
          <cell r="BC154">
            <v>0</v>
          </cell>
          <cell r="BD154">
            <v>0</v>
          </cell>
          <cell r="BE154">
            <v>0</v>
          </cell>
          <cell r="BF154">
            <v>700</v>
          </cell>
          <cell r="BM154">
            <v>308.02999999999997</v>
          </cell>
          <cell r="BN154">
            <v>0</v>
          </cell>
          <cell r="BO154">
            <v>2393.5</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970.63</v>
          </cell>
          <cell r="CP154">
            <v>0</v>
          </cell>
          <cell r="CQ154">
            <v>0</v>
          </cell>
          <cell r="CR154">
            <v>0</v>
          </cell>
          <cell r="CS154">
            <v>0</v>
          </cell>
          <cell r="CT154">
            <v>0</v>
          </cell>
          <cell r="CU154">
            <v>10785.21</v>
          </cell>
          <cell r="CV154">
            <v>0</v>
          </cell>
          <cell r="CW154">
            <v>0</v>
          </cell>
          <cell r="CX154">
            <v>0</v>
          </cell>
          <cell r="CY154">
            <v>0</v>
          </cell>
          <cell r="CZ154">
            <v>0</v>
          </cell>
          <cell r="DA154">
            <v>0</v>
          </cell>
          <cell r="DB154">
            <v>364.58</v>
          </cell>
          <cell r="DC154">
            <v>1822.92</v>
          </cell>
          <cell r="DR154">
            <v>0</v>
          </cell>
          <cell r="DS154">
            <v>0</v>
          </cell>
          <cell r="DT154">
            <v>0</v>
          </cell>
          <cell r="DU154">
            <v>0</v>
          </cell>
          <cell r="DW154" t="str">
            <v>1</v>
          </cell>
          <cell r="DX154">
            <v>0</v>
          </cell>
          <cell r="DY154" t="str">
            <v>1</v>
          </cell>
          <cell r="DZ154">
            <v>0</v>
          </cell>
          <cell r="EA154" t="str">
            <v>1</v>
          </cell>
          <cell r="EB154">
            <v>0</v>
          </cell>
          <cell r="ED154">
            <v>87499.92</v>
          </cell>
          <cell r="EE154">
            <v>0</v>
          </cell>
          <cell r="EF154">
            <v>0</v>
          </cell>
          <cell r="EG154">
            <v>0</v>
          </cell>
          <cell r="EH154" t="str">
            <v>Malins           JC Mr</v>
          </cell>
          <cell r="EI154">
            <v>2</v>
          </cell>
          <cell r="EJ154">
            <v>0</v>
          </cell>
          <cell r="EK154">
            <v>0</v>
          </cell>
        </row>
        <row r="155">
          <cell r="I155" t="str">
            <v>Stokes           WN Mr</v>
          </cell>
          <cell r="J155">
            <v>7020</v>
          </cell>
          <cell r="K155">
            <v>10</v>
          </cell>
          <cell r="L155">
            <v>3499.16</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3499.16</v>
          </cell>
          <cell r="BM155">
            <v>263.11</v>
          </cell>
          <cell r="BN155">
            <v>0</v>
          </cell>
          <cell r="BO155">
            <v>729.5</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395.65</v>
          </cell>
          <cell r="CP155">
            <v>0</v>
          </cell>
          <cell r="CQ155">
            <v>0</v>
          </cell>
          <cell r="CR155">
            <v>0</v>
          </cell>
          <cell r="CS155">
            <v>0</v>
          </cell>
          <cell r="CT155">
            <v>0</v>
          </cell>
          <cell r="CU155">
            <v>4244.7299999999996</v>
          </cell>
          <cell r="CV155">
            <v>0</v>
          </cell>
          <cell r="CW155">
            <v>104.97</v>
          </cell>
          <cell r="CX155">
            <v>0</v>
          </cell>
          <cell r="CY155">
            <v>136.47</v>
          </cell>
          <cell r="CZ155">
            <v>349.92</v>
          </cell>
          <cell r="DR155">
            <v>0</v>
          </cell>
          <cell r="DS155">
            <v>0</v>
          </cell>
          <cell r="DT155">
            <v>0</v>
          </cell>
          <cell r="DU155">
            <v>0</v>
          </cell>
          <cell r="DW155">
            <v>0</v>
          </cell>
          <cell r="DX155" t="str">
            <v>1</v>
          </cell>
          <cell r="DY155">
            <v>0</v>
          </cell>
          <cell r="DZ155">
            <v>0</v>
          </cell>
          <cell r="EA155">
            <v>0</v>
          </cell>
          <cell r="EB155">
            <v>0</v>
          </cell>
          <cell r="ED155">
            <v>41989.919999999998</v>
          </cell>
          <cell r="EE155">
            <v>0</v>
          </cell>
          <cell r="EF155">
            <v>0</v>
          </cell>
          <cell r="EG155">
            <v>0</v>
          </cell>
          <cell r="EH155" t="str">
            <v>Stokes           WN Mr</v>
          </cell>
          <cell r="EI155">
            <v>1295</v>
          </cell>
          <cell r="EJ155">
            <v>0</v>
          </cell>
          <cell r="EK155">
            <v>0</v>
          </cell>
        </row>
        <row r="156">
          <cell r="I156" t="str">
            <v>Facey            RI Mr</v>
          </cell>
          <cell r="J156">
            <v>7020</v>
          </cell>
          <cell r="K156">
            <v>10</v>
          </cell>
          <cell r="L156">
            <v>3958.33</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4483.33</v>
          </cell>
          <cell r="BA156">
            <v>0</v>
          </cell>
          <cell r="BB156">
            <v>0</v>
          </cell>
          <cell r="BC156">
            <v>0</v>
          </cell>
          <cell r="BD156">
            <v>0</v>
          </cell>
          <cell r="BE156">
            <v>0</v>
          </cell>
          <cell r="BF156">
            <v>525</v>
          </cell>
          <cell r="BM156">
            <v>272.95</v>
          </cell>
          <cell r="BN156">
            <v>0</v>
          </cell>
          <cell r="BO156">
            <v>982.3</v>
          </cell>
          <cell r="BP156">
            <v>0</v>
          </cell>
          <cell r="BQ156">
            <v>0</v>
          </cell>
          <cell r="BR156">
            <v>0</v>
          </cell>
          <cell r="BS156">
            <v>0</v>
          </cell>
          <cell r="BT156">
            <v>0</v>
          </cell>
          <cell r="BU156">
            <v>0</v>
          </cell>
          <cell r="BV156">
            <v>0</v>
          </cell>
          <cell r="BW156">
            <v>0</v>
          </cell>
          <cell r="BX156">
            <v>4.33</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N156">
            <v>0</v>
          </cell>
          <cell r="CO156">
            <v>521.6</v>
          </cell>
          <cell r="CP156">
            <v>0</v>
          </cell>
          <cell r="CQ156">
            <v>0</v>
          </cell>
          <cell r="CR156">
            <v>0</v>
          </cell>
          <cell r="CS156">
            <v>0</v>
          </cell>
          <cell r="CT156">
            <v>0</v>
          </cell>
          <cell r="CU156">
            <v>5598.68</v>
          </cell>
          <cell r="CV156">
            <v>0</v>
          </cell>
          <cell r="CW156">
            <v>0</v>
          </cell>
          <cell r="CX156">
            <v>0</v>
          </cell>
          <cell r="CY156">
            <v>0</v>
          </cell>
          <cell r="CZ156">
            <v>0</v>
          </cell>
          <cell r="DA156">
            <v>0</v>
          </cell>
          <cell r="DB156">
            <v>395.83</v>
          </cell>
          <cell r="DC156">
            <v>593.75</v>
          </cell>
          <cell r="DR156">
            <v>0</v>
          </cell>
          <cell r="DS156" t="str">
            <v>1</v>
          </cell>
          <cell r="DT156">
            <v>0</v>
          </cell>
          <cell r="DU156">
            <v>0</v>
          </cell>
          <cell r="DW156" t="str">
            <v>1</v>
          </cell>
          <cell r="DX156">
            <v>0</v>
          </cell>
          <cell r="DY156" t="str">
            <v>1</v>
          </cell>
          <cell r="DZ156">
            <v>0</v>
          </cell>
          <cell r="EA156" t="str">
            <v>1</v>
          </cell>
          <cell r="EB156">
            <v>0</v>
          </cell>
          <cell r="ED156">
            <v>47499.96</v>
          </cell>
          <cell r="EE156">
            <v>0</v>
          </cell>
          <cell r="EF156">
            <v>0</v>
          </cell>
          <cell r="EG156">
            <v>0</v>
          </cell>
          <cell r="EH156" t="str">
            <v>Facey            RI Mr</v>
          </cell>
          <cell r="EI156">
            <v>3379</v>
          </cell>
          <cell r="EJ156">
            <v>0</v>
          </cell>
          <cell r="EK156">
            <v>0</v>
          </cell>
        </row>
        <row r="157">
          <cell r="I157" t="str">
            <v>Daniel           DM Mrs</v>
          </cell>
          <cell r="J157">
            <v>7020</v>
          </cell>
          <cell r="K157">
            <v>10</v>
          </cell>
          <cell r="L157">
            <v>2125</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13.64</v>
          </cell>
          <cell r="AU157">
            <v>-13.64</v>
          </cell>
          <cell r="AV157">
            <v>0</v>
          </cell>
          <cell r="AW157">
            <v>0</v>
          </cell>
          <cell r="AX157">
            <v>0</v>
          </cell>
          <cell r="AY157">
            <v>0</v>
          </cell>
          <cell r="AZ157">
            <v>2125</v>
          </cell>
          <cell r="BM157">
            <v>188.98</v>
          </cell>
          <cell r="BN157">
            <v>0</v>
          </cell>
          <cell r="BO157">
            <v>356.85</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v>0</v>
          </cell>
          <cell r="CM157">
            <v>0</v>
          </cell>
          <cell r="CN157">
            <v>0</v>
          </cell>
          <cell r="CO157">
            <v>219.9</v>
          </cell>
          <cell r="CP157">
            <v>0</v>
          </cell>
          <cell r="CQ157">
            <v>0</v>
          </cell>
          <cell r="CR157">
            <v>0</v>
          </cell>
          <cell r="CS157">
            <v>0</v>
          </cell>
          <cell r="CT157">
            <v>0</v>
          </cell>
          <cell r="CU157">
            <v>2557.4</v>
          </cell>
          <cell r="CV157">
            <v>0</v>
          </cell>
          <cell r="CW157">
            <v>212.5</v>
          </cell>
          <cell r="CX157">
            <v>0</v>
          </cell>
          <cell r="CY157">
            <v>115.81</v>
          </cell>
          <cell r="CZ157">
            <v>212.5</v>
          </cell>
          <cell r="DR157">
            <v>0</v>
          </cell>
          <cell r="DS157">
            <v>0</v>
          </cell>
          <cell r="DT157">
            <v>0</v>
          </cell>
          <cell r="DU157">
            <v>0</v>
          </cell>
          <cell r="DW157">
            <v>0</v>
          </cell>
          <cell r="DX157" t="str">
            <v>1</v>
          </cell>
          <cell r="DY157">
            <v>0</v>
          </cell>
          <cell r="DZ157">
            <v>0</v>
          </cell>
          <cell r="EA157">
            <v>0</v>
          </cell>
          <cell r="EB157">
            <v>0</v>
          </cell>
          <cell r="ED157">
            <v>25500</v>
          </cell>
          <cell r="EE157" t="str">
            <v>1</v>
          </cell>
          <cell r="EF157">
            <v>0</v>
          </cell>
          <cell r="EG157">
            <v>0</v>
          </cell>
          <cell r="EH157" t="str">
            <v>Daniel           DM Mrs</v>
          </cell>
          <cell r="EI157">
            <v>4057</v>
          </cell>
          <cell r="EJ157">
            <v>0</v>
          </cell>
          <cell r="EK157">
            <v>0</v>
          </cell>
        </row>
        <row r="158">
          <cell r="I158" t="str">
            <v>Sutton           TJ Ms</v>
          </cell>
          <cell r="J158">
            <v>7020</v>
          </cell>
          <cell r="K158">
            <v>10</v>
          </cell>
          <cell r="L158">
            <v>1625</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1625</v>
          </cell>
          <cell r="BM158">
            <v>133.97999999999999</v>
          </cell>
          <cell r="BN158">
            <v>0</v>
          </cell>
          <cell r="BO158">
            <v>248.61</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155.9</v>
          </cell>
          <cell r="CP158">
            <v>0</v>
          </cell>
          <cell r="CQ158">
            <v>0</v>
          </cell>
          <cell r="CR158">
            <v>0</v>
          </cell>
          <cell r="CS158">
            <v>0</v>
          </cell>
          <cell r="CT158">
            <v>0</v>
          </cell>
          <cell r="CU158">
            <v>1943.4</v>
          </cell>
          <cell r="CV158">
            <v>0</v>
          </cell>
          <cell r="CW158">
            <v>0</v>
          </cell>
          <cell r="CX158">
            <v>0</v>
          </cell>
          <cell r="CY158">
            <v>63.38</v>
          </cell>
          <cell r="CZ158">
            <v>162.5</v>
          </cell>
          <cell r="DR158">
            <v>0</v>
          </cell>
          <cell r="DS158">
            <v>0</v>
          </cell>
          <cell r="DT158">
            <v>0</v>
          </cell>
          <cell r="DU158">
            <v>0</v>
          </cell>
          <cell r="DW158">
            <v>0</v>
          </cell>
          <cell r="DX158" t="str">
            <v>1</v>
          </cell>
          <cell r="DY158">
            <v>0</v>
          </cell>
          <cell r="DZ158">
            <v>0</v>
          </cell>
          <cell r="EA158">
            <v>0</v>
          </cell>
          <cell r="EB158">
            <v>0</v>
          </cell>
          <cell r="ED158">
            <v>19500</v>
          </cell>
          <cell r="EE158" t="str">
            <v>1</v>
          </cell>
          <cell r="EF158">
            <v>0</v>
          </cell>
          <cell r="EG158">
            <v>0</v>
          </cell>
          <cell r="EH158" t="str">
            <v>Sutton           TJ Ms</v>
          </cell>
          <cell r="EI158">
            <v>4463</v>
          </cell>
          <cell r="EJ158">
            <v>0</v>
          </cell>
          <cell r="EK158">
            <v>0</v>
          </cell>
        </row>
        <row r="159">
          <cell r="I159" t="str">
            <v>Brooks           RM Miss</v>
          </cell>
          <cell r="J159">
            <v>7020</v>
          </cell>
          <cell r="K159">
            <v>10</v>
          </cell>
          <cell r="L159">
            <v>1708.33</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177.58</v>
          </cell>
          <cell r="AS159">
            <v>0</v>
          </cell>
          <cell r="AT159">
            <v>0</v>
          </cell>
          <cell r="AU159">
            <v>0</v>
          </cell>
          <cell r="AV159">
            <v>0</v>
          </cell>
          <cell r="AW159">
            <v>0</v>
          </cell>
          <cell r="AX159">
            <v>0</v>
          </cell>
          <cell r="AY159">
            <v>0</v>
          </cell>
          <cell r="AZ159">
            <v>1885.91</v>
          </cell>
          <cell r="BA159">
            <v>12.5</v>
          </cell>
          <cell r="BB159">
            <v>177.58</v>
          </cell>
          <cell r="BC159">
            <v>0</v>
          </cell>
          <cell r="BD159">
            <v>44.4</v>
          </cell>
          <cell r="BM159">
            <v>162.58000000000001</v>
          </cell>
          <cell r="BN159">
            <v>0</v>
          </cell>
          <cell r="BO159">
            <v>306.02999999999997</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189.18</v>
          </cell>
          <cell r="CP159">
            <v>0</v>
          </cell>
          <cell r="CQ159">
            <v>0</v>
          </cell>
          <cell r="CR159">
            <v>0</v>
          </cell>
          <cell r="CS159">
            <v>0</v>
          </cell>
          <cell r="CT159">
            <v>0</v>
          </cell>
          <cell r="CU159">
            <v>2245.92</v>
          </cell>
          <cell r="CV159">
            <v>0</v>
          </cell>
          <cell r="CW159">
            <v>0</v>
          </cell>
          <cell r="CX159">
            <v>0</v>
          </cell>
          <cell r="CY159">
            <v>66.62</v>
          </cell>
          <cell r="CZ159">
            <v>170.83</v>
          </cell>
          <cell r="DR159">
            <v>0</v>
          </cell>
          <cell r="DS159">
            <v>0</v>
          </cell>
          <cell r="DT159">
            <v>0</v>
          </cell>
          <cell r="DU159">
            <v>0</v>
          </cell>
          <cell r="DW159">
            <v>0</v>
          </cell>
          <cell r="DX159" t="str">
            <v>1</v>
          </cell>
          <cell r="DY159">
            <v>0</v>
          </cell>
          <cell r="DZ159">
            <v>0</v>
          </cell>
          <cell r="EA159">
            <v>0</v>
          </cell>
          <cell r="EB159">
            <v>0</v>
          </cell>
          <cell r="ED159">
            <v>20499.96</v>
          </cell>
          <cell r="EE159" t="str">
            <v>1</v>
          </cell>
          <cell r="EF159">
            <v>177.58</v>
          </cell>
          <cell r="EG159" t="str">
            <v>1</v>
          </cell>
          <cell r="EH159" t="str">
            <v>Brooks           RM Miss</v>
          </cell>
          <cell r="EI159">
            <v>4516</v>
          </cell>
          <cell r="EJ159">
            <v>0</v>
          </cell>
          <cell r="EK159">
            <v>0</v>
          </cell>
        </row>
        <row r="160">
          <cell r="I160" t="str">
            <v>Pearce           SJ Mr</v>
          </cell>
          <cell r="J160">
            <v>7020</v>
          </cell>
          <cell r="K160">
            <v>10</v>
          </cell>
          <cell r="L160">
            <v>3500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4025</v>
          </cell>
          <cell r="BA160">
            <v>0</v>
          </cell>
          <cell r="BB160">
            <v>0</v>
          </cell>
          <cell r="BC160">
            <v>0</v>
          </cell>
          <cell r="BD160">
            <v>0</v>
          </cell>
          <cell r="BE160">
            <v>0</v>
          </cell>
          <cell r="BF160">
            <v>525</v>
          </cell>
          <cell r="BM160">
            <v>268.37</v>
          </cell>
          <cell r="BN160">
            <v>0</v>
          </cell>
          <cell r="BO160">
            <v>914.7</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462.98</v>
          </cell>
          <cell r="CP160">
            <v>0</v>
          </cell>
          <cell r="CQ160">
            <v>0</v>
          </cell>
          <cell r="CR160">
            <v>0</v>
          </cell>
          <cell r="CS160">
            <v>0</v>
          </cell>
          <cell r="CT160">
            <v>0</v>
          </cell>
          <cell r="CU160">
            <v>4837.9799999999996</v>
          </cell>
          <cell r="CV160">
            <v>0</v>
          </cell>
          <cell r="CW160">
            <v>0</v>
          </cell>
          <cell r="CX160">
            <v>0</v>
          </cell>
          <cell r="CY160">
            <v>136.5</v>
          </cell>
          <cell r="CZ160">
            <v>350</v>
          </cell>
          <cell r="DR160">
            <v>0</v>
          </cell>
          <cell r="DS160">
            <v>0</v>
          </cell>
          <cell r="DT160">
            <v>0</v>
          </cell>
          <cell r="DU160">
            <v>0</v>
          </cell>
          <cell r="DW160" t="str">
            <v>1</v>
          </cell>
          <cell r="DX160" t="str">
            <v>1</v>
          </cell>
          <cell r="DY160">
            <v>0</v>
          </cell>
          <cell r="DZ160">
            <v>0</v>
          </cell>
          <cell r="EA160">
            <v>0</v>
          </cell>
          <cell r="EB160">
            <v>0</v>
          </cell>
          <cell r="ED160">
            <v>42000</v>
          </cell>
          <cell r="EE160">
            <v>0</v>
          </cell>
          <cell r="EF160">
            <v>0</v>
          </cell>
          <cell r="EG160">
            <v>0</v>
          </cell>
          <cell r="EH160" t="str">
            <v>Pearce           SJ Mr</v>
          </cell>
          <cell r="EI160">
            <v>4766</v>
          </cell>
          <cell r="EJ160">
            <v>0</v>
          </cell>
          <cell r="EK160">
            <v>0</v>
          </cell>
        </row>
        <row r="161">
          <cell r="I161" t="str">
            <v>Smith            J  Mrs</v>
          </cell>
          <cell r="J161">
            <v>7020</v>
          </cell>
          <cell r="K161">
            <v>10</v>
          </cell>
          <cell r="L161">
            <v>1275</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1275</v>
          </cell>
          <cell r="BM161">
            <v>95.26</v>
          </cell>
          <cell r="BN161">
            <v>0</v>
          </cell>
          <cell r="BO161">
            <v>224.63</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110.85</v>
          </cell>
          <cell r="CP161">
            <v>0</v>
          </cell>
          <cell r="CQ161">
            <v>0</v>
          </cell>
          <cell r="CR161">
            <v>0</v>
          </cell>
          <cell r="CS161">
            <v>0</v>
          </cell>
          <cell r="CT161">
            <v>0</v>
          </cell>
          <cell r="CU161">
            <v>1513.35</v>
          </cell>
          <cell r="CV161">
            <v>0</v>
          </cell>
          <cell r="CW161">
            <v>0</v>
          </cell>
          <cell r="CX161">
            <v>0</v>
          </cell>
          <cell r="CY161">
            <v>49.73</v>
          </cell>
          <cell r="CZ161">
            <v>127.5</v>
          </cell>
          <cell r="DR161">
            <v>0</v>
          </cell>
          <cell r="DS161">
            <v>0</v>
          </cell>
          <cell r="DT161">
            <v>0</v>
          </cell>
          <cell r="DU161">
            <v>0</v>
          </cell>
          <cell r="DW161">
            <v>0</v>
          </cell>
          <cell r="DX161" t="str">
            <v>1</v>
          </cell>
          <cell r="DY161">
            <v>0</v>
          </cell>
          <cell r="DZ161">
            <v>0</v>
          </cell>
          <cell r="EA161">
            <v>0</v>
          </cell>
          <cell r="EB161">
            <v>0</v>
          </cell>
          <cell r="ED161">
            <v>15300</v>
          </cell>
          <cell r="EE161" t="str">
            <v>1</v>
          </cell>
          <cell r="EF161">
            <v>0</v>
          </cell>
          <cell r="EG161">
            <v>0</v>
          </cell>
          <cell r="EH161" t="str">
            <v>Smith            J  Mrs</v>
          </cell>
          <cell r="EI161">
            <v>4803</v>
          </cell>
          <cell r="EJ161">
            <v>0</v>
          </cell>
          <cell r="EK161">
            <v>0</v>
          </cell>
        </row>
        <row r="162">
          <cell r="I162" t="str">
            <v>Martin           JC Mrs</v>
          </cell>
          <cell r="J162">
            <v>7020</v>
          </cell>
          <cell r="K162">
            <v>10</v>
          </cell>
          <cell r="L162">
            <v>1458.33</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66.7</v>
          </cell>
          <cell r="AS162">
            <v>0</v>
          </cell>
          <cell r="AT162">
            <v>0</v>
          </cell>
          <cell r="AU162">
            <v>0</v>
          </cell>
          <cell r="AV162">
            <v>0</v>
          </cell>
          <cell r="AW162">
            <v>0</v>
          </cell>
          <cell r="AX162">
            <v>0</v>
          </cell>
          <cell r="AY162">
            <v>0</v>
          </cell>
          <cell r="AZ162">
            <v>1525.03</v>
          </cell>
          <cell r="BA162">
            <v>5.5</v>
          </cell>
          <cell r="BB162">
            <v>66.7</v>
          </cell>
          <cell r="BC162">
            <v>0</v>
          </cell>
          <cell r="BD162">
            <v>16.68</v>
          </cell>
          <cell r="BM162">
            <v>122.98</v>
          </cell>
          <cell r="BN162">
            <v>0</v>
          </cell>
          <cell r="BO162">
            <v>224.63</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143.1</v>
          </cell>
          <cell r="CP162">
            <v>0</v>
          </cell>
          <cell r="CQ162">
            <v>0</v>
          </cell>
          <cell r="CR162">
            <v>0</v>
          </cell>
          <cell r="CS162">
            <v>0</v>
          </cell>
          <cell r="CT162">
            <v>0</v>
          </cell>
          <cell r="CU162">
            <v>1813.96</v>
          </cell>
          <cell r="CV162">
            <v>0</v>
          </cell>
          <cell r="CW162">
            <v>0</v>
          </cell>
          <cell r="CX162">
            <v>0</v>
          </cell>
          <cell r="CY162">
            <v>56.87</v>
          </cell>
          <cell r="CZ162">
            <v>145.83000000000001</v>
          </cell>
          <cell r="DR162">
            <v>0</v>
          </cell>
          <cell r="DS162">
            <v>0</v>
          </cell>
          <cell r="DT162">
            <v>0</v>
          </cell>
          <cell r="DU162">
            <v>0</v>
          </cell>
          <cell r="DW162">
            <v>0</v>
          </cell>
          <cell r="DX162" t="str">
            <v>1</v>
          </cell>
          <cell r="DY162">
            <v>0</v>
          </cell>
          <cell r="DZ162">
            <v>0</v>
          </cell>
          <cell r="EA162">
            <v>0</v>
          </cell>
          <cell r="EB162">
            <v>0</v>
          </cell>
          <cell r="ED162">
            <v>17499.96</v>
          </cell>
          <cell r="EE162" t="str">
            <v>1</v>
          </cell>
          <cell r="EF162">
            <v>66.7</v>
          </cell>
          <cell r="EG162" t="str">
            <v>1</v>
          </cell>
          <cell r="EH162" t="str">
            <v>Martin           JC Mrs</v>
          </cell>
          <cell r="EI162">
            <v>4842</v>
          </cell>
          <cell r="EJ162">
            <v>0</v>
          </cell>
          <cell r="EK162">
            <v>0</v>
          </cell>
        </row>
        <row r="163">
          <cell r="I163" t="str">
            <v>Ford             G  Mr</v>
          </cell>
          <cell r="J163">
            <v>7020</v>
          </cell>
          <cell r="K163">
            <v>10</v>
          </cell>
          <cell r="L163">
            <v>1541.66</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1541.66</v>
          </cell>
          <cell r="BM163">
            <v>124.74</v>
          </cell>
          <cell r="BN163">
            <v>0</v>
          </cell>
          <cell r="BO163">
            <v>228.37</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0</v>
          </cell>
          <cell r="CO163">
            <v>145.15</v>
          </cell>
          <cell r="CP163">
            <v>0</v>
          </cell>
          <cell r="CQ163">
            <v>0</v>
          </cell>
          <cell r="CR163">
            <v>0</v>
          </cell>
          <cell r="CS163">
            <v>0</v>
          </cell>
          <cell r="CT163">
            <v>0</v>
          </cell>
          <cell r="CU163">
            <v>1840.98</v>
          </cell>
          <cell r="CV163">
            <v>0</v>
          </cell>
          <cell r="CW163">
            <v>0</v>
          </cell>
          <cell r="CX163">
            <v>0</v>
          </cell>
          <cell r="CY163">
            <v>60.12</v>
          </cell>
          <cell r="CZ163">
            <v>154.16999999999999</v>
          </cell>
          <cell r="DR163">
            <v>0</v>
          </cell>
          <cell r="DS163">
            <v>0</v>
          </cell>
          <cell r="DT163">
            <v>0</v>
          </cell>
          <cell r="DU163">
            <v>0</v>
          </cell>
          <cell r="DW163">
            <v>0</v>
          </cell>
          <cell r="DX163" t="str">
            <v>1</v>
          </cell>
          <cell r="DY163">
            <v>0</v>
          </cell>
          <cell r="DZ163">
            <v>0</v>
          </cell>
          <cell r="EA163">
            <v>0</v>
          </cell>
          <cell r="EB163">
            <v>0</v>
          </cell>
          <cell r="ED163">
            <v>18499.920000000002</v>
          </cell>
          <cell r="EE163" t="str">
            <v>1</v>
          </cell>
          <cell r="EF163">
            <v>0</v>
          </cell>
          <cell r="EG163">
            <v>0</v>
          </cell>
          <cell r="EH163" t="str">
            <v>Ford             G  Mr</v>
          </cell>
          <cell r="EI163">
            <v>4908</v>
          </cell>
          <cell r="EJ163">
            <v>0</v>
          </cell>
          <cell r="EK163">
            <v>0</v>
          </cell>
        </row>
        <row r="164">
          <cell r="I164" t="str">
            <v>Allan            D  Miss</v>
          </cell>
          <cell r="J164">
            <v>7040</v>
          </cell>
          <cell r="K164">
            <v>10</v>
          </cell>
          <cell r="L164">
            <v>1791.66</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342.69</v>
          </cell>
          <cell r="AS164">
            <v>0</v>
          </cell>
          <cell r="AT164">
            <v>0</v>
          </cell>
          <cell r="AU164">
            <v>0</v>
          </cell>
          <cell r="AV164">
            <v>0</v>
          </cell>
          <cell r="AW164">
            <v>0</v>
          </cell>
          <cell r="AX164">
            <v>0</v>
          </cell>
          <cell r="AY164">
            <v>0</v>
          </cell>
          <cell r="AZ164">
            <v>2134.35</v>
          </cell>
          <cell r="BA164">
            <v>23</v>
          </cell>
          <cell r="BB164">
            <v>342.69</v>
          </cell>
          <cell r="BC164">
            <v>0</v>
          </cell>
          <cell r="BD164">
            <v>85.67</v>
          </cell>
          <cell r="BM164">
            <v>189.86</v>
          </cell>
          <cell r="BN164">
            <v>0</v>
          </cell>
          <cell r="BO164">
            <v>358.83</v>
          </cell>
          <cell r="BP164">
            <v>0</v>
          </cell>
          <cell r="BQ164">
            <v>0</v>
          </cell>
          <cell r="BR164">
            <v>0</v>
          </cell>
          <cell r="BS164">
            <v>0</v>
          </cell>
          <cell r="BT164">
            <v>0</v>
          </cell>
          <cell r="BU164">
            <v>0</v>
          </cell>
          <cell r="BV164">
            <v>0</v>
          </cell>
          <cell r="BW164">
            <v>0</v>
          </cell>
          <cell r="BX164">
            <v>0</v>
          </cell>
          <cell r="BY164">
            <v>0</v>
          </cell>
          <cell r="BZ164">
            <v>18</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N164">
            <v>0</v>
          </cell>
          <cell r="CO164">
            <v>220.93</v>
          </cell>
          <cell r="CP164">
            <v>0</v>
          </cell>
          <cell r="CQ164">
            <v>0</v>
          </cell>
          <cell r="CR164">
            <v>0</v>
          </cell>
          <cell r="CS164">
            <v>0</v>
          </cell>
          <cell r="CT164">
            <v>0</v>
          </cell>
          <cell r="CU164">
            <v>2534.4499999999998</v>
          </cell>
          <cell r="CV164">
            <v>200</v>
          </cell>
          <cell r="CW164">
            <v>0</v>
          </cell>
          <cell r="CX164">
            <v>0</v>
          </cell>
          <cell r="CY164">
            <v>104.81</v>
          </cell>
          <cell r="CZ164">
            <v>179.17</v>
          </cell>
          <cell r="DR164">
            <v>0</v>
          </cell>
          <cell r="DS164">
            <v>0</v>
          </cell>
          <cell r="DT164">
            <v>0</v>
          </cell>
          <cell r="DU164" t="str">
            <v>1</v>
          </cell>
          <cell r="DV164">
            <v>22</v>
          </cell>
          <cell r="DW164">
            <v>0</v>
          </cell>
          <cell r="DX164" t="str">
            <v>1</v>
          </cell>
          <cell r="DY164">
            <v>0</v>
          </cell>
          <cell r="DZ164" t="str">
            <v>1</v>
          </cell>
          <cell r="EA164">
            <v>0</v>
          </cell>
          <cell r="EB164">
            <v>0</v>
          </cell>
          <cell r="ED164">
            <v>21499.920000000002</v>
          </cell>
          <cell r="EE164" t="str">
            <v>1</v>
          </cell>
          <cell r="EF164">
            <v>342.69</v>
          </cell>
          <cell r="EG164" t="str">
            <v>1</v>
          </cell>
          <cell r="EH164" t="str">
            <v>Allan            D  Miss</v>
          </cell>
          <cell r="EI164">
            <v>4525</v>
          </cell>
          <cell r="EJ164">
            <v>0</v>
          </cell>
          <cell r="EK164">
            <v>0</v>
          </cell>
        </row>
        <row r="165">
          <cell r="I165" t="str">
            <v>Allan            J  Mrs</v>
          </cell>
          <cell r="J165">
            <v>7040</v>
          </cell>
          <cell r="K165">
            <v>10</v>
          </cell>
          <cell r="L165">
            <v>0</v>
          </cell>
          <cell r="M165">
            <v>0</v>
          </cell>
          <cell r="N165">
            <v>0</v>
          </cell>
          <cell r="O165">
            <v>0</v>
          </cell>
          <cell r="P165">
            <v>0</v>
          </cell>
          <cell r="Q165">
            <v>0</v>
          </cell>
          <cell r="R165">
            <v>0</v>
          </cell>
          <cell r="S165">
            <v>0</v>
          </cell>
          <cell r="T165">
            <v>0</v>
          </cell>
          <cell r="U165">
            <v>0</v>
          </cell>
          <cell r="V165">
            <v>37</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37</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0</v>
          </cell>
          <cell r="CO165">
            <v>0</v>
          </cell>
          <cell r="CP165">
            <v>0</v>
          </cell>
          <cell r="CQ165">
            <v>0</v>
          </cell>
          <cell r="CR165">
            <v>0</v>
          </cell>
          <cell r="CS165">
            <v>0</v>
          </cell>
          <cell r="CT165">
            <v>0</v>
          </cell>
          <cell r="CU165">
            <v>37</v>
          </cell>
          <cell r="DR165">
            <v>0</v>
          </cell>
          <cell r="DS165">
            <v>0</v>
          </cell>
          <cell r="DT165">
            <v>0</v>
          </cell>
          <cell r="DU165">
            <v>0</v>
          </cell>
          <cell r="DW165">
            <v>0</v>
          </cell>
          <cell r="DX165">
            <v>0</v>
          </cell>
          <cell r="DY165">
            <v>0</v>
          </cell>
          <cell r="DZ165">
            <v>0</v>
          </cell>
          <cell r="EA165">
            <v>0</v>
          </cell>
          <cell r="EB165">
            <v>0</v>
          </cell>
          <cell r="ED165">
            <v>0</v>
          </cell>
          <cell r="EE165" t="str">
            <v>1</v>
          </cell>
          <cell r="EF165">
            <v>0</v>
          </cell>
          <cell r="EG165">
            <v>0</v>
          </cell>
          <cell r="EH165" t="str">
            <v>Allan            J  Mrs</v>
          </cell>
          <cell r="EI165">
            <v>4874</v>
          </cell>
          <cell r="EJ165">
            <v>0</v>
          </cell>
          <cell r="EK165">
            <v>0</v>
          </cell>
        </row>
        <row r="166">
          <cell r="I166" t="str">
            <v>Ross             L  Mr</v>
          </cell>
          <cell r="J166">
            <v>7040</v>
          </cell>
          <cell r="K166">
            <v>10</v>
          </cell>
          <cell r="L166">
            <v>4583.33</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5283.33</v>
          </cell>
          <cell r="BA166">
            <v>0</v>
          </cell>
          <cell r="BB166">
            <v>0</v>
          </cell>
          <cell r="BC166">
            <v>0</v>
          </cell>
          <cell r="BD166">
            <v>0</v>
          </cell>
          <cell r="BE166">
            <v>0</v>
          </cell>
          <cell r="BF166">
            <v>700</v>
          </cell>
          <cell r="BM166">
            <v>280.95</v>
          </cell>
          <cell r="BN166">
            <v>0</v>
          </cell>
          <cell r="BO166">
            <v>1455.5</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624</v>
          </cell>
          <cell r="CP166">
            <v>0</v>
          </cell>
          <cell r="CQ166">
            <v>0</v>
          </cell>
          <cell r="CR166">
            <v>0</v>
          </cell>
          <cell r="CS166">
            <v>0</v>
          </cell>
          <cell r="CT166">
            <v>0</v>
          </cell>
          <cell r="CU166">
            <v>6365.66</v>
          </cell>
          <cell r="CV166">
            <v>300</v>
          </cell>
          <cell r="CW166">
            <v>0</v>
          </cell>
          <cell r="CX166">
            <v>0</v>
          </cell>
          <cell r="CY166">
            <v>178.75</v>
          </cell>
          <cell r="CZ166">
            <v>458.33</v>
          </cell>
          <cell r="DR166">
            <v>0</v>
          </cell>
          <cell r="DS166">
            <v>0</v>
          </cell>
          <cell r="DT166">
            <v>0</v>
          </cell>
          <cell r="DU166">
            <v>0</v>
          </cell>
          <cell r="DW166" t="str">
            <v>1</v>
          </cell>
          <cell r="DX166" t="str">
            <v>1</v>
          </cell>
          <cell r="DY166">
            <v>0</v>
          </cell>
          <cell r="DZ166" t="str">
            <v>1</v>
          </cell>
          <cell r="EA166">
            <v>0</v>
          </cell>
          <cell r="EB166">
            <v>0</v>
          </cell>
          <cell r="ED166">
            <v>54999.96</v>
          </cell>
          <cell r="EE166">
            <v>0</v>
          </cell>
          <cell r="EF166">
            <v>0</v>
          </cell>
          <cell r="EG166">
            <v>0</v>
          </cell>
          <cell r="EH166" t="str">
            <v>Ross             L  Mr</v>
          </cell>
          <cell r="EI166">
            <v>4879</v>
          </cell>
          <cell r="EJ166">
            <v>0</v>
          </cell>
          <cell r="EK166">
            <v>0</v>
          </cell>
        </row>
        <row r="167">
          <cell r="I167" t="str">
            <v>Longworth        N  Mr</v>
          </cell>
          <cell r="J167">
            <v>7050</v>
          </cell>
          <cell r="K167">
            <v>10</v>
          </cell>
          <cell r="L167">
            <v>2991.66</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2991.66</v>
          </cell>
          <cell r="BM167">
            <v>258.02999999999997</v>
          </cell>
          <cell r="BN167">
            <v>0</v>
          </cell>
          <cell r="BO167">
            <v>552.63</v>
          </cell>
          <cell r="BP167">
            <v>0</v>
          </cell>
          <cell r="BQ167">
            <v>0</v>
          </cell>
          <cell r="BR167">
            <v>0</v>
          </cell>
          <cell r="BS167">
            <v>0</v>
          </cell>
          <cell r="BT167">
            <v>0</v>
          </cell>
          <cell r="BU167">
            <v>0</v>
          </cell>
          <cell r="BV167">
            <v>0</v>
          </cell>
          <cell r="BW167">
            <v>0</v>
          </cell>
          <cell r="BX167">
            <v>4.33</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330.63</v>
          </cell>
          <cell r="CP167">
            <v>0</v>
          </cell>
          <cell r="CQ167">
            <v>0</v>
          </cell>
          <cell r="CR167">
            <v>0</v>
          </cell>
          <cell r="CS167">
            <v>0</v>
          </cell>
          <cell r="CT167">
            <v>0</v>
          </cell>
          <cell r="CU167">
            <v>3621.46</v>
          </cell>
          <cell r="CV167">
            <v>0</v>
          </cell>
          <cell r="CW167">
            <v>0</v>
          </cell>
          <cell r="CX167">
            <v>0</v>
          </cell>
          <cell r="CY167">
            <v>116.67</v>
          </cell>
          <cell r="CZ167">
            <v>299.17</v>
          </cell>
          <cell r="DR167">
            <v>0</v>
          </cell>
          <cell r="DS167" t="str">
            <v>1</v>
          </cell>
          <cell r="DT167">
            <v>0</v>
          </cell>
          <cell r="DU167">
            <v>0</v>
          </cell>
          <cell r="DW167">
            <v>0</v>
          </cell>
          <cell r="DX167" t="str">
            <v>1</v>
          </cell>
          <cell r="DY167">
            <v>0</v>
          </cell>
          <cell r="DZ167">
            <v>0</v>
          </cell>
          <cell r="EA167">
            <v>0</v>
          </cell>
          <cell r="EB167">
            <v>0</v>
          </cell>
          <cell r="ED167">
            <v>35899.919999999998</v>
          </cell>
          <cell r="EE167">
            <v>0</v>
          </cell>
          <cell r="EF167">
            <v>0</v>
          </cell>
          <cell r="EG167">
            <v>0</v>
          </cell>
          <cell r="EH167" t="str">
            <v>Longworth        N  Mr</v>
          </cell>
          <cell r="EI167">
            <v>2550</v>
          </cell>
          <cell r="EJ167">
            <v>0</v>
          </cell>
          <cell r="EK167">
            <v>0</v>
          </cell>
        </row>
        <row r="168">
          <cell r="I168" t="str">
            <v>Giles            P  Mr</v>
          </cell>
          <cell r="J168">
            <v>7050</v>
          </cell>
          <cell r="K168">
            <v>10</v>
          </cell>
          <cell r="L168">
            <v>2954.91</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2954.91</v>
          </cell>
          <cell r="BM168">
            <v>257.66000000000003</v>
          </cell>
          <cell r="BN168">
            <v>0</v>
          </cell>
          <cell r="BO168">
            <v>541.87</v>
          </cell>
          <cell r="BP168">
            <v>0</v>
          </cell>
          <cell r="BQ168">
            <v>0</v>
          </cell>
          <cell r="BR168">
            <v>0</v>
          </cell>
          <cell r="BS168">
            <v>0</v>
          </cell>
          <cell r="BT168">
            <v>0</v>
          </cell>
          <cell r="BU168">
            <v>0</v>
          </cell>
          <cell r="BV168">
            <v>0</v>
          </cell>
          <cell r="BW168">
            <v>0</v>
          </cell>
          <cell r="BX168">
            <v>0</v>
          </cell>
          <cell r="BY168">
            <v>0</v>
          </cell>
          <cell r="BZ168">
            <v>22</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N168">
            <v>0</v>
          </cell>
          <cell r="CO168">
            <v>325.89</v>
          </cell>
          <cell r="CP168">
            <v>0</v>
          </cell>
          <cell r="CQ168">
            <v>0</v>
          </cell>
          <cell r="CR168">
            <v>0</v>
          </cell>
          <cell r="CS168">
            <v>0</v>
          </cell>
          <cell r="CT168">
            <v>0</v>
          </cell>
          <cell r="CU168">
            <v>3576.29</v>
          </cell>
          <cell r="CV168">
            <v>0</v>
          </cell>
          <cell r="CW168">
            <v>0</v>
          </cell>
          <cell r="CX168">
            <v>0</v>
          </cell>
          <cell r="CY168">
            <v>115.24</v>
          </cell>
          <cell r="CZ168">
            <v>295.49</v>
          </cell>
          <cell r="DR168">
            <v>0</v>
          </cell>
          <cell r="DS168">
            <v>0</v>
          </cell>
          <cell r="DT168">
            <v>0</v>
          </cell>
          <cell r="DU168" t="str">
            <v>1</v>
          </cell>
          <cell r="DV168">
            <v>22</v>
          </cell>
          <cell r="DW168">
            <v>0</v>
          </cell>
          <cell r="DX168" t="str">
            <v>1</v>
          </cell>
          <cell r="DY168">
            <v>0</v>
          </cell>
          <cell r="DZ168">
            <v>0</v>
          </cell>
          <cell r="EA168">
            <v>0</v>
          </cell>
          <cell r="EB168">
            <v>0</v>
          </cell>
          <cell r="ED168">
            <v>35458.92</v>
          </cell>
          <cell r="EE168">
            <v>0</v>
          </cell>
          <cell r="EF168">
            <v>0</v>
          </cell>
          <cell r="EG168">
            <v>0</v>
          </cell>
          <cell r="EH168" t="str">
            <v>Giles            P  Mr</v>
          </cell>
          <cell r="EI168">
            <v>4598</v>
          </cell>
          <cell r="EJ168">
            <v>0</v>
          </cell>
          <cell r="EK168">
            <v>0</v>
          </cell>
        </row>
        <row r="169">
          <cell r="I169" t="str">
            <v>Stevens          CP Mr</v>
          </cell>
          <cell r="J169">
            <v>7050</v>
          </cell>
          <cell r="K169">
            <v>10</v>
          </cell>
          <cell r="L169">
            <v>2072.16</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603.12</v>
          </cell>
          <cell r="AS169">
            <v>0</v>
          </cell>
          <cell r="AT169">
            <v>0</v>
          </cell>
          <cell r="AU169">
            <v>0</v>
          </cell>
          <cell r="AV169">
            <v>0</v>
          </cell>
          <cell r="AW169">
            <v>0</v>
          </cell>
          <cell r="AX169">
            <v>0</v>
          </cell>
          <cell r="AY169">
            <v>0</v>
          </cell>
          <cell r="AZ169">
            <v>2675.28</v>
          </cell>
          <cell r="BA169">
            <v>35</v>
          </cell>
          <cell r="BB169">
            <v>603.12</v>
          </cell>
          <cell r="BC169">
            <v>0</v>
          </cell>
          <cell r="BD169">
            <v>150.78</v>
          </cell>
          <cell r="BM169">
            <v>249.26</v>
          </cell>
          <cell r="BN169">
            <v>0</v>
          </cell>
          <cell r="BO169">
            <v>477.85</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N169">
            <v>0</v>
          </cell>
          <cell r="CO169">
            <v>290.05</v>
          </cell>
          <cell r="CP169">
            <v>0</v>
          </cell>
          <cell r="CQ169">
            <v>0</v>
          </cell>
          <cell r="CR169">
            <v>0</v>
          </cell>
          <cell r="CS169">
            <v>0</v>
          </cell>
          <cell r="CT169">
            <v>0</v>
          </cell>
          <cell r="CU169">
            <v>3172.55</v>
          </cell>
          <cell r="CV169">
            <v>0</v>
          </cell>
          <cell r="CW169">
            <v>207.22</v>
          </cell>
          <cell r="CX169">
            <v>0</v>
          </cell>
          <cell r="CY169">
            <v>80.81</v>
          </cell>
          <cell r="CZ169">
            <v>207.22</v>
          </cell>
          <cell r="DR169">
            <v>0</v>
          </cell>
          <cell r="DS169">
            <v>0</v>
          </cell>
          <cell r="DT169">
            <v>0</v>
          </cell>
          <cell r="DU169">
            <v>0</v>
          </cell>
          <cell r="DW169">
            <v>0</v>
          </cell>
          <cell r="DX169" t="str">
            <v>1</v>
          </cell>
          <cell r="DY169">
            <v>0</v>
          </cell>
          <cell r="DZ169">
            <v>0</v>
          </cell>
          <cell r="EA169">
            <v>0</v>
          </cell>
          <cell r="EB169">
            <v>0</v>
          </cell>
          <cell r="ED169">
            <v>24865.919999999998</v>
          </cell>
          <cell r="EE169" t="str">
            <v>1</v>
          </cell>
          <cell r="EF169">
            <v>603.12</v>
          </cell>
          <cell r="EG169" t="str">
            <v>1</v>
          </cell>
          <cell r="EH169" t="str">
            <v>Stevens          CP Mr</v>
          </cell>
          <cell r="EI169">
            <v>4631</v>
          </cell>
          <cell r="EJ169">
            <v>0</v>
          </cell>
          <cell r="EK169">
            <v>0</v>
          </cell>
        </row>
        <row r="170">
          <cell r="I170" t="str">
            <v>Dawkins          A  Mr</v>
          </cell>
          <cell r="J170">
            <v>7050</v>
          </cell>
          <cell r="K170">
            <v>10</v>
          </cell>
          <cell r="L170">
            <v>3333.33</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3333.33</v>
          </cell>
          <cell r="BM170">
            <v>261.45</v>
          </cell>
          <cell r="BN170">
            <v>0</v>
          </cell>
          <cell r="BO170">
            <v>663.1</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v>0</v>
          </cell>
          <cell r="CM170">
            <v>0</v>
          </cell>
          <cell r="CN170">
            <v>0</v>
          </cell>
          <cell r="CO170">
            <v>374.4</v>
          </cell>
          <cell r="CP170">
            <v>0</v>
          </cell>
          <cell r="CQ170">
            <v>0</v>
          </cell>
          <cell r="CR170">
            <v>0</v>
          </cell>
          <cell r="CS170">
            <v>0</v>
          </cell>
          <cell r="CT170">
            <v>0</v>
          </cell>
          <cell r="CU170">
            <v>4041.06</v>
          </cell>
          <cell r="CV170">
            <v>325</v>
          </cell>
          <cell r="CW170">
            <v>0</v>
          </cell>
          <cell r="CX170">
            <v>0</v>
          </cell>
          <cell r="CY170">
            <v>130</v>
          </cell>
          <cell r="CZ170">
            <v>333.33</v>
          </cell>
          <cell r="DR170">
            <v>0</v>
          </cell>
          <cell r="DS170">
            <v>0</v>
          </cell>
          <cell r="DT170">
            <v>0</v>
          </cell>
          <cell r="DU170">
            <v>0</v>
          </cell>
          <cell r="DW170">
            <v>0</v>
          </cell>
          <cell r="DX170" t="str">
            <v>1</v>
          </cell>
          <cell r="DY170">
            <v>0</v>
          </cell>
          <cell r="DZ170" t="str">
            <v>1</v>
          </cell>
          <cell r="EA170">
            <v>0</v>
          </cell>
          <cell r="EB170">
            <v>0</v>
          </cell>
          <cell r="ED170">
            <v>39999.96</v>
          </cell>
          <cell r="EE170">
            <v>0</v>
          </cell>
          <cell r="EF170">
            <v>0</v>
          </cell>
          <cell r="EG170">
            <v>0</v>
          </cell>
          <cell r="EH170" t="str">
            <v>Dawkins          A  Mr</v>
          </cell>
          <cell r="EI170">
            <v>4652</v>
          </cell>
          <cell r="EJ170">
            <v>0</v>
          </cell>
          <cell r="EK170">
            <v>0</v>
          </cell>
        </row>
        <row r="171">
          <cell r="I171" t="str">
            <v>Armitage         M  Mrs</v>
          </cell>
          <cell r="J171">
            <v>7050</v>
          </cell>
          <cell r="K171">
            <v>10</v>
          </cell>
          <cell r="L171">
            <v>4734.75</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5434.75</v>
          </cell>
          <cell r="BA171">
            <v>0</v>
          </cell>
          <cell r="BB171">
            <v>0</v>
          </cell>
          <cell r="BC171">
            <v>0</v>
          </cell>
          <cell r="BD171">
            <v>0</v>
          </cell>
          <cell r="BE171">
            <v>0</v>
          </cell>
          <cell r="BF171">
            <v>700</v>
          </cell>
          <cell r="BM171">
            <v>282.45999999999998</v>
          </cell>
          <cell r="BN171">
            <v>0</v>
          </cell>
          <cell r="BO171">
            <v>1433.1</v>
          </cell>
          <cell r="BP171">
            <v>0</v>
          </cell>
          <cell r="BQ171">
            <v>0</v>
          </cell>
          <cell r="BR171">
            <v>0</v>
          </cell>
          <cell r="BS171">
            <v>0</v>
          </cell>
          <cell r="BT171">
            <v>0</v>
          </cell>
          <cell r="BU171">
            <v>0</v>
          </cell>
          <cell r="BV171">
            <v>0</v>
          </cell>
          <cell r="BW171">
            <v>0</v>
          </cell>
          <cell r="BX171">
            <v>0</v>
          </cell>
          <cell r="BY171">
            <v>0</v>
          </cell>
          <cell r="BZ171">
            <v>28</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643.33000000000004</v>
          </cell>
          <cell r="CP171">
            <v>0</v>
          </cell>
          <cell r="CQ171">
            <v>0</v>
          </cell>
          <cell r="CR171">
            <v>0</v>
          </cell>
          <cell r="CS171">
            <v>0</v>
          </cell>
          <cell r="CT171">
            <v>0</v>
          </cell>
          <cell r="CU171">
            <v>6788.29</v>
          </cell>
          <cell r="CV171">
            <v>0</v>
          </cell>
          <cell r="CW171">
            <v>0</v>
          </cell>
          <cell r="CX171">
            <v>0</v>
          </cell>
          <cell r="CY171">
            <v>0</v>
          </cell>
          <cell r="CZ171">
            <v>0</v>
          </cell>
          <cell r="DA171">
            <v>0</v>
          </cell>
          <cell r="DB171">
            <v>236.74</v>
          </cell>
          <cell r="DC171">
            <v>710.21</v>
          </cell>
          <cell r="DR171">
            <v>0</v>
          </cell>
          <cell r="DS171">
            <v>0</v>
          </cell>
          <cell r="DT171">
            <v>0</v>
          </cell>
          <cell r="DU171" t="str">
            <v>1</v>
          </cell>
          <cell r="DV171">
            <v>22</v>
          </cell>
          <cell r="DW171" t="str">
            <v>1</v>
          </cell>
          <cell r="DX171">
            <v>0</v>
          </cell>
          <cell r="DY171" t="str">
            <v>1</v>
          </cell>
          <cell r="DZ171">
            <v>0</v>
          </cell>
          <cell r="EA171" t="str">
            <v>1</v>
          </cell>
          <cell r="EB171">
            <v>0</v>
          </cell>
          <cell r="ED171">
            <v>56817</v>
          </cell>
          <cell r="EE171">
            <v>0</v>
          </cell>
          <cell r="EF171">
            <v>0</v>
          </cell>
          <cell r="EG171">
            <v>0</v>
          </cell>
          <cell r="EH171" t="str">
            <v>Armitage         M  Mrs</v>
          </cell>
          <cell r="EI171">
            <v>4710</v>
          </cell>
          <cell r="EJ171">
            <v>0</v>
          </cell>
          <cell r="EK171">
            <v>0</v>
          </cell>
        </row>
        <row r="172">
          <cell r="I172" t="str">
            <v>Longworth        G  Mr</v>
          </cell>
          <cell r="J172">
            <v>7050</v>
          </cell>
          <cell r="K172">
            <v>10</v>
          </cell>
          <cell r="L172">
            <v>4041.66</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4041.66</v>
          </cell>
          <cell r="BM172">
            <v>268.52999999999997</v>
          </cell>
          <cell r="BN172">
            <v>0</v>
          </cell>
          <cell r="BO172">
            <v>1097.9000000000001</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465.03</v>
          </cell>
          <cell r="CP172">
            <v>0</v>
          </cell>
          <cell r="CQ172">
            <v>0</v>
          </cell>
          <cell r="CR172">
            <v>0</v>
          </cell>
          <cell r="CS172">
            <v>0</v>
          </cell>
          <cell r="CT172">
            <v>0</v>
          </cell>
          <cell r="CU172">
            <v>4910.8599999999997</v>
          </cell>
          <cell r="CV172">
            <v>0</v>
          </cell>
          <cell r="CW172">
            <v>0</v>
          </cell>
          <cell r="CX172">
            <v>0</v>
          </cell>
          <cell r="CY172">
            <v>258.67</v>
          </cell>
          <cell r="CZ172">
            <v>404.17</v>
          </cell>
          <cell r="DR172">
            <v>0</v>
          </cell>
          <cell r="DS172">
            <v>0</v>
          </cell>
          <cell r="DT172">
            <v>0</v>
          </cell>
          <cell r="DU172">
            <v>0</v>
          </cell>
          <cell r="DW172">
            <v>0</v>
          </cell>
          <cell r="DX172" t="str">
            <v>1</v>
          </cell>
          <cell r="DY172">
            <v>0</v>
          </cell>
          <cell r="DZ172">
            <v>0</v>
          </cell>
          <cell r="EA172">
            <v>0</v>
          </cell>
          <cell r="EB172">
            <v>0</v>
          </cell>
          <cell r="ED172">
            <v>48499.92</v>
          </cell>
          <cell r="EE172">
            <v>0</v>
          </cell>
          <cell r="EF172">
            <v>0</v>
          </cell>
          <cell r="EG172">
            <v>0</v>
          </cell>
          <cell r="EH172" t="str">
            <v>Longworth        G  Mr</v>
          </cell>
          <cell r="EI172">
            <v>4870</v>
          </cell>
          <cell r="EJ172">
            <v>0</v>
          </cell>
          <cell r="EK172">
            <v>0</v>
          </cell>
        </row>
        <row r="173">
          <cell r="I173" t="str">
            <v>Newbury          R  Mr</v>
          </cell>
          <cell r="J173">
            <v>7050</v>
          </cell>
          <cell r="K173">
            <v>10</v>
          </cell>
          <cell r="L173">
            <v>1291.6600000000001</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187.98</v>
          </cell>
          <cell r="AS173">
            <v>0</v>
          </cell>
          <cell r="AT173">
            <v>0</v>
          </cell>
          <cell r="AU173">
            <v>0</v>
          </cell>
          <cell r="AV173">
            <v>0</v>
          </cell>
          <cell r="AW173">
            <v>0</v>
          </cell>
          <cell r="AX173">
            <v>0</v>
          </cell>
          <cell r="AY173">
            <v>0</v>
          </cell>
          <cell r="AZ173">
            <v>1479.64</v>
          </cell>
          <cell r="BA173">
            <v>17.5</v>
          </cell>
          <cell r="BB173">
            <v>187.98</v>
          </cell>
          <cell r="BC173">
            <v>0</v>
          </cell>
          <cell r="BD173">
            <v>47</v>
          </cell>
          <cell r="BM173">
            <v>117.7</v>
          </cell>
          <cell r="BN173">
            <v>0</v>
          </cell>
          <cell r="BO173">
            <v>214.95</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v>0</v>
          </cell>
          <cell r="CE173">
            <v>0</v>
          </cell>
          <cell r="CF173">
            <v>0</v>
          </cell>
          <cell r="CG173">
            <v>0</v>
          </cell>
          <cell r="CH173">
            <v>0</v>
          </cell>
          <cell r="CI173">
            <v>0</v>
          </cell>
          <cell r="CJ173">
            <v>0</v>
          </cell>
          <cell r="CK173">
            <v>0</v>
          </cell>
          <cell r="CL173">
            <v>0</v>
          </cell>
          <cell r="CM173">
            <v>0</v>
          </cell>
          <cell r="CN173">
            <v>0</v>
          </cell>
          <cell r="CO173">
            <v>136.96</v>
          </cell>
          <cell r="CP173">
            <v>0</v>
          </cell>
          <cell r="CQ173">
            <v>0</v>
          </cell>
          <cell r="CR173">
            <v>0</v>
          </cell>
          <cell r="CS173">
            <v>0</v>
          </cell>
          <cell r="CT173">
            <v>0</v>
          </cell>
          <cell r="CU173">
            <v>1616.6</v>
          </cell>
          <cell r="DR173">
            <v>0</v>
          </cell>
          <cell r="DS173">
            <v>0</v>
          </cell>
          <cell r="DT173">
            <v>0</v>
          </cell>
          <cell r="DU173">
            <v>0</v>
          </cell>
          <cell r="DW173">
            <v>0</v>
          </cell>
          <cell r="DX173">
            <v>0</v>
          </cell>
          <cell r="DY173">
            <v>0</v>
          </cell>
          <cell r="DZ173">
            <v>0</v>
          </cell>
          <cell r="EA173">
            <v>0</v>
          </cell>
          <cell r="EB173">
            <v>0</v>
          </cell>
          <cell r="ED173">
            <v>15499.920000000002</v>
          </cell>
          <cell r="EE173" t="str">
            <v>1</v>
          </cell>
          <cell r="EF173">
            <v>187.98</v>
          </cell>
          <cell r="EG173" t="str">
            <v>1</v>
          </cell>
          <cell r="EH173" t="str">
            <v>Newbury          R  Mr</v>
          </cell>
          <cell r="EI173">
            <v>4960</v>
          </cell>
          <cell r="EJ173">
            <v>0</v>
          </cell>
          <cell r="EK173">
            <v>0</v>
          </cell>
        </row>
        <row r="174">
          <cell r="I174" t="str">
            <v>Dunne            SC Mr</v>
          </cell>
          <cell r="J174">
            <v>7060</v>
          </cell>
          <cell r="K174">
            <v>10</v>
          </cell>
          <cell r="L174">
            <v>7083.33</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7783.33</v>
          </cell>
          <cell r="BA174">
            <v>0</v>
          </cell>
          <cell r="BB174">
            <v>0</v>
          </cell>
          <cell r="BC174">
            <v>0</v>
          </cell>
          <cell r="BD174">
            <v>0</v>
          </cell>
          <cell r="BE174">
            <v>0</v>
          </cell>
          <cell r="BF174">
            <v>700</v>
          </cell>
          <cell r="BM174">
            <v>305.95</v>
          </cell>
          <cell r="BN174">
            <v>0</v>
          </cell>
          <cell r="BO174">
            <v>2405.1</v>
          </cell>
          <cell r="BP174">
            <v>0</v>
          </cell>
          <cell r="BQ174">
            <v>0</v>
          </cell>
          <cell r="BR174">
            <v>0</v>
          </cell>
          <cell r="BS174">
            <v>0</v>
          </cell>
          <cell r="BT174">
            <v>0</v>
          </cell>
          <cell r="BU174">
            <v>0</v>
          </cell>
          <cell r="BV174">
            <v>0</v>
          </cell>
          <cell r="BW174">
            <v>0</v>
          </cell>
          <cell r="BX174">
            <v>4.33</v>
          </cell>
          <cell r="BY174">
            <v>0</v>
          </cell>
          <cell r="BZ174">
            <v>22</v>
          </cell>
          <cell r="CA174">
            <v>0</v>
          </cell>
          <cell r="CB174">
            <v>0</v>
          </cell>
          <cell r="CC174">
            <v>0</v>
          </cell>
          <cell r="CD174">
            <v>0</v>
          </cell>
          <cell r="CE174">
            <v>0</v>
          </cell>
          <cell r="CF174">
            <v>0</v>
          </cell>
          <cell r="CG174">
            <v>0</v>
          </cell>
          <cell r="CH174">
            <v>0</v>
          </cell>
          <cell r="CI174">
            <v>0</v>
          </cell>
          <cell r="CJ174">
            <v>0</v>
          </cell>
          <cell r="CK174">
            <v>0</v>
          </cell>
          <cell r="CL174">
            <v>0</v>
          </cell>
          <cell r="CM174">
            <v>0</v>
          </cell>
          <cell r="CN174">
            <v>0</v>
          </cell>
          <cell r="CO174">
            <v>944</v>
          </cell>
          <cell r="CP174">
            <v>0</v>
          </cell>
          <cell r="CQ174">
            <v>0</v>
          </cell>
          <cell r="CR174">
            <v>0</v>
          </cell>
          <cell r="CS174">
            <v>0</v>
          </cell>
          <cell r="CT174">
            <v>0</v>
          </cell>
          <cell r="CU174">
            <v>9435.66</v>
          </cell>
          <cell r="CV174">
            <v>266.66000000000003</v>
          </cell>
          <cell r="CW174">
            <v>0</v>
          </cell>
          <cell r="CX174">
            <v>0</v>
          </cell>
          <cell r="CY174">
            <v>552.5</v>
          </cell>
          <cell r="CZ174">
            <v>708.33</v>
          </cell>
          <cell r="DR174">
            <v>0</v>
          </cell>
          <cell r="DS174" t="str">
            <v>1</v>
          </cell>
          <cell r="DT174">
            <v>0</v>
          </cell>
          <cell r="DU174" t="str">
            <v>1</v>
          </cell>
          <cell r="DV174">
            <v>22</v>
          </cell>
          <cell r="DW174" t="str">
            <v>1</v>
          </cell>
          <cell r="DX174" t="str">
            <v>1</v>
          </cell>
          <cell r="DY174">
            <v>0</v>
          </cell>
          <cell r="DZ174" t="str">
            <v>1</v>
          </cell>
          <cell r="EA174">
            <v>0</v>
          </cell>
          <cell r="ED174">
            <v>84999.959999999992</v>
          </cell>
          <cell r="EF174">
            <v>0</v>
          </cell>
          <cell r="EG174">
            <v>0</v>
          </cell>
          <cell r="EH174" t="str">
            <v>Dunne            SC Mr</v>
          </cell>
          <cell r="EI174">
            <v>4871</v>
          </cell>
          <cell r="EJ174">
            <v>0</v>
          </cell>
          <cell r="EK174">
            <v>0</v>
          </cell>
        </row>
      </sheetData>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mp;L"/>
      <sheetName val="Monthly Rev and Cost Board"/>
      <sheetName val="UK Inputs"/>
      <sheetName val="UK Output"/>
      <sheetName val="Operating Model"/>
      <sheetName val="Key Assumptions"/>
      <sheetName val="Key Costs"/>
      <sheetName val="Sheet1"/>
      <sheetName val="Monthly Rev and Cost Forecast"/>
      <sheetName val="Quarterly P&amp;L"/>
      <sheetName val="Cash burn"/>
      <sheetName val="Headcount"/>
      <sheetName val="Software tools"/>
      <sheetName val="eCPA and Virality"/>
      <sheetName val="LCV"/>
      <sheetName val="LCV backup"/>
      <sheetName val="2016 costs% of rev"/>
    </sheetNames>
    <sheetDataSet>
      <sheetData sheetId="0"/>
      <sheetData sheetId="1"/>
      <sheetData sheetId="2">
        <row r="13">
          <cell r="G13">
            <v>196106.16375000001</v>
          </cell>
        </row>
        <row r="33">
          <cell r="E33">
            <v>41791</v>
          </cell>
        </row>
        <row r="34">
          <cell r="E34">
            <v>42156</v>
          </cell>
        </row>
        <row r="35">
          <cell r="E35">
            <v>42156</v>
          </cell>
        </row>
        <row r="41">
          <cell r="G41">
            <v>155639.8125</v>
          </cell>
        </row>
        <row r="61">
          <cell r="E61">
            <v>41791</v>
          </cell>
        </row>
        <row r="62">
          <cell r="E62">
            <v>42156</v>
          </cell>
        </row>
        <row r="63">
          <cell r="E63">
            <v>42156</v>
          </cell>
        </row>
        <row r="70">
          <cell r="G70">
            <v>-167141.59464375002</v>
          </cell>
        </row>
        <row r="75">
          <cell r="E75">
            <v>41883</v>
          </cell>
        </row>
        <row r="76">
          <cell r="E76">
            <v>42887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amp;L"/>
      <sheetName val="Headcount"/>
      <sheetName val="BS"/>
      <sheetName val="CF"/>
      <sheetName val="Capex"/>
      <sheetName val="Parameters"/>
      <sheetName val="Sanity Checks"/>
      <sheetName val="Sanity_Checks1"/>
      <sheetName val="Sanity_Checks"/>
    </sheetNames>
    <sheetDataSet>
      <sheetData sheetId="0" refreshError="1"/>
      <sheetData sheetId="1" refreshError="1"/>
      <sheetData sheetId="2" refreshError="1"/>
      <sheetData sheetId="3" refreshError="1"/>
      <sheetData sheetId="4" refreshError="1"/>
      <sheetData sheetId="5" refreshError="1"/>
      <sheetData sheetId="6" refreshError="1">
        <row r="9">
          <cell r="B9" t="str">
            <v>USD</v>
          </cell>
          <cell r="E9" t="str">
            <v>IL</v>
          </cell>
        </row>
        <row r="10">
          <cell r="B10" t="str">
            <v>NIS</v>
          </cell>
          <cell r="E10" t="str">
            <v>US</v>
          </cell>
        </row>
        <row r="11">
          <cell r="B11" t="str">
            <v>GBP</v>
          </cell>
          <cell r="E11" t="str">
            <v>EU</v>
          </cell>
        </row>
        <row r="12">
          <cell r="B12" t="str">
            <v>EUR</v>
          </cell>
          <cell r="E12" t="str">
            <v>APAC</v>
          </cell>
        </row>
        <row r="18">
          <cell r="B18" t="str">
            <v>Support</v>
          </cell>
        </row>
        <row r="19">
          <cell r="B19" t="str">
            <v>R&amp;D</v>
          </cell>
        </row>
        <row r="20">
          <cell r="B20" t="str">
            <v>Product</v>
          </cell>
        </row>
        <row r="21">
          <cell r="B21" t="str">
            <v>Sales</v>
          </cell>
        </row>
        <row r="22">
          <cell r="B22" t="str">
            <v>Marketing</v>
          </cell>
        </row>
        <row r="23">
          <cell r="B23" t="str">
            <v>G&amp;A</v>
          </cell>
        </row>
        <row r="24">
          <cell r="B24" t="str">
            <v>Other</v>
          </cell>
        </row>
        <row r="28">
          <cell r="B28" t="str">
            <v>Payroll</v>
          </cell>
        </row>
        <row r="29">
          <cell r="B29" t="str">
            <v>Commissions</v>
          </cell>
        </row>
        <row r="30">
          <cell r="B30" t="str">
            <v>Travel</v>
          </cell>
        </row>
        <row r="31">
          <cell r="B31" t="str">
            <v>Recruiting</v>
          </cell>
        </row>
        <row r="32">
          <cell r="B32" t="str">
            <v>Hosting</v>
          </cell>
        </row>
        <row r="33">
          <cell r="B33" t="str">
            <v>Insurance</v>
          </cell>
          <cell r="F33">
            <v>0.17</v>
          </cell>
        </row>
        <row r="34">
          <cell r="B34" t="str">
            <v>IT</v>
          </cell>
        </row>
        <row r="35">
          <cell r="B35" t="str">
            <v>Marketing</v>
          </cell>
        </row>
        <row r="36">
          <cell r="B36" t="str">
            <v>Office exp.</v>
          </cell>
        </row>
        <row r="37">
          <cell r="B37" t="str">
            <v>Others</v>
          </cell>
        </row>
        <row r="38">
          <cell r="B38" t="str">
            <v>Outsource</v>
          </cell>
        </row>
        <row r="39">
          <cell r="B39" t="str">
            <v>PR</v>
          </cell>
        </row>
        <row r="40">
          <cell r="B40" t="str">
            <v>Professional</v>
          </cell>
        </row>
        <row r="41">
          <cell r="B41" t="str">
            <v>Relocation</v>
          </cell>
        </row>
        <row r="42">
          <cell r="B42" t="str">
            <v>Rent</v>
          </cell>
        </row>
        <row r="63">
          <cell r="C63">
            <v>0.01</v>
          </cell>
        </row>
        <row r="64">
          <cell r="C64">
            <v>0.2</v>
          </cell>
        </row>
      </sheetData>
      <sheetData sheetId="7" refreshError="1"/>
      <sheetData sheetId="8"/>
      <sheetData sheetId="9"/>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JE"/>
      <sheetName val="Pivot"/>
      <sheetName val="general ledger"/>
      <sheetName val="BS"/>
      <sheetName val="P&amp;L"/>
      <sheetName val="cash flow by EY"/>
      <sheetName val="CF"/>
      <sheetName val="AE"/>
    </sheetNames>
    <sheetDataSet>
      <sheetData sheetId="0">
        <row r="3">
          <cell r="B3">
            <v>900001</v>
          </cell>
        </row>
        <row r="4">
          <cell r="B4">
            <v>900002</v>
          </cell>
        </row>
        <row r="5">
          <cell r="B5">
            <v>900003</v>
          </cell>
        </row>
        <row r="6">
          <cell r="B6">
            <v>900004</v>
          </cell>
        </row>
        <row r="10">
          <cell r="B10">
            <v>919999</v>
          </cell>
        </row>
        <row r="11">
          <cell r="B11">
            <v>910001</v>
          </cell>
        </row>
        <row r="12">
          <cell r="B12">
            <v>910002</v>
          </cell>
        </row>
        <row r="13">
          <cell r="B13">
            <v>910003</v>
          </cell>
        </row>
        <row r="14">
          <cell r="B14">
            <v>910004</v>
          </cell>
        </row>
        <row r="15">
          <cell r="B15">
            <v>910005</v>
          </cell>
        </row>
        <row r="16">
          <cell r="B16">
            <v>910006</v>
          </cell>
        </row>
        <row r="17">
          <cell r="B17">
            <v>910007</v>
          </cell>
        </row>
        <row r="18">
          <cell r="B18">
            <v>910008</v>
          </cell>
        </row>
        <row r="25">
          <cell r="B25">
            <v>0</v>
          </cell>
        </row>
        <row r="26">
          <cell r="B26">
            <v>809999</v>
          </cell>
        </row>
        <row r="27">
          <cell r="B27">
            <v>800000</v>
          </cell>
        </row>
        <row r="28">
          <cell r="B28">
            <v>800001</v>
          </cell>
        </row>
        <row r="29">
          <cell r="B29">
            <v>800002</v>
          </cell>
        </row>
        <row r="30">
          <cell r="B30">
            <v>800003</v>
          </cell>
        </row>
        <row r="31">
          <cell r="B31">
            <v>800004</v>
          </cell>
        </row>
        <row r="32">
          <cell r="B32">
            <v>800005</v>
          </cell>
        </row>
        <row r="33">
          <cell r="B33">
            <v>800006</v>
          </cell>
        </row>
        <row r="34">
          <cell r="B34">
            <v>800007</v>
          </cell>
        </row>
        <row r="35">
          <cell r="B35">
            <v>800008</v>
          </cell>
        </row>
        <row r="36">
          <cell r="B36">
            <v>800009</v>
          </cell>
        </row>
        <row r="39">
          <cell r="B39">
            <v>0</v>
          </cell>
        </row>
        <row r="40">
          <cell r="B40">
            <v>819999</v>
          </cell>
        </row>
        <row r="41">
          <cell r="B41">
            <v>810000</v>
          </cell>
        </row>
        <row r="42">
          <cell r="B42">
            <v>810001</v>
          </cell>
        </row>
        <row r="43">
          <cell r="B43">
            <v>810002</v>
          </cell>
        </row>
        <row r="44">
          <cell r="B44">
            <v>810003</v>
          </cell>
        </row>
        <row r="45">
          <cell r="B45">
            <v>810004</v>
          </cell>
        </row>
        <row r="46">
          <cell r="B46">
            <v>810005</v>
          </cell>
        </row>
        <row r="47">
          <cell r="B47">
            <v>810006</v>
          </cell>
        </row>
        <row r="53">
          <cell r="B53">
            <v>829999</v>
          </cell>
        </row>
        <row r="54">
          <cell r="B54">
            <v>820000</v>
          </cell>
        </row>
        <row r="55">
          <cell r="B55">
            <v>820001</v>
          </cell>
        </row>
        <row r="56">
          <cell r="B56">
            <v>820002</v>
          </cell>
        </row>
        <row r="57">
          <cell r="B57">
            <v>820003</v>
          </cell>
        </row>
        <row r="58">
          <cell r="B58">
            <v>820004</v>
          </cell>
        </row>
        <row r="59">
          <cell r="B59">
            <v>820005</v>
          </cell>
        </row>
        <row r="60">
          <cell r="B60">
            <v>820006</v>
          </cell>
        </row>
        <row r="61">
          <cell r="B61">
            <v>820007</v>
          </cell>
        </row>
        <row r="62">
          <cell r="B62">
            <v>820008</v>
          </cell>
        </row>
        <row r="63">
          <cell r="B63">
            <v>820009</v>
          </cell>
        </row>
        <row r="67">
          <cell r="B67">
            <v>839999</v>
          </cell>
        </row>
        <row r="68">
          <cell r="B68">
            <v>830001</v>
          </cell>
        </row>
        <row r="69">
          <cell r="B69">
            <v>830002</v>
          </cell>
        </row>
        <row r="70">
          <cell r="B70">
            <v>830003</v>
          </cell>
        </row>
        <row r="71">
          <cell r="B71">
            <v>830004</v>
          </cell>
        </row>
        <row r="72">
          <cell r="B72">
            <v>830005</v>
          </cell>
        </row>
        <row r="73">
          <cell r="B73">
            <v>830006</v>
          </cell>
        </row>
        <row r="74">
          <cell r="B74">
            <v>830007</v>
          </cell>
        </row>
        <row r="75">
          <cell r="B75">
            <v>830008</v>
          </cell>
        </row>
        <row r="76">
          <cell r="B76">
            <v>830009</v>
          </cell>
        </row>
        <row r="77">
          <cell r="B77">
            <v>830010</v>
          </cell>
        </row>
        <row r="78">
          <cell r="B78">
            <v>830011</v>
          </cell>
        </row>
        <row r="84">
          <cell r="B84">
            <v>849999</v>
          </cell>
        </row>
        <row r="85">
          <cell r="B85">
            <v>840001</v>
          </cell>
        </row>
        <row r="86">
          <cell r="B86">
            <v>840002</v>
          </cell>
        </row>
        <row r="87">
          <cell r="B87">
            <v>840003</v>
          </cell>
        </row>
        <row r="88">
          <cell r="B88">
            <v>840004</v>
          </cell>
        </row>
        <row r="89">
          <cell r="B89">
            <v>840005</v>
          </cell>
        </row>
        <row r="90">
          <cell r="B90">
            <v>840006</v>
          </cell>
        </row>
        <row r="91">
          <cell r="B91">
            <v>840007</v>
          </cell>
        </row>
        <row r="94">
          <cell r="B94">
            <v>0</v>
          </cell>
        </row>
        <row r="95">
          <cell r="B95">
            <v>859999</v>
          </cell>
        </row>
        <row r="96">
          <cell r="B96">
            <v>850001</v>
          </cell>
        </row>
        <row r="97">
          <cell r="B97">
            <v>850002</v>
          </cell>
        </row>
        <row r="98">
          <cell r="B98">
            <v>850003</v>
          </cell>
        </row>
        <row r="99">
          <cell r="B99">
            <v>850004</v>
          </cell>
        </row>
        <row r="100">
          <cell r="B100">
            <v>850005</v>
          </cell>
        </row>
        <row r="101">
          <cell r="B101">
            <v>850006</v>
          </cell>
        </row>
        <row r="102">
          <cell r="B102">
            <v>850007</v>
          </cell>
        </row>
        <row r="103">
          <cell r="B103">
            <v>850008</v>
          </cell>
        </row>
        <row r="104">
          <cell r="B104">
            <v>850009</v>
          </cell>
        </row>
        <row r="105">
          <cell r="B105">
            <v>0</v>
          </cell>
        </row>
        <row r="106">
          <cell r="B106">
            <v>0</v>
          </cell>
        </row>
        <row r="107">
          <cell r="B107">
            <v>0</v>
          </cell>
        </row>
        <row r="108">
          <cell r="B108">
            <v>0</v>
          </cell>
        </row>
        <row r="110">
          <cell r="B110">
            <v>869999</v>
          </cell>
        </row>
        <row r="111">
          <cell r="B111">
            <v>860001</v>
          </cell>
        </row>
        <row r="112">
          <cell r="B112">
            <v>860002</v>
          </cell>
        </row>
        <row r="113">
          <cell r="B113">
            <v>860003</v>
          </cell>
        </row>
        <row r="114">
          <cell r="B114">
            <v>860004</v>
          </cell>
        </row>
        <row r="115">
          <cell r="B115">
            <v>860005</v>
          </cell>
        </row>
        <row r="116">
          <cell r="B116">
            <v>860006</v>
          </cell>
        </row>
        <row r="117">
          <cell r="B117">
            <v>860007</v>
          </cell>
        </row>
        <row r="118">
          <cell r="B118">
            <v>860008</v>
          </cell>
        </row>
        <row r="119">
          <cell r="B119">
            <v>860009</v>
          </cell>
        </row>
        <row r="120">
          <cell r="B120">
            <v>860010</v>
          </cell>
        </row>
        <row r="121">
          <cell r="B121">
            <v>860011</v>
          </cell>
        </row>
        <row r="122">
          <cell r="B122">
            <v>860012</v>
          </cell>
        </row>
        <row r="123">
          <cell r="B123">
            <v>860013</v>
          </cell>
        </row>
        <row r="127">
          <cell r="B127">
            <v>879999</v>
          </cell>
        </row>
        <row r="128">
          <cell r="B128">
            <v>870001</v>
          </cell>
        </row>
        <row r="129">
          <cell r="B129">
            <v>870002</v>
          </cell>
        </row>
        <row r="130">
          <cell r="B130">
            <v>870003</v>
          </cell>
        </row>
        <row r="131">
          <cell r="B131">
            <v>870004</v>
          </cell>
        </row>
        <row r="132">
          <cell r="B132">
            <v>870005</v>
          </cell>
        </row>
        <row r="133">
          <cell r="B133">
            <v>870006</v>
          </cell>
        </row>
        <row r="134">
          <cell r="B134">
            <v>870007</v>
          </cell>
        </row>
        <row r="135">
          <cell r="B135">
            <v>870008</v>
          </cell>
        </row>
        <row r="136">
          <cell r="B136">
            <v>870009</v>
          </cell>
        </row>
        <row r="137">
          <cell r="B137">
            <v>870010</v>
          </cell>
        </row>
        <row r="138">
          <cell r="B138">
            <v>870011</v>
          </cell>
        </row>
        <row r="139">
          <cell r="B139">
            <v>870012</v>
          </cell>
        </row>
        <row r="140">
          <cell r="B140">
            <v>870013</v>
          </cell>
        </row>
        <row r="143">
          <cell r="B143">
            <v>0</v>
          </cell>
        </row>
        <row r="144">
          <cell r="B144">
            <v>889999</v>
          </cell>
        </row>
        <row r="145">
          <cell r="B145">
            <v>880001</v>
          </cell>
        </row>
        <row r="146">
          <cell r="B146">
            <v>880002</v>
          </cell>
        </row>
        <row r="147">
          <cell r="B147">
            <v>880003</v>
          </cell>
        </row>
        <row r="148">
          <cell r="B148">
            <v>880004</v>
          </cell>
        </row>
        <row r="149">
          <cell r="B149">
            <v>880005</v>
          </cell>
        </row>
        <row r="150">
          <cell r="B150">
            <v>880006</v>
          </cell>
        </row>
        <row r="151">
          <cell r="B151">
            <v>880007</v>
          </cell>
        </row>
        <row r="152">
          <cell r="B152">
            <v>880008</v>
          </cell>
        </row>
        <row r="153">
          <cell r="B153">
            <v>880009</v>
          </cell>
        </row>
        <row r="154">
          <cell r="B154">
            <v>880010</v>
          </cell>
        </row>
        <row r="155">
          <cell r="B155">
            <v>880011</v>
          </cell>
        </row>
        <row r="156">
          <cell r="B156">
            <v>880012</v>
          </cell>
        </row>
        <row r="157">
          <cell r="B157">
            <v>880013</v>
          </cell>
        </row>
        <row r="161">
          <cell r="B161">
            <v>899999</v>
          </cell>
        </row>
        <row r="162">
          <cell r="B162">
            <v>890001</v>
          </cell>
        </row>
        <row r="163">
          <cell r="B163">
            <v>890002</v>
          </cell>
        </row>
        <row r="164">
          <cell r="B164">
            <v>890003</v>
          </cell>
        </row>
        <row r="165">
          <cell r="B165">
            <v>890004</v>
          </cell>
        </row>
        <row r="166">
          <cell r="B166">
            <v>890005</v>
          </cell>
        </row>
        <row r="167">
          <cell r="B167">
            <v>890006</v>
          </cell>
        </row>
        <row r="168">
          <cell r="B168">
            <v>890007</v>
          </cell>
        </row>
        <row r="169">
          <cell r="B169">
            <v>890008</v>
          </cell>
        </row>
        <row r="170">
          <cell r="B170">
            <v>890009</v>
          </cell>
        </row>
        <row r="171">
          <cell r="B171">
            <v>890010</v>
          </cell>
        </row>
        <row r="172">
          <cell r="B172">
            <v>890011</v>
          </cell>
        </row>
        <row r="173">
          <cell r="B173">
            <v>890012</v>
          </cell>
        </row>
        <row r="174">
          <cell r="B174">
            <v>890013</v>
          </cell>
        </row>
        <row r="178">
          <cell r="B178">
            <v>8999991</v>
          </cell>
        </row>
        <row r="179">
          <cell r="B179">
            <v>8910001</v>
          </cell>
        </row>
        <row r="180">
          <cell r="B180">
            <v>8910002</v>
          </cell>
        </row>
        <row r="181">
          <cell r="B181">
            <v>8910003</v>
          </cell>
        </row>
        <row r="182">
          <cell r="B182">
            <v>8910004</v>
          </cell>
        </row>
        <row r="183">
          <cell r="B183">
            <v>8910005</v>
          </cell>
        </row>
        <row r="184">
          <cell r="B184">
            <v>8910006</v>
          </cell>
        </row>
        <row r="185">
          <cell r="B185">
            <v>8910007</v>
          </cell>
        </row>
        <row r="186">
          <cell r="B186">
            <v>8910008</v>
          </cell>
        </row>
        <row r="187">
          <cell r="B187">
            <v>8910009</v>
          </cell>
        </row>
        <row r="188">
          <cell r="B188">
            <v>8910010</v>
          </cell>
        </row>
        <row r="189">
          <cell r="B189">
            <v>8910011</v>
          </cell>
        </row>
        <row r="190">
          <cell r="B190">
            <v>8910012</v>
          </cell>
        </row>
        <row r="191">
          <cell r="B191">
            <v>8910013</v>
          </cell>
        </row>
        <row r="197">
          <cell r="B197">
            <v>8999992</v>
          </cell>
        </row>
        <row r="198">
          <cell r="B198">
            <v>8920001</v>
          </cell>
        </row>
        <row r="199">
          <cell r="B199">
            <v>8920002</v>
          </cell>
        </row>
        <row r="200">
          <cell r="B200">
            <v>8920003</v>
          </cell>
        </row>
        <row r="201">
          <cell r="B201">
            <v>8920004</v>
          </cell>
        </row>
        <row r="202">
          <cell r="B202">
            <v>8920005</v>
          </cell>
        </row>
        <row r="203">
          <cell r="B203">
            <v>8920006</v>
          </cell>
        </row>
        <row r="204">
          <cell r="B204">
            <v>8920007</v>
          </cell>
        </row>
        <row r="205">
          <cell r="B205">
            <v>8920008</v>
          </cell>
        </row>
        <row r="206">
          <cell r="B206">
            <v>8920009</v>
          </cell>
        </row>
        <row r="207">
          <cell r="B207">
            <v>8920010</v>
          </cell>
        </row>
        <row r="208">
          <cell r="B208">
            <v>8920011</v>
          </cell>
        </row>
        <row r="209">
          <cell r="B209">
            <v>8920012</v>
          </cell>
        </row>
        <row r="210">
          <cell r="B210">
            <v>8920013</v>
          </cell>
        </row>
        <row r="211">
          <cell r="B211">
            <v>8920014</v>
          </cell>
        </row>
        <row r="212">
          <cell r="B212">
            <v>8920015</v>
          </cell>
        </row>
        <row r="213">
          <cell r="B213">
            <v>8920016</v>
          </cell>
        </row>
        <row r="214">
          <cell r="B214">
            <v>8920017</v>
          </cell>
        </row>
        <row r="215">
          <cell r="B215">
            <v>8920018</v>
          </cell>
        </row>
        <row r="216">
          <cell r="B216">
            <v>8920019</v>
          </cell>
        </row>
        <row r="219">
          <cell r="B219">
            <v>0</v>
          </cell>
        </row>
        <row r="220">
          <cell r="B220">
            <v>8999993</v>
          </cell>
        </row>
        <row r="221">
          <cell r="B221">
            <v>8930001</v>
          </cell>
        </row>
        <row r="222">
          <cell r="B222">
            <v>8930002</v>
          </cell>
        </row>
        <row r="223">
          <cell r="B223">
            <v>8930003</v>
          </cell>
        </row>
        <row r="224">
          <cell r="B224">
            <v>8930004</v>
          </cell>
        </row>
        <row r="225">
          <cell r="B225">
            <v>8930005</v>
          </cell>
        </row>
        <row r="226">
          <cell r="B226">
            <v>8930006</v>
          </cell>
        </row>
        <row r="227">
          <cell r="B227">
            <v>8930007</v>
          </cell>
        </row>
        <row r="228">
          <cell r="B228">
            <v>8930008</v>
          </cell>
        </row>
        <row r="229">
          <cell r="B229">
            <v>8930009</v>
          </cell>
        </row>
        <row r="230">
          <cell r="B230">
            <v>8930010</v>
          </cell>
        </row>
        <row r="231">
          <cell r="B231">
            <v>8930011</v>
          </cell>
        </row>
        <row r="232">
          <cell r="B232">
            <v>8930012</v>
          </cell>
        </row>
        <row r="233">
          <cell r="B233">
            <v>8930013</v>
          </cell>
        </row>
        <row r="234">
          <cell r="B234">
            <v>8930014</v>
          </cell>
        </row>
        <row r="235">
          <cell r="B235">
            <v>8930015</v>
          </cell>
        </row>
        <row r="236">
          <cell r="B236">
            <v>8930016</v>
          </cell>
        </row>
        <row r="237">
          <cell r="B237">
            <v>8930017</v>
          </cell>
        </row>
        <row r="238">
          <cell r="B238">
            <v>8930018</v>
          </cell>
        </row>
        <row r="239">
          <cell r="B239">
            <v>8930019</v>
          </cell>
        </row>
        <row r="240">
          <cell r="B240">
            <v>8930020</v>
          </cell>
        </row>
        <row r="241">
          <cell r="B241">
            <v>8930021</v>
          </cell>
        </row>
        <row r="242">
          <cell r="B242">
            <v>8930022</v>
          </cell>
        </row>
        <row r="245">
          <cell r="B245">
            <v>777777</v>
          </cell>
        </row>
        <row r="247">
          <cell r="B247">
            <v>666666</v>
          </cell>
        </row>
        <row r="248">
          <cell r="B248">
            <v>555555</v>
          </cell>
        </row>
        <row r="250">
          <cell r="B250">
            <v>44444</v>
          </cell>
        </row>
        <row r="254">
          <cell r="B254">
            <v>100000</v>
          </cell>
        </row>
        <row r="255">
          <cell r="B255">
            <v>110000</v>
          </cell>
        </row>
        <row r="256">
          <cell r="B256">
            <v>120000</v>
          </cell>
        </row>
        <row r="257">
          <cell r="B257">
            <v>130000</v>
          </cell>
        </row>
        <row r="258">
          <cell r="B258">
            <v>140000</v>
          </cell>
        </row>
        <row r="259">
          <cell r="B259">
            <v>0</v>
          </cell>
        </row>
        <row r="260">
          <cell r="B260">
            <v>0</v>
          </cell>
        </row>
        <row r="261">
          <cell r="B261">
            <v>300000</v>
          </cell>
        </row>
        <row r="262">
          <cell r="B262">
            <v>300001</v>
          </cell>
        </row>
        <row r="263">
          <cell r="B263">
            <v>300002</v>
          </cell>
        </row>
        <row r="264">
          <cell r="B264">
            <v>310000</v>
          </cell>
        </row>
        <row r="266">
          <cell r="B266">
            <v>0</v>
          </cell>
        </row>
        <row r="267">
          <cell r="B267">
            <v>450000</v>
          </cell>
        </row>
        <row r="268">
          <cell r="B268">
            <v>451000</v>
          </cell>
        </row>
        <row r="271">
          <cell r="B271">
            <v>0</v>
          </cell>
        </row>
        <row r="272">
          <cell r="B272">
            <v>500000</v>
          </cell>
        </row>
        <row r="273">
          <cell r="B273">
            <v>510000</v>
          </cell>
        </row>
        <row r="274">
          <cell r="B274">
            <v>520000</v>
          </cell>
        </row>
        <row r="275">
          <cell r="B275">
            <v>521000</v>
          </cell>
        </row>
        <row r="276">
          <cell r="B276">
            <v>530000</v>
          </cell>
        </row>
        <row r="277">
          <cell r="B277">
            <v>540000</v>
          </cell>
        </row>
        <row r="278">
          <cell r="B278">
            <v>550000</v>
          </cell>
        </row>
        <row r="279">
          <cell r="B279">
            <v>560000</v>
          </cell>
        </row>
        <row r="280">
          <cell r="B280">
            <v>570000</v>
          </cell>
        </row>
        <row r="283">
          <cell r="B283">
            <v>600000</v>
          </cell>
        </row>
        <row r="284">
          <cell r="B284">
            <v>610000</v>
          </cell>
        </row>
        <row r="285">
          <cell r="B285">
            <v>620000</v>
          </cell>
        </row>
        <row r="288">
          <cell r="B288">
            <v>700000</v>
          </cell>
        </row>
        <row r="289">
          <cell r="B289">
            <v>710000</v>
          </cell>
        </row>
        <row r="290">
          <cell r="B290">
            <v>740000</v>
          </cell>
        </row>
        <row r="291">
          <cell r="B291">
            <v>720000</v>
          </cell>
        </row>
        <row r="292">
          <cell r="B292">
            <v>730000</v>
          </cell>
        </row>
      </sheetData>
      <sheetData sheetId="1"/>
      <sheetData sheetId="2" refreshError="1"/>
      <sheetData sheetId="3"/>
      <sheetData sheetId="4" refreshError="1"/>
      <sheetData sheetId="5"/>
      <sheetData sheetId="6" refreshError="1"/>
      <sheetData sheetId="7" refreshError="1"/>
      <sheetData sheetId="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der"/>
      <sheetName val="Notes"/>
      <sheetName val="BS £"/>
      <sheetName val="BS USD"/>
      <sheetName val="P&amp;L £"/>
      <sheetName val="P&amp;L USD"/>
      <sheetName val="TB"/>
      <sheetName val="Assets"/>
      <sheetName val="AP"/>
      <sheetName val="Cashbook"/>
      <sheetName val="Prepay"/>
      <sheetName val="Accruals"/>
      <sheetName val="PTO"/>
      <sheetName val="PAYE&amp;NIC"/>
      <sheetName val="VAT"/>
      <sheetName val="ICO"/>
      <sheetName val="FOREX"/>
      <sheetName val="Cashflow"/>
      <sheetName val="Cost Plus"/>
      <sheetName val="Audit Trail"/>
    </sheetNames>
    <sheetDataSet>
      <sheetData sheetId="0"/>
      <sheetData sheetId="1"/>
      <sheetData sheetId="2"/>
      <sheetData sheetId="3"/>
      <sheetData sheetId="4">
        <row r="20">
          <cell r="A20" t="str">
            <v>6100-000 Staff Salaries</v>
          </cell>
          <cell r="B20">
            <v>6100</v>
          </cell>
          <cell r="D20">
            <v>8213.25</v>
          </cell>
          <cell r="F20">
            <v>6673.25</v>
          </cell>
          <cell r="H20">
            <v>6673.25</v>
          </cell>
          <cell r="J20">
            <v>13506.58</v>
          </cell>
          <cell r="L20">
            <v>16414.28</v>
          </cell>
          <cell r="N20">
            <v>20506.580000000002</v>
          </cell>
          <cell r="P20">
            <v>20506.580000000002</v>
          </cell>
          <cell r="R20">
            <v>20506.580000000002</v>
          </cell>
          <cell r="T20">
            <v>20506.580000000002</v>
          </cell>
          <cell r="V20">
            <v>20506.580000000002</v>
          </cell>
          <cell r="X20">
            <v>20506.580000000002</v>
          </cell>
          <cell r="Z20">
            <v>174520.09000000003</v>
          </cell>
        </row>
        <row r="21">
          <cell r="A21" t="str">
            <v>6105-000 Fringe benefits</v>
          </cell>
          <cell r="B21">
            <v>6105</v>
          </cell>
          <cell r="D21">
            <v>615.38</v>
          </cell>
          <cell r="F21">
            <v>500</v>
          </cell>
          <cell r="H21">
            <v>500</v>
          </cell>
          <cell r="J21">
            <v>1000</v>
          </cell>
          <cell r="L21">
            <v>1207.7</v>
          </cell>
          <cell r="N21">
            <v>1500</v>
          </cell>
          <cell r="P21">
            <v>1500</v>
          </cell>
          <cell r="R21">
            <v>1500</v>
          </cell>
          <cell r="T21">
            <v>1500</v>
          </cell>
          <cell r="V21">
            <v>1500</v>
          </cell>
          <cell r="X21">
            <v>1500</v>
          </cell>
          <cell r="Z21">
            <v>12823.08</v>
          </cell>
        </row>
        <row r="22">
          <cell r="A22" t="str">
            <v>6110-000 Employer's NIC</v>
          </cell>
          <cell r="B22">
            <v>6110</v>
          </cell>
          <cell r="D22">
            <v>1200.8800000000001</v>
          </cell>
          <cell r="F22">
            <v>969.4</v>
          </cell>
          <cell r="H22">
            <v>1867.82</v>
          </cell>
          <cell r="J22">
            <v>-530.79</v>
          </cell>
          <cell r="L22">
            <v>2375.4699999999998</v>
          </cell>
          <cell r="N22">
            <v>2980.56</v>
          </cell>
          <cell r="P22">
            <v>3821.12</v>
          </cell>
          <cell r="R22">
            <v>3099.55</v>
          </cell>
          <cell r="T22">
            <v>5917.92</v>
          </cell>
          <cell r="V22">
            <v>2980.56</v>
          </cell>
          <cell r="X22">
            <v>4457.43</v>
          </cell>
          <cell r="Z22">
            <v>29139.920000000002</v>
          </cell>
        </row>
        <row r="23">
          <cell r="A23" t="str">
            <v>6120-000 Bonus</v>
          </cell>
          <cell r="B23">
            <v>6120</v>
          </cell>
          <cell r="J23">
            <v>2935.13</v>
          </cell>
          <cell r="R23">
            <v>0</v>
          </cell>
          <cell r="T23">
            <v>0</v>
          </cell>
          <cell r="V23">
            <v>0</v>
          </cell>
          <cell r="X23">
            <v>0</v>
          </cell>
          <cell r="Z23">
            <v>2935.13</v>
          </cell>
        </row>
        <row r="24">
          <cell r="A24" t="str">
            <v>6130-000 Commissions</v>
          </cell>
          <cell r="B24">
            <v>6130</v>
          </cell>
          <cell r="P24">
            <v>6090.96</v>
          </cell>
          <cell r="R24">
            <v>862.26</v>
          </cell>
          <cell r="T24">
            <v>21285.200000000001</v>
          </cell>
          <cell r="V24">
            <v>0</v>
          </cell>
          <cell r="X24">
            <v>30702.02</v>
          </cell>
          <cell r="Z24">
            <v>58940.44</v>
          </cell>
        </row>
        <row r="25">
          <cell r="A25" t="str">
            <v>6140-000 PTO - Vacation</v>
          </cell>
          <cell r="B25">
            <v>6140</v>
          </cell>
          <cell r="D25">
            <v>514.36</v>
          </cell>
          <cell r="F25">
            <v>514.36</v>
          </cell>
          <cell r="H25">
            <v>514.36</v>
          </cell>
          <cell r="J25">
            <v>1041.05</v>
          </cell>
          <cell r="L25">
            <v>1580.58</v>
          </cell>
          <cell r="N25">
            <v>1580.58</v>
          </cell>
          <cell r="P25">
            <v>1580.58</v>
          </cell>
          <cell r="R25">
            <v>1580.58</v>
          </cell>
          <cell r="T25">
            <v>1580.58</v>
          </cell>
          <cell r="V25">
            <v>1580.58</v>
          </cell>
          <cell r="X25">
            <v>1580.58</v>
          </cell>
          <cell r="Z25">
            <v>13648.19</v>
          </cell>
        </row>
        <row r="26">
          <cell r="A26" t="str">
            <v>6210-000 Recruitment Costs</v>
          </cell>
          <cell r="B26">
            <v>6210</v>
          </cell>
          <cell r="J26">
            <v>4190.45</v>
          </cell>
          <cell r="L26">
            <v>8000</v>
          </cell>
          <cell r="N26">
            <v>8000</v>
          </cell>
          <cell r="P26">
            <v>8000</v>
          </cell>
          <cell r="R26">
            <v>8000</v>
          </cell>
          <cell r="T26">
            <v>8000</v>
          </cell>
          <cell r="V26">
            <v>8000</v>
          </cell>
          <cell r="X26">
            <v>8000</v>
          </cell>
          <cell r="Z26">
            <v>60190.45</v>
          </cell>
        </row>
        <row r="27">
          <cell r="A27" t="str">
            <v>6250-000 Staff Entertainment - meals</v>
          </cell>
          <cell r="B27">
            <v>6250</v>
          </cell>
          <cell r="N27">
            <v>92.64</v>
          </cell>
          <cell r="T27">
            <v>491.08</v>
          </cell>
          <cell r="V27">
            <v>0</v>
          </cell>
          <cell r="X27">
            <v>0</v>
          </cell>
          <cell r="Z27">
            <v>583.72</v>
          </cell>
        </row>
        <row r="28">
          <cell r="A28" t="str">
            <v>6320-000 Accounting &amp; Finance</v>
          </cell>
          <cell r="B28">
            <v>6320</v>
          </cell>
          <cell r="D28">
            <v>1480</v>
          </cell>
          <cell r="H28">
            <v>850</v>
          </cell>
          <cell r="J28">
            <v>1016</v>
          </cell>
          <cell r="L28">
            <v>1950</v>
          </cell>
          <cell r="N28">
            <v>1200</v>
          </cell>
          <cell r="P28">
            <v>850</v>
          </cell>
          <cell r="R28">
            <v>850</v>
          </cell>
          <cell r="T28">
            <v>1200</v>
          </cell>
          <cell r="V28">
            <v>850</v>
          </cell>
          <cell r="X28">
            <v>1360.15</v>
          </cell>
          <cell r="Z28">
            <v>11606.15</v>
          </cell>
        </row>
        <row r="29">
          <cell r="A29" t="str">
            <v>6340-000 Marketing &amp; PR Services</v>
          </cell>
          <cell r="B29">
            <v>6340</v>
          </cell>
          <cell r="N29">
            <v>3032</v>
          </cell>
          <cell r="R29">
            <v>2815</v>
          </cell>
          <cell r="T29">
            <v>0</v>
          </cell>
          <cell r="V29">
            <v>0</v>
          </cell>
          <cell r="X29">
            <v>0</v>
          </cell>
          <cell r="Z29">
            <v>5847</v>
          </cell>
        </row>
        <row r="30">
          <cell r="A30" t="str">
            <v>6410-000 Sales &amp; Mktg Business Meals</v>
          </cell>
          <cell r="B30">
            <v>6410</v>
          </cell>
          <cell r="L30">
            <v>1104.19</v>
          </cell>
          <cell r="N30">
            <v>1278.75</v>
          </cell>
          <cell r="P30">
            <v>225.15</v>
          </cell>
          <cell r="R30">
            <v>150</v>
          </cell>
          <cell r="T30">
            <v>743.45</v>
          </cell>
          <cell r="V30">
            <v>0</v>
          </cell>
          <cell r="X30">
            <v>944.95</v>
          </cell>
          <cell r="Z30">
            <v>4446.49</v>
          </cell>
        </row>
        <row r="31">
          <cell r="A31" t="str">
            <v>6414-000 Sales &amp; Mktg Trade Shows</v>
          </cell>
          <cell r="B31">
            <v>6414</v>
          </cell>
          <cell r="P31">
            <v>3338.23</v>
          </cell>
          <cell r="R31">
            <v>25247.040000000001</v>
          </cell>
          <cell r="T31">
            <v>2000</v>
          </cell>
          <cell r="V31">
            <v>0</v>
          </cell>
          <cell r="X31">
            <v>0</v>
          </cell>
          <cell r="Z31">
            <v>30585.27</v>
          </cell>
        </row>
        <row r="32">
          <cell r="A32" t="str">
            <v>6510-000 Travel - Airfare</v>
          </cell>
          <cell r="B32">
            <v>6510</v>
          </cell>
          <cell r="D32">
            <v>606.72</v>
          </cell>
          <cell r="H32">
            <v>702.93</v>
          </cell>
          <cell r="L32">
            <v>4110.03</v>
          </cell>
          <cell r="N32">
            <v>500</v>
          </cell>
          <cell r="P32">
            <v>3199.38</v>
          </cell>
          <cell r="R32">
            <v>1050</v>
          </cell>
          <cell r="T32">
            <v>689.46</v>
          </cell>
          <cell r="V32">
            <v>0</v>
          </cell>
          <cell r="X32">
            <v>723.66</v>
          </cell>
          <cell r="Z32">
            <v>11582.18</v>
          </cell>
        </row>
        <row r="33">
          <cell r="A33" t="str">
            <v>6520-000 Travel - Transportation</v>
          </cell>
          <cell r="B33">
            <v>6520</v>
          </cell>
          <cell r="D33">
            <v>200.81</v>
          </cell>
          <cell r="H33">
            <v>184.25</v>
          </cell>
          <cell r="L33">
            <v>1474.19</v>
          </cell>
          <cell r="N33">
            <v>2306.4499999999998</v>
          </cell>
          <cell r="P33">
            <v>455.41</v>
          </cell>
          <cell r="R33">
            <v>550</v>
          </cell>
          <cell r="T33">
            <v>1030.26</v>
          </cell>
          <cell r="V33">
            <v>315.70999999999998</v>
          </cell>
          <cell r="X33">
            <v>1554.17</v>
          </cell>
          <cell r="Z33">
            <v>8071.25</v>
          </cell>
        </row>
        <row r="34">
          <cell r="A34" t="str">
            <v>6530-000 Travel - Mileage</v>
          </cell>
          <cell r="B34">
            <v>6530</v>
          </cell>
          <cell r="D34">
            <v>23.6</v>
          </cell>
          <cell r="H34">
            <v>115.25</v>
          </cell>
          <cell r="L34">
            <v>560.75</v>
          </cell>
          <cell r="N34">
            <v>512.65</v>
          </cell>
          <cell r="P34">
            <v>392.6</v>
          </cell>
          <cell r="R34">
            <v>320</v>
          </cell>
          <cell r="T34">
            <v>228.93</v>
          </cell>
          <cell r="V34">
            <v>277.8</v>
          </cell>
          <cell r="X34">
            <v>496.6</v>
          </cell>
          <cell r="Z34">
            <v>2928.18</v>
          </cell>
        </row>
        <row r="35">
          <cell r="A35" t="str">
            <v>6540-000 Travel - Lodging</v>
          </cell>
          <cell r="B35">
            <v>6540</v>
          </cell>
          <cell r="D35">
            <v>1700.26</v>
          </cell>
          <cell r="H35">
            <v>101.9</v>
          </cell>
          <cell r="L35">
            <v>750.19</v>
          </cell>
          <cell r="N35">
            <v>450</v>
          </cell>
          <cell r="P35">
            <v>717.1</v>
          </cell>
          <cell r="R35">
            <v>650</v>
          </cell>
          <cell r="T35">
            <v>760.4</v>
          </cell>
          <cell r="V35">
            <v>164.32</v>
          </cell>
          <cell r="X35">
            <v>635.36</v>
          </cell>
          <cell r="Z35">
            <v>5929.53</v>
          </cell>
        </row>
        <row r="36">
          <cell r="A36" t="str">
            <v>6550-000 Travel Meals - subsistence</v>
          </cell>
          <cell r="B36">
            <v>6550</v>
          </cell>
          <cell r="D36">
            <v>184</v>
          </cell>
          <cell r="H36">
            <v>657.05</v>
          </cell>
          <cell r="L36">
            <v>304.36</v>
          </cell>
          <cell r="N36">
            <v>451.31</v>
          </cell>
          <cell r="P36">
            <v>150</v>
          </cell>
          <cell r="R36">
            <v>100</v>
          </cell>
          <cell r="T36">
            <v>394.42</v>
          </cell>
          <cell r="V36">
            <v>16</v>
          </cell>
          <cell r="X36">
            <v>229.2</v>
          </cell>
          <cell r="Z36">
            <v>2486.3399999999997</v>
          </cell>
        </row>
        <row r="37">
          <cell r="A37" t="str">
            <v>6560-000 Travel - Misc expense</v>
          </cell>
          <cell r="B37">
            <v>6560</v>
          </cell>
          <cell r="D37">
            <v>24.91</v>
          </cell>
          <cell r="L37">
            <v>317.56</v>
          </cell>
          <cell r="N37">
            <v>5.27</v>
          </cell>
          <cell r="P37">
            <v>14.84</v>
          </cell>
          <cell r="R37">
            <v>14.84</v>
          </cell>
          <cell r="T37">
            <v>29.85</v>
          </cell>
          <cell r="V37">
            <v>46.84</v>
          </cell>
          <cell r="X37">
            <v>1380.52</v>
          </cell>
          <cell r="Z37">
            <v>1834.63</v>
          </cell>
        </row>
        <row r="38">
          <cell r="A38" t="str">
            <v>6630-000 Faciltiies - Telephone</v>
          </cell>
          <cell r="B38">
            <v>6630</v>
          </cell>
          <cell r="D38">
            <v>539.76</v>
          </cell>
          <cell r="L38">
            <v>817.42</v>
          </cell>
          <cell r="N38">
            <v>413.06</v>
          </cell>
          <cell r="P38">
            <v>344.02</v>
          </cell>
          <cell r="R38">
            <v>100</v>
          </cell>
          <cell r="T38">
            <v>159.36000000000001</v>
          </cell>
          <cell r="V38">
            <v>86.13</v>
          </cell>
          <cell r="X38">
            <v>474.32</v>
          </cell>
          <cell r="Z38">
            <v>2934.07</v>
          </cell>
        </row>
        <row r="39">
          <cell r="A39" t="str">
            <v>6640-000 Facilities - Internet</v>
          </cell>
          <cell r="B39">
            <v>6640</v>
          </cell>
          <cell r="P39">
            <v>28.37</v>
          </cell>
          <cell r="T39">
            <v>57.82</v>
          </cell>
          <cell r="V39">
            <v>12.5</v>
          </cell>
          <cell r="X39">
            <v>18.59</v>
          </cell>
          <cell r="Z39">
            <v>117.28</v>
          </cell>
        </row>
        <row r="40">
          <cell r="A40" t="str">
            <v>6650-000 Facilities - Stationery/Office Supplies</v>
          </cell>
          <cell r="B40">
            <v>6650</v>
          </cell>
          <cell r="V40">
            <v>0</v>
          </cell>
          <cell r="X40">
            <v>0</v>
          </cell>
          <cell r="Z40">
            <v>0</v>
          </cell>
        </row>
        <row r="41">
          <cell r="A41" t="str">
            <v>6660-000 Facilities - Postage &amp; Shipping</v>
          </cell>
          <cell r="B41">
            <v>6660</v>
          </cell>
          <cell r="P41">
            <v>33.22</v>
          </cell>
          <cell r="T41">
            <v>22.99</v>
          </cell>
          <cell r="V41">
            <v>6.89</v>
          </cell>
          <cell r="X41">
            <v>0</v>
          </cell>
          <cell r="Z41">
            <v>63.099999999999994</v>
          </cell>
        </row>
        <row r="42">
          <cell r="A42" t="str">
            <v>6730-000 Software expense</v>
          </cell>
          <cell r="B42">
            <v>6730</v>
          </cell>
          <cell r="D42">
            <v>51.3</v>
          </cell>
          <cell r="V42">
            <v>0</v>
          </cell>
          <cell r="X42">
            <v>73.58</v>
          </cell>
          <cell r="Z42">
            <v>124.88</v>
          </cell>
        </row>
        <row r="43">
          <cell r="A43" t="str">
            <v>6810-000 Bank Charges</v>
          </cell>
          <cell r="B43">
            <v>6810</v>
          </cell>
          <cell r="L43">
            <v>395.31</v>
          </cell>
          <cell r="N43">
            <v>629.08000000000004</v>
          </cell>
          <cell r="P43">
            <v>273.45999999999998</v>
          </cell>
          <cell r="R43">
            <v>67.92</v>
          </cell>
          <cell r="V43">
            <v>0</v>
          </cell>
          <cell r="X43">
            <v>0</v>
          </cell>
          <cell r="Z43">
            <v>1365.7700000000002</v>
          </cell>
        </row>
        <row r="44">
          <cell r="A44" t="str">
            <v>6820-000 Payroll Processing &amp; HR</v>
          </cell>
          <cell r="B44">
            <v>6820</v>
          </cell>
          <cell r="D44">
            <v>1344</v>
          </cell>
          <cell r="F44">
            <v>104</v>
          </cell>
          <cell r="H44">
            <v>104</v>
          </cell>
          <cell r="J44">
            <v>670</v>
          </cell>
          <cell r="L44">
            <v>179.44</v>
          </cell>
          <cell r="N44">
            <v>248</v>
          </cell>
          <cell r="P44">
            <v>1622</v>
          </cell>
          <cell r="R44">
            <v>222</v>
          </cell>
          <cell r="T44">
            <v>264</v>
          </cell>
          <cell r="V44">
            <v>180</v>
          </cell>
          <cell r="X44">
            <v>180</v>
          </cell>
          <cell r="Z44">
            <v>5117.4400000000005</v>
          </cell>
        </row>
        <row r="45">
          <cell r="A45" t="str">
            <v>6850-000 Insurance</v>
          </cell>
          <cell r="B45">
            <v>6850</v>
          </cell>
          <cell r="R45">
            <v>62.73</v>
          </cell>
          <cell r="T45">
            <v>88.33</v>
          </cell>
          <cell r="V45">
            <v>88.33</v>
          </cell>
          <cell r="X45">
            <v>88.33</v>
          </cell>
          <cell r="Z45">
            <v>327.71999999999997</v>
          </cell>
        </row>
        <row r="46">
          <cell r="A46" t="str">
            <v>6900-010 Depn Charge: Comp Eq</v>
          </cell>
          <cell r="B46">
            <v>6900</v>
          </cell>
          <cell r="J46">
            <v>88.55</v>
          </cell>
          <cell r="L46">
            <v>88.55</v>
          </cell>
          <cell r="N46">
            <v>88.55</v>
          </cell>
          <cell r="P46">
            <v>88.55</v>
          </cell>
          <cell r="R46">
            <v>88.55</v>
          </cell>
          <cell r="T46">
            <v>88.55</v>
          </cell>
          <cell r="V46">
            <v>88.55</v>
          </cell>
          <cell r="X46">
            <v>88.55</v>
          </cell>
          <cell r="Z46">
            <v>708.39999999999986</v>
          </cell>
        </row>
        <row r="47">
          <cell r="A47" t="str">
            <v>8100-000 Bank Interest Receivable</v>
          </cell>
          <cell r="B47">
            <v>8100</v>
          </cell>
          <cell r="J47">
            <v>-0.71</v>
          </cell>
          <cell r="P47">
            <v>-1.96</v>
          </cell>
          <cell r="T47">
            <v>-1.96</v>
          </cell>
          <cell r="V47">
            <v>-1.38</v>
          </cell>
          <cell r="Z47">
            <v>-6.01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der"/>
      <sheetName val="HC"/>
      <sheetName val=" Notes"/>
      <sheetName val="Forex"/>
      <sheetName val="TB"/>
      <sheetName val="P&amp;L Months"/>
      <sheetName val="P&amp;L Depts"/>
      <sheetName val="P&amp;L 500"/>
      <sheetName val="P&amp;L 610"/>
      <sheetName val="P&amp;L 700"/>
      <sheetName val="P&amp;L 800"/>
      <sheetName val="BS"/>
      <sheetName val="FA Register"/>
      <sheetName val="FA Summary"/>
      <sheetName val="FA"/>
      <sheetName val="FA Rollforward"/>
      <sheetName val="Barclays"/>
      <sheetName val="Wells Fargo"/>
      <sheetName val="Deposits"/>
      <sheetName val="ICO"/>
      <sheetName val="Prepaid"/>
      <sheetName val="AP"/>
      <sheetName val="Comm"/>
      <sheetName val="Accruals"/>
      <sheetName val="Bonus"/>
      <sheetName val="Pension"/>
      <sheetName val="Rent"/>
      <sheetName val="Commission"/>
      <sheetName val="Vacation"/>
      <sheetName val="Payroll"/>
      <sheetName val="VAT"/>
      <sheetName val="CT"/>
      <sheetName val="Cost Plus"/>
      <sheetName val=" Invoice"/>
      <sheetName val="Audit"/>
      <sheetName val="Journ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Headcount"/>
      <sheetName val="Notes to Accounts P AND L"/>
      <sheetName val="Notes to Accounts BS"/>
      <sheetName val="BS £"/>
      <sheetName val="PL £"/>
      <sheetName val="TB £"/>
      <sheetName val="FA"/>
      <sheetName val="Barclays cash book"/>
      <sheetName val="AP"/>
      <sheetName val="Deposit"/>
      <sheetName val="Payroll &amp; Taxes"/>
      <sheetName val="VAT"/>
      <sheetName val="VACATION ACCRUAL"/>
      <sheetName val="Prepayments"/>
      <sheetName val="Accruals"/>
      <sheetName val="ICO Payable"/>
      <sheetName val="Deferred Rent"/>
      <sheetName val="Audit Trail"/>
      <sheetName val="COA"/>
    </sheetNames>
    <sheetDataSet>
      <sheetData sheetId="0"/>
      <sheetData sheetId="1"/>
      <sheetData sheetId="2"/>
      <sheetData sheetId="3"/>
      <sheetData sheetId="4">
        <row r="9">
          <cell r="A9">
            <v>1255</v>
          </cell>
          <cell r="B9" t="str">
            <v>1255-100 - Fix/Fittings: Additions</v>
          </cell>
          <cell r="C9">
            <v>67948.850000000006</v>
          </cell>
          <cell r="D9">
            <v>0</v>
          </cell>
          <cell r="E9">
            <v>25837.959999999992</v>
          </cell>
          <cell r="F9">
            <v>0</v>
          </cell>
          <cell r="G9">
            <v>93786.81</v>
          </cell>
        </row>
        <row r="10">
          <cell r="A10">
            <v>1265</v>
          </cell>
          <cell r="B10" t="str">
            <v>1265-100 - Fix/Fittings: Depreciation</v>
          </cell>
          <cell r="C10">
            <v>-1132.48</v>
          </cell>
          <cell r="D10">
            <v>0</v>
          </cell>
          <cell r="E10">
            <v>-1563.1126666666664</v>
          </cell>
          <cell r="F10">
            <v>0</v>
          </cell>
          <cell r="G10">
            <v>-2695.5926666666664</v>
          </cell>
        </row>
        <row r="11">
          <cell r="A11">
            <v>1305</v>
          </cell>
          <cell r="B11" t="str">
            <v>1310-100 - Comp Equip: Disposals</v>
          </cell>
          <cell r="C11">
            <v>48663.969999999994</v>
          </cell>
          <cell r="D11">
            <v>0</v>
          </cell>
          <cell r="E11">
            <v>1832.5</v>
          </cell>
          <cell r="F11">
            <v>0</v>
          </cell>
          <cell r="G11">
            <v>50496.469999999994</v>
          </cell>
        </row>
        <row r="12">
          <cell r="A12">
            <v>1315</v>
          </cell>
          <cell r="B12" t="str">
            <v>1315-100 - Comp Equip: Depreciation</v>
          </cell>
          <cell r="C12">
            <v>-11021.739722222223</v>
          </cell>
          <cell r="D12">
            <v>0</v>
          </cell>
          <cell r="E12">
            <v>-1457.2227777777789</v>
          </cell>
          <cell r="F12">
            <v>0</v>
          </cell>
          <cell r="G12">
            <v>-12478.962500000001</v>
          </cell>
        </row>
        <row r="13">
          <cell r="A13">
            <v>1355</v>
          </cell>
          <cell r="B13" t="str">
            <v>1355-100 - Office Equip: Additions</v>
          </cell>
          <cell r="C13">
            <v>7329.08</v>
          </cell>
          <cell r="D13">
            <v>0</v>
          </cell>
          <cell r="E13">
            <v>0</v>
          </cell>
          <cell r="F13">
            <v>0</v>
          </cell>
          <cell r="G13">
            <v>7329.08</v>
          </cell>
        </row>
        <row r="14">
          <cell r="A14">
            <v>1365</v>
          </cell>
          <cell r="B14" t="str">
            <v>1365-100 - Office Equip: Depreciation</v>
          </cell>
          <cell r="C14">
            <v>-1222.2040000000002</v>
          </cell>
          <cell r="D14">
            <v>0</v>
          </cell>
          <cell r="E14">
            <v>-133.84999999999991</v>
          </cell>
          <cell r="F14">
            <v>0</v>
          </cell>
          <cell r="G14">
            <v>-1356.0540000000001</v>
          </cell>
        </row>
        <row r="15">
          <cell r="A15">
            <v>1405</v>
          </cell>
          <cell r="B15" t="str">
            <v>1405-100 - Software Additions</v>
          </cell>
          <cell r="C15">
            <v>56494.92</v>
          </cell>
          <cell r="D15">
            <v>0</v>
          </cell>
          <cell r="E15">
            <v>1627.0699999999997</v>
          </cell>
          <cell r="F15">
            <v>0</v>
          </cell>
          <cell r="G15">
            <v>58121.99</v>
          </cell>
        </row>
        <row r="16">
          <cell r="A16">
            <v>1407</v>
          </cell>
          <cell r="B16" t="str">
            <v>1407-100 - Leasehold</v>
          </cell>
          <cell r="C16">
            <v>0</v>
          </cell>
          <cell r="D16">
            <v>0</v>
          </cell>
          <cell r="E16">
            <v>8121</v>
          </cell>
          <cell r="F16">
            <v>0</v>
          </cell>
          <cell r="G16">
            <v>8121</v>
          </cell>
        </row>
        <row r="17">
          <cell r="A17">
            <v>1408</v>
          </cell>
          <cell r="B17" t="str">
            <v>1408-100 - Leasehold - Acc Depn</v>
          </cell>
          <cell r="C17">
            <v>0</v>
          </cell>
          <cell r="D17">
            <v>0</v>
          </cell>
          <cell r="E17">
            <v>-270.7</v>
          </cell>
          <cell r="F17">
            <v>0</v>
          </cell>
          <cell r="G17">
            <v>-270.7</v>
          </cell>
        </row>
        <row r="18">
          <cell r="A18">
            <v>1460</v>
          </cell>
          <cell r="B18" t="str">
            <v>1460-100 - Software Depreciation</v>
          </cell>
          <cell r="C18">
            <v>-7729.7238333333344</v>
          </cell>
          <cell r="D18">
            <v>0</v>
          </cell>
          <cell r="E18">
            <v>-968.69783333333453</v>
          </cell>
          <cell r="F18">
            <v>0</v>
          </cell>
          <cell r="G18">
            <v>-8698.4216666666689</v>
          </cell>
        </row>
        <row r="19">
          <cell r="A19">
            <v>0</v>
          </cell>
          <cell r="B19">
            <v>0</v>
          </cell>
          <cell r="C19">
            <v>0</v>
          </cell>
          <cell r="D19">
            <v>0</v>
          </cell>
          <cell r="E19">
            <v>0</v>
          </cell>
          <cell r="F19">
            <v>0</v>
          </cell>
          <cell r="G19">
            <v>0</v>
          </cell>
        </row>
        <row r="20">
          <cell r="A20">
            <v>0</v>
          </cell>
          <cell r="B20" t="str">
            <v>Total Fixed Assets</v>
          </cell>
          <cell r="C20">
            <v>159330.67244444447</v>
          </cell>
          <cell r="D20">
            <v>0</v>
          </cell>
          <cell r="E20">
            <v>33024.946722222216</v>
          </cell>
          <cell r="F20">
            <v>0</v>
          </cell>
          <cell r="G20">
            <v>192355.61916666664</v>
          </cell>
        </row>
        <row r="21">
          <cell r="A21">
            <v>0</v>
          </cell>
          <cell r="B21">
            <v>0</v>
          </cell>
          <cell r="C21">
            <v>0</v>
          </cell>
          <cell r="D21">
            <v>0</v>
          </cell>
          <cell r="E21">
            <v>0</v>
          </cell>
          <cell r="F21">
            <v>0</v>
          </cell>
          <cell r="G21">
            <v>0</v>
          </cell>
        </row>
        <row r="22">
          <cell r="A22">
            <v>0</v>
          </cell>
          <cell r="B22" t="str">
            <v>CURRENT ASSETS</v>
          </cell>
          <cell r="C22">
            <v>0</v>
          </cell>
          <cell r="D22">
            <v>0</v>
          </cell>
          <cell r="E22">
            <v>0</v>
          </cell>
          <cell r="F22">
            <v>0</v>
          </cell>
          <cell r="G22">
            <v>0</v>
          </cell>
        </row>
        <row r="23">
          <cell r="A23">
            <v>1650</v>
          </cell>
          <cell r="B23" t="str">
            <v>1650-100 - Rent Deposit</v>
          </cell>
          <cell r="C23">
            <v>24654</v>
          </cell>
          <cell r="D23">
            <v>0</v>
          </cell>
          <cell r="E23">
            <v>0</v>
          </cell>
          <cell r="F23">
            <v>0</v>
          </cell>
          <cell r="G23">
            <v>24654</v>
          </cell>
        </row>
        <row r="24">
          <cell r="A24">
            <v>1680</v>
          </cell>
          <cell r="B24" t="str">
            <v>1680-100 - Prepayments</v>
          </cell>
          <cell r="C24">
            <v>77220.428156028371</v>
          </cell>
          <cell r="D24">
            <v>0</v>
          </cell>
          <cell r="E24">
            <v>-7623.5656560283824</v>
          </cell>
          <cell r="F24">
            <v>0</v>
          </cell>
          <cell r="G24">
            <v>69596.862499999988</v>
          </cell>
        </row>
        <row r="25">
          <cell r="A25">
            <v>1800</v>
          </cell>
          <cell r="B25" t="str">
            <v>1800-100 - Current A/c</v>
          </cell>
          <cell r="C25">
            <v>60639.05</v>
          </cell>
          <cell r="D25">
            <v>0</v>
          </cell>
          <cell r="E25">
            <v>-381.35000000000582</v>
          </cell>
          <cell r="F25">
            <v>0</v>
          </cell>
          <cell r="G25">
            <v>60257.7</v>
          </cell>
        </row>
        <row r="26">
          <cell r="A26">
            <v>1810</v>
          </cell>
          <cell r="B26" t="str">
            <v>1810-100 - Deposit A/c</v>
          </cell>
          <cell r="C26">
            <v>0</v>
          </cell>
          <cell r="D26">
            <v>0</v>
          </cell>
          <cell r="E26">
            <v>0</v>
          </cell>
          <cell r="F26">
            <v>0</v>
          </cell>
          <cell r="G26">
            <v>0</v>
          </cell>
        </row>
        <row r="27">
          <cell r="A27">
            <v>0</v>
          </cell>
          <cell r="B27">
            <v>0</v>
          </cell>
          <cell r="C27">
            <v>0</v>
          </cell>
          <cell r="D27">
            <v>0</v>
          </cell>
          <cell r="E27">
            <v>0</v>
          </cell>
          <cell r="F27">
            <v>0</v>
          </cell>
          <cell r="G27">
            <v>0</v>
          </cell>
        </row>
        <row r="28">
          <cell r="A28">
            <v>0</v>
          </cell>
          <cell r="B28" t="str">
            <v>TOTAL CURRENT ASSETS</v>
          </cell>
          <cell r="C28">
            <v>162513.47815602837</v>
          </cell>
          <cell r="D28">
            <v>0</v>
          </cell>
          <cell r="E28">
            <v>-8004.9156560283882</v>
          </cell>
          <cell r="F28">
            <v>0</v>
          </cell>
          <cell r="G28">
            <v>154508.5625</v>
          </cell>
        </row>
        <row r="29">
          <cell r="A29">
            <v>0</v>
          </cell>
          <cell r="B29">
            <v>0</v>
          </cell>
          <cell r="C29">
            <v>0</v>
          </cell>
          <cell r="D29">
            <v>0</v>
          </cell>
          <cell r="E29">
            <v>0</v>
          </cell>
          <cell r="F29">
            <v>0</v>
          </cell>
          <cell r="G29">
            <v>0</v>
          </cell>
        </row>
        <row r="30">
          <cell r="A30">
            <v>0</v>
          </cell>
          <cell r="B30" t="str">
            <v>LIABILITIES</v>
          </cell>
          <cell r="C30">
            <v>0</v>
          </cell>
          <cell r="D30">
            <v>0</v>
          </cell>
          <cell r="E30">
            <v>0</v>
          </cell>
          <cell r="F30">
            <v>0</v>
          </cell>
          <cell r="G30">
            <v>0</v>
          </cell>
        </row>
        <row r="31">
          <cell r="A31">
            <v>2100</v>
          </cell>
          <cell r="B31" t="str">
            <v>2100-100 - Purchase Ledger Control</v>
          </cell>
          <cell r="C31">
            <v>-65857.959999999992</v>
          </cell>
          <cell r="D31">
            <v>0</v>
          </cell>
          <cell r="E31">
            <v>2891.2799999999916</v>
          </cell>
          <cell r="F31">
            <v>0</v>
          </cell>
          <cell r="G31">
            <v>-62966.68</v>
          </cell>
        </row>
        <row r="32">
          <cell r="A32">
            <v>2300</v>
          </cell>
          <cell r="B32" t="str">
            <v>2300-100 - VAT Control A/c</v>
          </cell>
          <cell r="C32">
            <v>32391.42</v>
          </cell>
          <cell r="D32">
            <v>0</v>
          </cell>
          <cell r="E32">
            <v>15181.64</v>
          </cell>
          <cell r="F32">
            <v>0</v>
          </cell>
          <cell r="G32">
            <v>47573.06</v>
          </cell>
        </row>
        <row r="33">
          <cell r="A33">
            <v>2320</v>
          </cell>
          <cell r="B33" t="str">
            <v>2320-100 - Intercompany with Inc.</v>
          </cell>
          <cell r="C33">
            <v>-1565907.4500000002</v>
          </cell>
          <cell r="D33">
            <v>0</v>
          </cell>
          <cell r="E33">
            <v>-204376.68000000017</v>
          </cell>
          <cell r="F33">
            <v>0</v>
          </cell>
          <cell r="G33">
            <v>-1770284.1300000004</v>
          </cell>
        </row>
        <row r="34">
          <cell r="A34">
            <v>2400</v>
          </cell>
          <cell r="B34" t="str">
            <v>2400-100 - IR: PAYE &amp; NI Payable</v>
          </cell>
          <cell r="C34">
            <v>-32068.720000000001</v>
          </cell>
          <cell r="D34">
            <v>0</v>
          </cell>
          <cell r="E34">
            <v>-1379.4400000000023</v>
          </cell>
          <cell r="F34">
            <v>0</v>
          </cell>
          <cell r="G34">
            <v>-33448.160000000003</v>
          </cell>
        </row>
        <row r="35">
          <cell r="A35">
            <v>2410</v>
          </cell>
          <cell r="B35" t="str">
            <v>2410-100 - Staff Wages Payable (Net)</v>
          </cell>
          <cell r="C35">
            <v>0</v>
          </cell>
          <cell r="D35">
            <v>0</v>
          </cell>
          <cell r="E35">
            <v>-3140.17</v>
          </cell>
          <cell r="F35">
            <v>0</v>
          </cell>
          <cell r="G35">
            <v>-3140.17</v>
          </cell>
        </row>
        <row r="36">
          <cell r="A36">
            <v>2430</v>
          </cell>
          <cell r="B36" t="str">
            <v>2430-100 - Deferred Rent</v>
          </cell>
          <cell r="C36">
            <v>0</v>
          </cell>
          <cell r="D36">
            <v>0</v>
          </cell>
          <cell r="E36">
            <v>-6182.5388888888883</v>
          </cell>
          <cell r="F36">
            <v>0</v>
          </cell>
          <cell r="G36">
            <v>-6182.5388888888883</v>
          </cell>
        </row>
        <row r="37">
          <cell r="A37">
            <v>2440</v>
          </cell>
          <cell r="B37" t="str">
            <v>2440-100 - Accruals</v>
          </cell>
          <cell r="C37">
            <v>-49752.189999999995</v>
          </cell>
          <cell r="D37">
            <v>0</v>
          </cell>
          <cell r="E37">
            <v>-7334.9458346154061</v>
          </cell>
          <cell r="F37">
            <v>0</v>
          </cell>
          <cell r="G37">
            <v>-57087.135834615401</v>
          </cell>
        </row>
        <row r="38">
          <cell r="A38">
            <v>0</v>
          </cell>
          <cell r="B38">
            <v>0</v>
          </cell>
          <cell r="C38">
            <v>0</v>
          </cell>
          <cell r="D38">
            <v>0</v>
          </cell>
          <cell r="E38">
            <v>0</v>
          </cell>
          <cell r="F38">
            <v>0</v>
          </cell>
          <cell r="G38">
            <v>0</v>
          </cell>
        </row>
        <row r="39">
          <cell r="A39">
            <v>0</v>
          </cell>
          <cell r="B39" t="str">
            <v>Total Current Liabilities</v>
          </cell>
          <cell r="C39">
            <v>-1681194.9000000001</v>
          </cell>
          <cell r="D39">
            <v>0</v>
          </cell>
          <cell r="E39">
            <v>-204340.85472350451</v>
          </cell>
          <cell r="F39">
            <v>0</v>
          </cell>
          <cell r="G39">
            <v>-1885535.7547235047</v>
          </cell>
        </row>
        <row r="40">
          <cell r="A40">
            <v>0</v>
          </cell>
          <cell r="B40">
            <v>0</v>
          </cell>
          <cell r="C40">
            <v>0</v>
          </cell>
          <cell r="D40">
            <v>0</v>
          </cell>
          <cell r="E40">
            <v>0</v>
          </cell>
          <cell r="F40">
            <v>0</v>
          </cell>
          <cell r="G40">
            <v>0</v>
          </cell>
        </row>
        <row r="41">
          <cell r="A41">
            <v>0</v>
          </cell>
          <cell r="B41">
            <v>0</v>
          </cell>
          <cell r="C41">
            <v>0</v>
          </cell>
          <cell r="D41">
            <v>0</v>
          </cell>
          <cell r="E41">
            <v>0</v>
          </cell>
          <cell r="F41">
            <v>0</v>
          </cell>
          <cell r="G41">
            <v>0</v>
          </cell>
        </row>
        <row r="42">
          <cell r="A42">
            <v>0</v>
          </cell>
          <cell r="B42" t="str">
            <v>Net Current Assets/(Liab)</v>
          </cell>
          <cell r="C42">
            <v>-1518681.4218439718</v>
          </cell>
          <cell r="D42">
            <v>0</v>
          </cell>
          <cell r="E42">
            <v>-212345.77037953289</v>
          </cell>
          <cell r="F42">
            <v>0</v>
          </cell>
          <cell r="G42">
            <v>-1731027.1922235047</v>
          </cell>
        </row>
        <row r="43">
          <cell r="A43">
            <v>0</v>
          </cell>
          <cell r="B43">
            <v>0</v>
          </cell>
          <cell r="C43">
            <v>0</v>
          </cell>
          <cell r="D43">
            <v>0</v>
          </cell>
          <cell r="E43">
            <v>0</v>
          </cell>
          <cell r="F43">
            <v>0</v>
          </cell>
          <cell r="G43">
            <v>0</v>
          </cell>
        </row>
        <row r="44">
          <cell r="A44">
            <v>0</v>
          </cell>
          <cell r="B44" t="str">
            <v>TOTAL NET ASSETS:</v>
          </cell>
          <cell r="C44">
            <v>-1359350.7493995274</v>
          </cell>
          <cell r="D44">
            <v>0</v>
          </cell>
          <cell r="E44">
            <v>-179320.82365731068</v>
          </cell>
          <cell r="F44">
            <v>0</v>
          </cell>
          <cell r="G44">
            <v>-1538671.573056838</v>
          </cell>
        </row>
        <row r="45">
          <cell r="A45">
            <v>0</v>
          </cell>
          <cell r="B45">
            <v>0</v>
          </cell>
          <cell r="C45">
            <v>0</v>
          </cell>
          <cell r="D45">
            <v>0</v>
          </cell>
          <cell r="E45">
            <v>0</v>
          </cell>
          <cell r="F45">
            <v>0</v>
          </cell>
          <cell r="G45">
            <v>0</v>
          </cell>
        </row>
        <row r="46">
          <cell r="A46">
            <v>0</v>
          </cell>
          <cell r="B46">
            <v>0</v>
          </cell>
          <cell r="C46">
            <v>0</v>
          </cell>
          <cell r="D46">
            <v>0</v>
          </cell>
          <cell r="E46">
            <v>0</v>
          </cell>
          <cell r="F46">
            <v>0</v>
          </cell>
          <cell r="G46">
            <v>0</v>
          </cell>
        </row>
        <row r="47">
          <cell r="A47">
            <v>0</v>
          </cell>
          <cell r="B47" t="str">
            <v>CAPITAL &amp; RESERVES</v>
          </cell>
          <cell r="C47">
            <v>0</v>
          </cell>
          <cell r="D47">
            <v>0</v>
          </cell>
          <cell r="E47">
            <v>0</v>
          </cell>
          <cell r="F47">
            <v>0</v>
          </cell>
          <cell r="G47">
            <v>0</v>
          </cell>
        </row>
        <row r="48">
          <cell r="A48">
            <v>0</v>
          </cell>
          <cell r="B48">
            <v>0</v>
          </cell>
          <cell r="C48">
            <v>0</v>
          </cell>
          <cell r="D48">
            <v>0</v>
          </cell>
          <cell r="E48">
            <v>0</v>
          </cell>
          <cell r="F48">
            <v>0</v>
          </cell>
          <cell r="G48">
            <v>0</v>
          </cell>
        </row>
        <row r="49">
          <cell r="A49">
            <v>2510</v>
          </cell>
          <cell r="B49" t="str">
            <v>2510-100 - Share Capital b/fwd</v>
          </cell>
          <cell r="C49">
            <v>10</v>
          </cell>
          <cell r="D49">
            <v>0</v>
          </cell>
          <cell r="E49">
            <v>0</v>
          </cell>
          <cell r="F49">
            <v>0</v>
          </cell>
          <cell r="G49">
            <v>10</v>
          </cell>
        </row>
        <row r="50">
          <cell r="A50">
            <v>2700</v>
          </cell>
          <cell r="B50" t="str">
            <v>2700-100 - Retained Profit</v>
          </cell>
          <cell r="C50">
            <v>-573079.21</v>
          </cell>
          <cell r="D50">
            <v>0</v>
          </cell>
          <cell r="E50">
            <v>-179320.82000000018</v>
          </cell>
          <cell r="F50">
            <v>0</v>
          </cell>
          <cell r="G50">
            <v>-752400.03000000014</v>
          </cell>
        </row>
        <row r="51">
          <cell r="A51">
            <v>2710</v>
          </cell>
          <cell r="B51" t="str">
            <v>2710-100 - Profit Brought Forward</v>
          </cell>
          <cell r="C51">
            <v>-786281.54</v>
          </cell>
          <cell r="D51">
            <v>0</v>
          </cell>
          <cell r="E51">
            <v>0</v>
          </cell>
          <cell r="F51">
            <v>0</v>
          </cell>
          <cell r="G51">
            <v>-786281.54</v>
          </cell>
        </row>
      </sheetData>
      <sheetData sheetId="5">
        <row r="24">
          <cell r="B24">
            <v>4800</v>
          </cell>
          <cell r="C24">
            <v>0</v>
          </cell>
          <cell r="D24">
            <v>-950</v>
          </cell>
          <cell r="E24">
            <v>1000</v>
          </cell>
          <cell r="F24">
            <v>3000</v>
          </cell>
          <cell r="G24">
            <v>5400</v>
          </cell>
          <cell r="H24">
            <v>1372.5</v>
          </cell>
          <cell r="I24">
            <v>6854.18</v>
          </cell>
        </row>
        <row r="25">
          <cell r="B25">
            <v>5000</v>
          </cell>
          <cell r="C25">
            <v>0</v>
          </cell>
          <cell r="D25">
            <v>67814.350000000006</v>
          </cell>
          <cell r="E25">
            <v>61391.06</v>
          </cell>
          <cell r="F25">
            <v>67537.179999999993</v>
          </cell>
          <cell r="G25">
            <v>80092.95</v>
          </cell>
          <cell r="H25">
            <v>86057.06</v>
          </cell>
          <cell r="I25">
            <v>88837.2</v>
          </cell>
        </row>
        <row r="26">
          <cell r="B26">
            <v>5010</v>
          </cell>
          <cell r="D26">
            <v>0</v>
          </cell>
        </row>
        <row r="27">
          <cell r="B27">
            <v>5020</v>
          </cell>
          <cell r="C27">
            <v>0</v>
          </cell>
          <cell r="D27">
            <v>6134.97</v>
          </cell>
          <cell r="E27">
            <v>4428.01</v>
          </cell>
          <cell r="F27">
            <v>11073.63</v>
          </cell>
          <cell r="G27">
            <v>609.13</v>
          </cell>
          <cell r="H27">
            <v>7578.33</v>
          </cell>
          <cell r="I27">
            <v>5359.76</v>
          </cell>
        </row>
        <row r="28">
          <cell r="B28">
            <v>5030</v>
          </cell>
          <cell r="C28">
            <v>0</v>
          </cell>
          <cell r="D28">
            <v>7500.79</v>
          </cell>
          <cell r="E28">
            <v>6898.32</v>
          </cell>
          <cell r="F28">
            <v>7462.54</v>
          </cell>
          <cell r="G28">
            <v>8765.52</v>
          </cell>
          <cell r="H28">
            <v>7497.09</v>
          </cell>
          <cell r="I28">
            <v>9789.24</v>
          </cell>
        </row>
        <row r="29">
          <cell r="B29">
            <v>5035</v>
          </cell>
          <cell r="D29">
            <v>-160.19999999999999</v>
          </cell>
          <cell r="E29">
            <v>-25.66</v>
          </cell>
          <cell r="F29">
            <v>1184.2</v>
          </cell>
          <cell r="G29">
            <v>-88.83</v>
          </cell>
          <cell r="H29">
            <v>-88.83</v>
          </cell>
          <cell r="I29">
            <v>2033.47</v>
          </cell>
        </row>
        <row r="30">
          <cell r="B30">
            <v>5060</v>
          </cell>
          <cell r="D30">
            <v>0</v>
          </cell>
        </row>
        <row r="31">
          <cell r="B31">
            <v>5070</v>
          </cell>
          <cell r="D31">
            <v>0</v>
          </cell>
        </row>
        <row r="32">
          <cell r="B32">
            <v>5080</v>
          </cell>
          <cell r="D32">
            <v>14.93</v>
          </cell>
          <cell r="H32">
            <v>96.49</v>
          </cell>
          <cell r="I32">
            <v>152.11000000000001</v>
          </cell>
        </row>
        <row r="33">
          <cell r="B33">
            <v>5100</v>
          </cell>
          <cell r="C33">
            <v>0</v>
          </cell>
          <cell r="D33">
            <v>3963.25</v>
          </cell>
          <cell r="E33">
            <v>3898.26</v>
          </cell>
          <cell r="F33">
            <v>3019.93</v>
          </cell>
          <cell r="G33">
            <v>7157.42</v>
          </cell>
          <cell r="H33">
            <v>2421.31</v>
          </cell>
          <cell r="I33">
            <v>32909.67</v>
          </cell>
        </row>
        <row r="34">
          <cell r="B34">
            <v>5140</v>
          </cell>
          <cell r="C34">
            <v>0</v>
          </cell>
          <cell r="D34">
            <v>1082.3399999999999</v>
          </cell>
          <cell r="E34">
            <v>1082.3399999999999</v>
          </cell>
          <cell r="F34">
            <v>1082.28</v>
          </cell>
          <cell r="G34">
            <v>1113.25</v>
          </cell>
          <cell r="H34">
            <v>4960.8</v>
          </cell>
          <cell r="I34">
            <v>5018.3</v>
          </cell>
        </row>
        <row r="35">
          <cell r="B35">
            <v>5180</v>
          </cell>
          <cell r="C35">
            <v>0</v>
          </cell>
          <cell r="D35">
            <v>377.59</v>
          </cell>
          <cell r="E35">
            <v>85</v>
          </cell>
          <cell r="F35">
            <v>346.05</v>
          </cell>
          <cell r="G35">
            <v>0</v>
          </cell>
          <cell r="H35">
            <v>-58.5</v>
          </cell>
          <cell r="I35">
            <v>125.01</v>
          </cell>
        </row>
        <row r="36">
          <cell r="B36">
            <v>5220</v>
          </cell>
          <cell r="C36">
            <v>0</v>
          </cell>
          <cell r="D36">
            <v>0</v>
          </cell>
        </row>
        <row r="37">
          <cell r="B37">
            <v>5260</v>
          </cell>
          <cell r="C37">
            <v>0</v>
          </cell>
          <cell r="D37">
            <v>225.5</v>
          </cell>
          <cell r="E37">
            <v>425.5</v>
          </cell>
          <cell r="F37">
            <v>241</v>
          </cell>
          <cell r="G37">
            <v>435.5</v>
          </cell>
          <cell r="H37">
            <v>363</v>
          </cell>
          <cell r="I37">
            <v>500</v>
          </cell>
        </row>
        <row r="38">
          <cell r="B38">
            <v>5300</v>
          </cell>
          <cell r="C38">
            <v>0</v>
          </cell>
          <cell r="D38">
            <v>0</v>
          </cell>
        </row>
        <row r="39">
          <cell r="B39">
            <v>5400</v>
          </cell>
          <cell r="C39">
            <v>0</v>
          </cell>
          <cell r="D39">
            <v>0</v>
          </cell>
        </row>
        <row r="40">
          <cell r="B40">
            <v>5440</v>
          </cell>
          <cell r="C40">
            <v>0</v>
          </cell>
          <cell r="D40">
            <v>0</v>
          </cell>
        </row>
        <row r="41">
          <cell r="B41">
            <v>5450</v>
          </cell>
          <cell r="C41">
            <v>0</v>
          </cell>
          <cell r="D41">
            <v>0</v>
          </cell>
        </row>
        <row r="42">
          <cell r="B42">
            <v>5490</v>
          </cell>
          <cell r="C42">
            <v>0</v>
          </cell>
          <cell r="D42">
            <v>0</v>
          </cell>
        </row>
        <row r="43">
          <cell r="B43">
            <v>5500</v>
          </cell>
          <cell r="C43">
            <v>0</v>
          </cell>
          <cell r="D43">
            <v>0</v>
          </cell>
          <cell r="F43">
            <v>240.99</v>
          </cell>
          <cell r="G43">
            <v>15.7</v>
          </cell>
          <cell r="H43">
            <v>0</v>
          </cell>
          <cell r="I43">
            <v>0</v>
          </cell>
        </row>
        <row r="44">
          <cell r="B44">
            <v>5510</v>
          </cell>
          <cell r="C44">
            <v>0</v>
          </cell>
          <cell r="D44">
            <v>46.88</v>
          </cell>
          <cell r="E44">
            <v>933.15</v>
          </cell>
          <cell r="F44">
            <v>2024.06</v>
          </cell>
          <cell r="G44">
            <v>1584.53</v>
          </cell>
          <cell r="H44">
            <v>536.21</v>
          </cell>
          <cell r="I44">
            <v>750.21</v>
          </cell>
        </row>
        <row r="45">
          <cell r="B45">
            <v>5520</v>
          </cell>
          <cell r="C45">
            <v>0</v>
          </cell>
          <cell r="D45">
            <v>12.66</v>
          </cell>
          <cell r="F45">
            <v>249</v>
          </cell>
          <cell r="G45">
            <v>478.63</v>
          </cell>
          <cell r="H45">
            <v>338.01</v>
          </cell>
          <cell r="I45">
            <v>665.77</v>
          </cell>
        </row>
        <row r="46">
          <cell r="B46">
            <v>5530</v>
          </cell>
          <cell r="C46">
            <v>0</v>
          </cell>
          <cell r="D46">
            <v>65.45</v>
          </cell>
          <cell r="E46">
            <v>352.05</v>
          </cell>
          <cell r="F46">
            <v>763.05</v>
          </cell>
          <cell r="G46">
            <v>1196.73</v>
          </cell>
          <cell r="H46">
            <v>1726.49</v>
          </cell>
          <cell r="I46">
            <v>2640.07</v>
          </cell>
        </row>
        <row r="47">
          <cell r="B47">
            <v>5600</v>
          </cell>
          <cell r="C47">
            <v>0</v>
          </cell>
          <cell r="D47">
            <v>30</v>
          </cell>
          <cell r="E47">
            <v>72.31</v>
          </cell>
          <cell r="F47">
            <v>180.75</v>
          </cell>
          <cell r="G47">
            <v>0</v>
          </cell>
          <cell r="H47">
            <v>869.6</v>
          </cell>
          <cell r="I47">
            <v>38.020000000000003</v>
          </cell>
        </row>
        <row r="48">
          <cell r="B48">
            <v>5640</v>
          </cell>
          <cell r="C48">
            <v>0</v>
          </cell>
          <cell r="D48">
            <v>0</v>
          </cell>
        </row>
        <row r="49">
          <cell r="B49">
            <v>5660</v>
          </cell>
          <cell r="C49">
            <v>0</v>
          </cell>
          <cell r="D49">
            <v>0</v>
          </cell>
        </row>
        <row r="50">
          <cell r="B50">
            <v>5670</v>
          </cell>
          <cell r="C50">
            <v>0</v>
          </cell>
          <cell r="D50">
            <v>0</v>
          </cell>
        </row>
        <row r="51">
          <cell r="B51">
            <v>5680</v>
          </cell>
          <cell r="C51">
            <v>0</v>
          </cell>
          <cell r="D51">
            <v>11</v>
          </cell>
          <cell r="E51">
            <v>12</v>
          </cell>
          <cell r="F51">
            <v>673.99</v>
          </cell>
          <cell r="G51">
            <v>17</v>
          </cell>
          <cell r="H51">
            <v>24</v>
          </cell>
          <cell r="I51">
            <v>702.55</v>
          </cell>
        </row>
        <row r="52">
          <cell r="B52">
            <v>5690</v>
          </cell>
          <cell r="C52">
            <v>0</v>
          </cell>
          <cell r="D52">
            <v>0</v>
          </cell>
          <cell r="E52">
            <v>93.58</v>
          </cell>
          <cell r="F52">
            <v>46.79</v>
          </cell>
          <cell r="G52">
            <v>46.79</v>
          </cell>
          <cell r="H52">
            <v>177.23</v>
          </cell>
          <cell r="I52">
            <v>112.01</v>
          </cell>
        </row>
        <row r="53">
          <cell r="B53">
            <v>5700</v>
          </cell>
          <cell r="C53">
            <v>0</v>
          </cell>
          <cell r="D53">
            <v>20.28</v>
          </cell>
          <cell r="F53">
            <v>34.29</v>
          </cell>
          <cell r="G53">
            <v>17.690000000000001</v>
          </cell>
          <cell r="H53">
            <v>0</v>
          </cell>
          <cell r="I53">
            <v>39.6</v>
          </cell>
        </row>
        <row r="54">
          <cell r="B54">
            <v>5710</v>
          </cell>
          <cell r="C54">
            <v>0</v>
          </cell>
          <cell r="D54">
            <v>0</v>
          </cell>
        </row>
        <row r="55">
          <cell r="B55">
            <v>6500</v>
          </cell>
          <cell r="C55">
            <v>0</v>
          </cell>
          <cell r="D55">
            <v>0</v>
          </cell>
        </row>
        <row r="56">
          <cell r="B56">
            <v>6600</v>
          </cell>
          <cell r="C56">
            <v>0</v>
          </cell>
          <cell r="D56">
            <v>0</v>
          </cell>
        </row>
        <row r="57">
          <cell r="B57">
            <v>6620</v>
          </cell>
          <cell r="C57">
            <v>0</v>
          </cell>
          <cell r="D57">
            <v>0</v>
          </cell>
        </row>
        <row r="58">
          <cell r="B58">
            <v>6630</v>
          </cell>
          <cell r="C58">
            <v>0</v>
          </cell>
          <cell r="D58">
            <v>0</v>
          </cell>
        </row>
        <row r="59">
          <cell r="B59">
            <v>6690</v>
          </cell>
          <cell r="C59">
            <v>0</v>
          </cell>
          <cell r="D59">
            <v>3446.67</v>
          </cell>
          <cell r="E59">
            <v>15363.33</v>
          </cell>
          <cell r="F59">
            <v>3380</v>
          </cell>
          <cell r="G59">
            <v>18796.66</v>
          </cell>
          <cell r="H59">
            <v>12063.33</v>
          </cell>
          <cell r="I59">
            <v>6546.66</v>
          </cell>
          <cell r="O59">
            <v>0</v>
          </cell>
        </row>
        <row r="60">
          <cell r="B60">
            <v>6700</v>
          </cell>
          <cell r="C60">
            <v>0</v>
          </cell>
          <cell r="D60">
            <v>0</v>
          </cell>
        </row>
        <row r="61">
          <cell r="B61">
            <v>6710</v>
          </cell>
          <cell r="C61">
            <v>0</v>
          </cell>
          <cell r="D61">
            <v>67.599999999999994</v>
          </cell>
          <cell r="E61">
            <v>175.9</v>
          </cell>
          <cell r="F61">
            <v>348.42</v>
          </cell>
          <cell r="G61">
            <v>575.16999999999996</v>
          </cell>
          <cell r="H61">
            <v>371.64</v>
          </cell>
          <cell r="I61">
            <v>225.68</v>
          </cell>
        </row>
        <row r="62">
          <cell r="B62">
            <v>6720</v>
          </cell>
          <cell r="C62">
            <v>0</v>
          </cell>
          <cell r="D62">
            <v>0</v>
          </cell>
        </row>
        <row r="63">
          <cell r="B63">
            <v>6730</v>
          </cell>
          <cell r="C63">
            <v>0</v>
          </cell>
          <cell r="D63">
            <v>0</v>
          </cell>
        </row>
        <row r="64">
          <cell r="B64">
            <v>6740</v>
          </cell>
          <cell r="C64">
            <v>0</v>
          </cell>
          <cell r="D64">
            <v>1281.4100000000001</v>
          </cell>
          <cell r="E64">
            <v>584.05999999999995</v>
          </cell>
          <cell r="F64">
            <v>-1773.27</v>
          </cell>
          <cell r="G64">
            <v>920.25</v>
          </cell>
          <cell r="H64">
            <v>0</v>
          </cell>
          <cell r="I64">
            <v>0</v>
          </cell>
        </row>
        <row r="65">
          <cell r="B65">
            <v>6800</v>
          </cell>
          <cell r="C65">
            <v>0</v>
          </cell>
          <cell r="D65">
            <v>0</v>
          </cell>
        </row>
        <row r="66">
          <cell r="B66">
            <v>6900</v>
          </cell>
          <cell r="C66">
            <v>0</v>
          </cell>
          <cell r="D66">
            <v>144.9</v>
          </cell>
          <cell r="G66">
            <v>255.08</v>
          </cell>
          <cell r="H66">
            <v>344.32</v>
          </cell>
          <cell r="I66">
            <v>0</v>
          </cell>
        </row>
        <row r="67">
          <cell r="B67">
            <v>6930</v>
          </cell>
          <cell r="C67">
            <v>0</v>
          </cell>
          <cell r="D67">
            <v>0</v>
          </cell>
          <cell r="I67">
            <v>5471.73</v>
          </cell>
        </row>
        <row r="68">
          <cell r="B68">
            <v>6940</v>
          </cell>
          <cell r="C68">
            <v>0</v>
          </cell>
          <cell r="D68">
            <v>275</v>
          </cell>
          <cell r="E68">
            <v>275</v>
          </cell>
          <cell r="F68">
            <v>625</v>
          </cell>
          <cell r="G68">
            <v>275</v>
          </cell>
          <cell r="H68">
            <v>525</v>
          </cell>
          <cell r="I68">
            <v>275</v>
          </cell>
        </row>
        <row r="69">
          <cell r="B69">
            <v>6950</v>
          </cell>
          <cell r="C69">
            <v>0</v>
          </cell>
          <cell r="D69">
            <v>0</v>
          </cell>
          <cell r="I69">
            <v>13</v>
          </cell>
        </row>
        <row r="70">
          <cell r="B70">
            <v>6951</v>
          </cell>
          <cell r="C70">
            <v>0</v>
          </cell>
          <cell r="D70">
            <v>0</v>
          </cell>
        </row>
        <row r="71">
          <cell r="B71">
            <v>6970</v>
          </cell>
          <cell r="C71">
            <v>0</v>
          </cell>
          <cell r="D71">
            <v>3433.34</v>
          </cell>
          <cell r="E71">
            <v>3816.67</v>
          </cell>
          <cell r="F71">
            <v>3200.01</v>
          </cell>
          <cell r="G71">
            <v>2750</v>
          </cell>
          <cell r="H71">
            <v>2750</v>
          </cell>
          <cell r="I71">
            <v>5150</v>
          </cell>
        </row>
        <row r="72">
          <cell r="B72">
            <v>6980</v>
          </cell>
          <cell r="C72">
            <v>0</v>
          </cell>
          <cell r="D72">
            <v>42</v>
          </cell>
          <cell r="E72">
            <v>168</v>
          </cell>
          <cell r="G72">
            <v>1256</v>
          </cell>
          <cell r="H72">
            <v>-26.56</v>
          </cell>
          <cell r="I72">
            <v>718</v>
          </cell>
        </row>
        <row r="73">
          <cell r="B73">
            <v>7000</v>
          </cell>
          <cell r="C73">
            <v>0</v>
          </cell>
          <cell r="D73">
            <v>1618.99</v>
          </cell>
          <cell r="E73">
            <v>1633</v>
          </cell>
          <cell r="F73">
            <v>1667.51</v>
          </cell>
          <cell r="G73">
            <v>2127.31</v>
          </cell>
          <cell r="H73">
            <v>3614.23</v>
          </cell>
          <cell r="I73">
            <v>4393.58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Commentary"/>
      <sheetName val="Balance Sheet"/>
      <sheetName val="Profit &amp; Loss"/>
      <sheetName val="Fixed Assets"/>
      <sheetName val="Debtors Lead"/>
      <sheetName val="Trade Debtors"/>
      <sheetName val="Deposits"/>
      <sheetName val="Prepayments"/>
      <sheetName val="Accrued Income"/>
      <sheetName val="Bank Lead"/>
      <sheetName val="Creditors&lt;1yr"/>
      <sheetName val="Trade Creditors"/>
      <sheetName val="Payroll"/>
      <sheetName val="Accruals"/>
      <sheetName val="Deferred Income"/>
      <sheetName val="Lombard HP Lease"/>
      <sheetName val="Lombard Lease - S &amp; L"/>
      <sheetName val="Lombard Lease - LP"/>
      <sheetName val="Lombard Lease - LP (9)"/>
      <sheetName val="HP Loans - Various"/>
      <sheetName val="DLA"/>
      <sheetName val="Lead Schedule - Bank loan"/>
      <sheetName val="Bank Loan - HSBC"/>
      <sheetName val="JNLS - not on SAGE"/>
      <sheetName val="JNLS - on SAGE"/>
      <sheetName val="TB"/>
      <sheetName val="Balance_Sheet4"/>
      <sheetName val="Profit_&amp;_Loss4"/>
      <sheetName val="Fixed_Assets4"/>
      <sheetName val="Debtors_Lead4"/>
      <sheetName val="Trade_Debtors4"/>
      <sheetName val="Accrued_Income4"/>
      <sheetName val="Bank_Lead4"/>
      <sheetName val="Trade_Creditors4"/>
      <sheetName val="Deferred_Income4"/>
      <sheetName val="Lombard_HP_Lease4"/>
      <sheetName val="Lombard_Lease_-_S_&amp;_L4"/>
      <sheetName val="Lombard_Lease_-_LP4"/>
      <sheetName val="Lombard_Lease_-_LP_(9)4"/>
      <sheetName val="HP_Loans_-_Various4"/>
      <sheetName val="Lead_Schedule_-_Bank_loan4"/>
      <sheetName val="Bank_Loan_-_HSBC4"/>
      <sheetName val="JNLS_-_not_on_SAGE4"/>
      <sheetName val="JNLS_-_on_SAGE4"/>
      <sheetName val="Balance_Sheet"/>
      <sheetName val="Profit_&amp;_Loss"/>
      <sheetName val="Fixed_Assets"/>
      <sheetName val="Debtors_Lead"/>
      <sheetName val="Trade_Debtors"/>
      <sheetName val="Accrued_Income"/>
      <sheetName val="Bank_Lead"/>
      <sheetName val="Trade_Creditors"/>
      <sheetName val="Deferred_Income"/>
      <sheetName val="Lombard_HP_Lease"/>
      <sheetName val="Lombard_Lease_-_S_&amp;_L"/>
      <sheetName val="Lombard_Lease_-_LP"/>
      <sheetName val="Lombard_Lease_-_LP_(9)"/>
      <sheetName val="HP_Loans_-_Various"/>
      <sheetName val="Lead_Schedule_-_Bank_loan"/>
      <sheetName val="Bank_Loan_-_HSBC"/>
      <sheetName val="JNLS_-_not_on_SAGE"/>
      <sheetName val="JNLS_-_on_SAGE"/>
      <sheetName val="Balance_Sheet1"/>
      <sheetName val="Profit_&amp;_Loss1"/>
      <sheetName val="Fixed_Assets1"/>
      <sheetName val="Debtors_Lead1"/>
      <sheetName val="Trade_Debtors1"/>
      <sheetName val="Accrued_Income1"/>
      <sheetName val="Bank_Lead1"/>
      <sheetName val="Trade_Creditors1"/>
      <sheetName val="Deferred_Income1"/>
      <sheetName val="Lombard_HP_Lease1"/>
      <sheetName val="Lombard_Lease_-_S_&amp;_L1"/>
      <sheetName val="Lombard_Lease_-_LP1"/>
      <sheetName val="Lombard_Lease_-_LP_(9)1"/>
      <sheetName val="HP_Loans_-_Various1"/>
      <sheetName val="Lead_Schedule_-_Bank_loan1"/>
      <sheetName val="Bank_Loan_-_HSBC1"/>
      <sheetName val="JNLS_-_not_on_SAGE1"/>
      <sheetName val="JNLS_-_on_SAGE1"/>
      <sheetName val="Balance_Sheet2"/>
      <sheetName val="Profit_&amp;_Loss2"/>
      <sheetName val="Fixed_Assets2"/>
      <sheetName val="Debtors_Lead2"/>
      <sheetName val="Trade_Debtors2"/>
      <sheetName val="Accrued_Income2"/>
      <sheetName val="Bank_Lead2"/>
      <sheetName val="Trade_Creditors2"/>
      <sheetName val="Deferred_Income2"/>
      <sheetName val="Lombard_HP_Lease2"/>
      <sheetName val="Lombard_Lease_-_S_&amp;_L2"/>
      <sheetName val="Lombard_Lease_-_LP2"/>
      <sheetName val="Lombard_Lease_-_LP_(9)2"/>
      <sheetName val="HP_Loans_-_Various2"/>
      <sheetName val="Lead_Schedule_-_Bank_loan2"/>
      <sheetName val="Bank_Loan_-_HSBC2"/>
      <sheetName val="JNLS_-_not_on_SAGE2"/>
      <sheetName val="JNLS_-_on_SAGE2"/>
      <sheetName val="Balance_Sheet3"/>
      <sheetName val="Profit_&amp;_Loss3"/>
      <sheetName val="Fixed_Assets3"/>
      <sheetName val="Debtors_Lead3"/>
      <sheetName val="Trade_Debtors3"/>
      <sheetName val="Accrued_Income3"/>
      <sheetName val="Bank_Lead3"/>
      <sheetName val="Trade_Creditors3"/>
      <sheetName val="Deferred_Income3"/>
      <sheetName val="Lombard_HP_Lease3"/>
      <sheetName val="Lombard_Lease_-_S_&amp;_L3"/>
      <sheetName val="Lombard_Lease_-_LP3"/>
      <sheetName val="Lombard_Lease_-_LP_(9)3"/>
      <sheetName val="HP_Loans_-_Various3"/>
      <sheetName val="Lead_Schedule_-_Bank_loan3"/>
      <sheetName val="Bank_Loan_-_HSBC3"/>
      <sheetName val="JNLS_-_not_on_SAGE3"/>
      <sheetName val="JNLS_-_on_SAGE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7">
          <cell r="A7">
            <v>30</v>
          </cell>
          <cell r="B7" t="str">
            <v>Office Equipment</v>
          </cell>
          <cell r="C7">
            <v>131184.01999999999</v>
          </cell>
          <cell r="F7">
            <v>131184.01999999999</v>
          </cell>
        </row>
        <row r="8">
          <cell r="A8">
            <v>31</v>
          </cell>
          <cell r="B8" t="str">
            <v>Office Equipment Depreciation</v>
          </cell>
          <cell r="C8">
            <v>-74055.179999999993</v>
          </cell>
          <cell r="F8">
            <v>-74055.179999999993</v>
          </cell>
        </row>
        <row r="9">
          <cell r="A9">
            <v>40</v>
          </cell>
          <cell r="B9" t="str">
            <v>Furniture and Fixtures</v>
          </cell>
          <cell r="C9">
            <v>88421.83</v>
          </cell>
          <cell r="F9">
            <v>88421.83</v>
          </cell>
        </row>
        <row r="10">
          <cell r="A10">
            <v>41</v>
          </cell>
          <cell r="B10" t="str">
            <v>Furniture/Fixture Depreciation</v>
          </cell>
          <cell r="C10">
            <v>-39423.08</v>
          </cell>
          <cell r="F10">
            <v>-39423.08</v>
          </cell>
        </row>
        <row r="11">
          <cell r="A11">
            <v>50</v>
          </cell>
          <cell r="B11" t="str">
            <v>Motor Vehicles Purchasing</v>
          </cell>
          <cell r="C11">
            <v>68526.399999999994</v>
          </cell>
          <cell r="F11">
            <v>68526.399999999994</v>
          </cell>
        </row>
        <row r="12">
          <cell r="A12">
            <v>60</v>
          </cell>
          <cell r="B12" t="str">
            <v>Plant &amp; Machinery at Cost</v>
          </cell>
          <cell r="C12">
            <v>1053819.76</v>
          </cell>
          <cell r="F12">
            <v>1053819.76</v>
          </cell>
        </row>
        <row r="13">
          <cell r="A13">
            <v>61</v>
          </cell>
          <cell r="B13" t="str">
            <v>Plant &amp; Machinery Depreciation</v>
          </cell>
          <cell r="C13">
            <v>-556905.9</v>
          </cell>
          <cell r="F13">
            <v>-556905.9</v>
          </cell>
        </row>
        <row r="14">
          <cell r="A14">
            <v>62</v>
          </cell>
          <cell r="B14" t="str">
            <v>Drapes</v>
          </cell>
          <cell r="C14">
            <v>30384.03</v>
          </cell>
          <cell r="F14">
            <v>30384.03</v>
          </cell>
        </row>
        <row r="15">
          <cell r="A15">
            <v>63</v>
          </cell>
          <cell r="B15" t="str">
            <v>Drapes Depreciation</v>
          </cell>
          <cell r="C15">
            <v>-25039.74</v>
          </cell>
          <cell r="F15">
            <v>-25039.74</v>
          </cell>
        </row>
        <row r="16">
          <cell r="A16">
            <v>1000</v>
          </cell>
          <cell r="B16" t="str">
            <v>Consumables Stock</v>
          </cell>
          <cell r="C16">
            <v>10308.36</v>
          </cell>
          <cell r="F16">
            <v>10308.36</v>
          </cell>
        </row>
        <row r="17">
          <cell r="A17">
            <v>1100</v>
          </cell>
          <cell r="B17" t="str">
            <v>Debtors Control Account</v>
          </cell>
          <cell r="C17">
            <v>202513.53</v>
          </cell>
          <cell r="F17">
            <v>202513.53</v>
          </cell>
        </row>
        <row r="18">
          <cell r="A18">
            <v>1103</v>
          </cell>
          <cell r="B18" t="str">
            <v>Prepayments</v>
          </cell>
          <cell r="C18">
            <v>63021.56</v>
          </cell>
          <cell r="F18">
            <v>63021.56</v>
          </cell>
        </row>
        <row r="19">
          <cell r="A19">
            <v>1105</v>
          </cell>
          <cell r="B19" t="str">
            <v>Accrued Income</v>
          </cell>
          <cell r="F19">
            <v>0</v>
          </cell>
        </row>
        <row r="20">
          <cell r="A20">
            <v>1106</v>
          </cell>
          <cell r="B20" t="str">
            <v>Directors Account</v>
          </cell>
          <cell r="C20">
            <v>4948.32</v>
          </cell>
          <cell r="F20">
            <v>4948.32</v>
          </cell>
        </row>
        <row r="21">
          <cell r="A21">
            <v>1107</v>
          </cell>
          <cell r="B21" t="str">
            <v>Directors Account</v>
          </cell>
          <cell r="C21">
            <v>5358.37</v>
          </cell>
          <cell r="F21">
            <v>5358.37</v>
          </cell>
        </row>
        <row r="22">
          <cell r="A22">
            <v>1108</v>
          </cell>
          <cell r="B22" t="str">
            <v>shareholders a/c</v>
          </cell>
          <cell r="C22">
            <v>-6000</v>
          </cell>
          <cell r="F22">
            <v>-6000</v>
          </cell>
        </row>
        <row r="23">
          <cell r="A23">
            <v>1200</v>
          </cell>
          <cell r="B23" t="str">
            <v>Bank Current Account</v>
          </cell>
          <cell r="C23">
            <v>-113925.02</v>
          </cell>
          <cell r="F23">
            <v>-113925.02</v>
          </cell>
        </row>
        <row r="24">
          <cell r="A24">
            <v>1210</v>
          </cell>
          <cell r="B24" t="str">
            <v>Bank Deposit Account</v>
          </cell>
          <cell r="C24">
            <v>264.10000000000002</v>
          </cell>
          <cell r="F24">
            <v>264.10000000000002</v>
          </cell>
        </row>
        <row r="25">
          <cell r="A25">
            <v>1215</v>
          </cell>
          <cell r="B25" t="str">
            <v>BANK LOANS</v>
          </cell>
          <cell r="C25">
            <v>-36857.99</v>
          </cell>
          <cell r="F25">
            <v>-36857.99</v>
          </cell>
        </row>
        <row r="26">
          <cell r="A26">
            <v>1230</v>
          </cell>
          <cell r="B26" t="str">
            <v>Petty Cash</v>
          </cell>
          <cell r="C26">
            <v>300</v>
          </cell>
          <cell r="F26">
            <v>300</v>
          </cell>
        </row>
        <row r="27">
          <cell r="A27">
            <v>1240</v>
          </cell>
          <cell r="B27" t="str">
            <v>Company Credit Card</v>
          </cell>
          <cell r="C27">
            <v>-11750.03</v>
          </cell>
          <cell r="F27">
            <v>-11750.03</v>
          </cell>
        </row>
        <row r="28">
          <cell r="A28">
            <v>1260</v>
          </cell>
          <cell r="B28" t="str">
            <v>Deposits</v>
          </cell>
          <cell r="C28">
            <v>33451.050000000003</v>
          </cell>
          <cell r="F28">
            <v>33451.050000000003</v>
          </cell>
        </row>
        <row r="29">
          <cell r="A29">
            <v>2100</v>
          </cell>
          <cell r="B29" t="str">
            <v>Creditors Control Account</v>
          </cell>
          <cell r="C29">
            <v>-155959.29999999999</v>
          </cell>
          <cell r="F29">
            <v>-155959.29999999999</v>
          </cell>
        </row>
        <row r="30">
          <cell r="A30">
            <v>2109</v>
          </cell>
          <cell r="B30" t="str">
            <v>Accruals</v>
          </cell>
          <cell r="C30">
            <v>-20803.8</v>
          </cell>
          <cell r="F30">
            <v>-20803.8</v>
          </cell>
        </row>
        <row r="31">
          <cell r="A31">
            <v>2200</v>
          </cell>
          <cell r="B31" t="str">
            <v>Sales Tax Control Account</v>
          </cell>
          <cell r="C31">
            <v>-233881.96</v>
          </cell>
          <cell r="F31">
            <v>-233881.96</v>
          </cell>
        </row>
        <row r="32">
          <cell r="A32">
            <v>2201</v>
          </cell>
          <cell r="B32" t="str">
            <v>Purchase Tax Control Account</v>
          </cell>
          <cell r="C32">
            <v>101721.15</v>
          </cell>
          <cell r="F32">
            <v>101721.15</v>
          </cell>
        </row>
        <row r="33">
          <cell r="A33">
            <v>2202</v>
          </cell>
          <cell r="B33" t="str">
            <v>VAT Liability</v>
          </cell>
          <cell r="C33">
            <v>65076.5</v>
          </cell>
          <cell r="F33">
            <v>65076.5</v>
          </cell>
        </row>
        <row r="34">
          <cell r="A34">
            <v>2210</v>
          </cell>
          <cell r="B34" t="str">
            <v>P.A.Y.E.</v>
          </cell>
          <cell r="C34">
            <v>-45178.91</v>
          </cell>
          <cell r="F34">
            <v>-45178.91</v>
          </cell>
        </row>
        <row r="35">
          <cell r="A35">
            <v>2220</v>
          </cell>
          <cell r="B35" t="str">
            <v>Net Wages</v>
          </cell>
          <cell r="C35">
            <v>-31965.599999999999</v>
          </cell>
          <cell r="D35">
            <v>-2010</v>
          </cell>
          <cell r="F35">
            <v>-33975.599999999999</v>
          </cell>
        </row>
        <row r="36">
          <cell r="A36">
            <v>2230</v>
          </cell>
          <cell r="B36" t="str">
            <v>Pension Fund</v>
          </cell>
          <cell r="C36">
            <v>-121.68</v>
          </cell>
          <cell r="F36">
            <v>-121.68</v>
          </cell>
        </row>
        <row r="37">
          <cell r="A37">
            <v>2310</v>
          </cell>
          <cell r="B37" t="str">
            <v>Lombard Lease Purchase</v>
          </cell>
          <cell r="C37">
            <v>-118887.55</v>
          </cell>
          <cell r="F37">
            <v>-118887.55</v>
          </cell>
        </row>
        <row r="38">
          <cell r="A38">
            <v>2325</v>
          </cell>
          <cell r="B38" t="str">
            <v>Deferred Taxation</v>
          </cell>
          <cell r="C38">
            <v>-32302</v>
          </cell>
          <cell r="F38">
            <v>-32302</v>
          </cell>
        </row>
        <row r="39">
          <cell r="A39">
            <v>2350</v>
          </cell>
          <cell r="B39" t="str">
            <v>Hire Purchase Loans</v>
          </cell>
          <cell r="C39">
            <v>-26460.09</v>
          </cell>
          <cell r="F39">
            <v>-26460.09</v>
          </cell>
        </row>
        <row r="40">
          <cell r="A40">
            <v>2351</v>
          </cell>
          <cell r="B40" t="str">
            <v>HP Interest Suspense</v>
          </cell>
          <cell r="C40">
            <v>4299.42</v>
          </cell>
          <cell r="F40">
            <v>4299.42</v>
          </cell>
        </row>
        <row r="41">
          <cell r="A41">
            <v>3000</v>
          </cell>
          <cell r="B41" t="str">
            <v>Ordinary Shares</v>
          </cell>
          <cell r="C41">
            <v>-100000</v>
          </cell>
          <cell r="F41">
            <v>-100000</v>
          </cell>
        </row>
        <row r="42">
          <cell r="A42">
            <v>3200</v>
          </cell>
          <cell r="B42" t="str">
            <v>Profit and Loss Account</v>
          </cell>
          <cell r="C42">
            <v>-168862.92</v>
          </cell>
          <cell r="F42">
            <v>-168862.92</v>
          </cell>
        </row>
        <row r="43">
          <cell r="A43">
            <v>4000</v>
          </cell>
          <cell r="B43" t="str">
            <v>Equipment Hire Sales</v>
          </cell>
          <cell r="C43">
            <v>-97277.81</v>
          </cell>
          <cell r="F43">
            <v>-97277.81</v>
          </cell>
        </row>
        <row r="44">
          <cell r="A44">
            <v>4001</v>
          </cell>
          <cell r="B44" t="str">
            <v>Consumables Sales</v>
          </cell>
          <cell r="C44">
            <v>-423.6</v>
          </cell>
          <cell r="F44">
            <v>-423.6</v>
          </cell>
        </row>
        <row r="45">
          <cell r="A45">
            <v>4002</v>
          </cell>
          <cell r="B45" t="str">
            <v>Labour Sales</v>
          </cell>
          <cell r="C45">
            <v>-30740</v>
          </cell>
          <cell r="F45">
            <v>-30740</v>
          </cell>
        </row>
        <row r="46">
          <cell r="A46">
            <v>4003</v>
          </cell>
          <cell r="B46" t="str">
            <v>Transport Sales</v>
          </cell>
          <cell r="C46">
            <v>-6723</v>
          </cell>
          <cell r="F46">
            <v>-6723</v>
          </cell>
        </row>
        <row r="47">
          <cell r="A47">
            <v>4004</v>
          </cell>
          <cell r="B47" t="str">
            <v>Fabrication Sales</v>
          </cell>
          <cell r="C47">
            <v>-35</v>
          </cell>
          <cell r="F47">
            <v>-35</v>
          </cell>
        </row>
        <row r="48">
          <cell r="A48">
            <v>4005</v>
          </cell>
          <cell r="B48" t="str">
            <v>Consultancy Sales</v>
          </cell>
          <cell r="F48">
            <v>0</v>
          </cell>
        </row>
        <row r="49">
          <cell r="A49">
            <v>4006</v>
          </cell>
          <cell r="B49" t="str">
            <v>Drafting Sales</v>
          </cell>
          <cell r="F49">
            <v>0</v>
          </cell>
        </row>
        <row r="50">
          <cell r="A50">
            <v>4007</v>
          </cell>
          <cell r="B50" t="str">
            <v>Event Sales</v>
          </cell>
          <cell r="C50">
            <v>-5486.89</v>
          </cell>
          <cell r="F50">
            <v>-5486.89</v>
          </cell>
        </row>
        <row r="51">
          <cell r="A51">
            <v>4008</v>
          </cell>
          <cell r="B51" t="str">
            <v>Dry Hire Sales</v>
          </cell>
          <cell r="F51">
            <v>0</v>
          </cell>
        </row>
        <row r="52">
          <cell r="A52">
            <v>4010</v>
          </cell>
          <cell r="B52" t="str">
            <v>Travel Sales</v>
          </cell>
          <cell r="C52">
            <v>-160</v>
          </cell>
          <cell r="F52">
            <v>-160</v>
          </cell>
        </row>
        <row r="53">
          <cell r="A53">
            <v>4011</v>
          </cell>
          <cell r="B53" t="str">
            <v>Subsistance Sales</v>
          </cell>
          <cell r="C53">
            <v>-1970</v>
          </cell>
          <cell r="F53">
            <v>-1970</v>
          </cell>
        </row>
        <row r="54">
          <cell r="A54">
            <v>4012</v>
          </cell>
          <cell r="B54" t="str">
            <v>Plant Hire Sales</v>
          </cell>
          <cell r="F54">
            <v>0</v>
          </cell>
        </row>
        <row r="55">
          <cell r="A55">
            <v>4013</v>
          </cell>
          <cell r="B55" t="str">
            <v>Automation Sales</v>
          </cell>
          <cell r="F55">
            <v>0</v>
          </cell>
        </row>
        <row r="56">
          <cell r="A56">
            <v>4200</v>
          </cell>
          <cell r="B56" t="str">
            <v>Sales of Assets</v>
          </cell>
          <cell r="F56">
            <v>0</v>
          </cell>
        </row>
        <row r="57">
          <cell r="A57">
            <v>4905</v>
          </cell>
          <cell r="F57">
            <v>0</v>
          </cell>
        </row>
        <row r="58">
          <cell r="A58">
            <v>5000</v>
          </cell>
          <cell r="B58" t="str">
            <v>Equipment Sub Hires</v>
          </cell>
          <cell r="C58">
            <v>2233.64</v>
          </cell>
          <cell r="F58">
            <v>2233.64</v>
          </cell>
        </row>
        <row r="59">
          <cell r="A59">
            <v>5001</v>
          </cell>
          <cell r="B59" t="str">
            <v>Trucking Purchase</v>
          </cell>
          <cell r="C59">
            <v>1205</v>
          </cell>
          <cell r="F59">
            <v>1205</v>
          </cell>
        </row>
        <row r="60">
          <cell r="A60">
            <v>5002</v>
          </cell>
          <cell r="B60" t="str">
            <v>Consumables Purchase</v>
          </cell>
          <cell r="C60">
            <v>1752.76</v>
          </cell>
          <cell r="F60">
            <v>1752.76</v>
          </cell>
        </row>
        <row r="61">
          <cell r="A61">
            <v>5003</v>
          </cell>
          <cell r="B61" t="str">
            <v>Fabrication Purchases</v>
          </cell>
          <cell r="C61">
            <v>25.79</v>
          </cell>
          <cell r="F61">
            <v>25.79</v>
          </cell>
        </row>
        <row r="62">
          <cell r="A62">
            <v>5004</v>
          </cell>
          <cell r="B62" t="str">
            <v>Freelance Labour</v>
          </cell>
          <cell r="C62">
            <v>-385</v>
          </cell>
          <cell r="F62">
            <v>-385</v>
          </cell>
        </row>
        <row r="63">
          <cell r="A63">
            <v>5005</v>
          </cell>
          <cell r="B63" t="str">
            <v>Freelance Subsistance &amp; Travel</v>
          </cell>
          <cell r="C63">
            <v>98</v>
          </cell>
          <cell r="F63">
            <v>98</v>
          </cell>
        </row>
        <row r="64">
          <cell r="A64">
            <v>5006</v>
          </cell>
          <cell r="B64" t="str">
            <v>Delivery/Collections</v>
          </cell>
          <cell r="C64">
            <v>-1620.88</v>
          </cell>
          <cell r="F64">
            <v>-1620.88</v>
          </cell>
        </row>
        <row r="65">
          <cell r="A65">
            <v>5007</v>
          </cell>
          <cell r="B65" t="str">
            <v>Scenic Purchases</v>
          </cell>
          <cell r="F65">
            <v>0</v>
          </cell>
        </row>
        <row r="66">
          <cell r="A66">
            <v>5008</v>
          </cell>
          <cell r="B66" t="str">
            <v>Staging</v>
          </cell>
          <cell r="F66">
            <v>0</v>
          </cell>
        </row>
        <row r="67">
          <cell r="A67">
            <v>5010</v>
          </cell>
          <cell r="B67" t="str">
            <v>Event Purchases</v>
          </cell>
          <cell r="C67">
            <v>2519.25</v>
          </cell>
          <cell r="F67">
            <v>2519.25</v>
          </cell>
        </row>
        <row r="68">
          <cell r="A68">
            <v>5011</v>
          </cell>
          <cell r="B68" t="str">
            <v>Losses &amp; Damage sub Hires</v>
          </cell>
          <cell r="C68">
            <v>194.84</v>
          </cell>
          <cell r="F68">
            <v>194.84</v>
          </cell>
        </row>
        <row r="69">
          <cell r="A69">
            <v>5013</v>
          </cell>
          <cell r="B69" t="str">
            <v>Stagecrew</v>
          </cell>
          <cell r="C69">
            <v>260</v>
          </cell>
          <cell r="F69">
            <v>260</v>
          </cell>
        </row>
        <row r="70">
          <cell r="A70">
            <v>5014</v>
          </cell>
          <cell r="B70" t="str">
            <v>Plant Hire</v>
          </cell>
          <cell r="C70">
            <v>275.26</v>
          </cell>
          <cell r="F70">
            <v>275.26</v>
          </cell>
        </row>
        <row r="71">
          <cell r="A71">
            <v>5100</v>
          </cell>
          <cell r="B71" t="str">
            <v>Freight Carriage</v>
          </cell>
          <cell r="F71">
            <v>0</v>
          </cell>
        </row>
        <row r="72">
          <cell r="A72">
            <v>6200</v>
          </cell>
          <cell r="B72" t="str">
            <v>Sales Promotions</v>
          </cell>
          <cell r="C72">
            <v>13920.99</v>
          </cell>
          <cell r="F72">
            <v>13920.99</v>
          </cell>
        </row>
        <row r="73">
          <cell r="A73">
            <v>6201</v>
          </cell>
          <cell r="B73" t="str">
            <v>Advertising</v>
          </cell>
          <cell r="F73">
            <v>0</v>
          </cell>
        </row>
        <row r="74">
          <cell r="A74">
            <v>6202</v>
          </cell>
          <cell r="B74" t="str">
            <v>Gifts and Samples</v>
          </cell>
          <cell r="F74">
            <v>0</v>
          </cell>
        </row>
        <row r="75">
          <cell r="A75">
            <v>6203</v>
          </cell>
          <cell r="B75" t="str">
            <v>P.R. (Literature &amp; Brochures)</v>
          </cell>
          <cell r="C75">
            <v>464.39</v>
          </cell>
          <cell r="F75">
            <v>464.39</v>
          </cell>
        </row>
        <row r="76">
          <cell r="A76">
            <v>6900</v>
          </cell>
          <cell r="B76" t="str">
            <v>Miscellaneous Expenses</v>
          </cell>
          <cell r="C76">
            <v>2750</v>
          </cell>
          <cell r="F76">
            <v>2750</v>
          </cell>
        </row>
        <row r="77">
          <cell r="A77">
            <v>7000</v>
          </cell>
          <cell r="F77">
            <v>0</v>
          </cell>
        </row>
        <row r="78">
          <cell r="A78">
            <v>7001</v>
          </cell>
          <cell r="B78" t="str">
            <v>Directors Pension Contributions</v>
          </cell>
          <cell r="C78">
            <v>754.27</v>
          </cell>
          <cell r="F78">
            <v>754.27</v>
          </cell>
        </row>
        <row r="79">
          <cell r="A79">
            <v>7002</v>
          </cell>
          <cell r="B79" t="str">
            <v>Directors Remuneration</v>
          </cell>
          <cell r="C79">
            <v>8333.33</v>
          </cell>
          <cell r="F79">
            <v>8333.33</v>
          </cell>
        </row>
        <row r="80">
          <cell r="A80">
            <v>7003</v>
          </cell>
          <cell r="B80" t="str">
            <v>Staff Salaries</v>
          </cell>
          <cell r="C80">
            <v>40455.839999999997</v>
          </cell>
          <cell r="F80">
            <v>40455.839999999997</v>
          </cell>
        </row>
        <row r="81">
          <cell r="A81">
            <v>7005</v>
          </cell>
          <cell r="B81" t="str">
            <v>Wages Casual</v>
          </cell>
          <cell r="D81">
            <v>2010</v>
          </cell>
          <cell r="F81">
            <v>2010</v>
          </cell>
        </row>
        <row r="82">
          <cell r="A82">
            <v>7006</v>
          </cell>
          <cell r="B82" t="str">
            <v>Employers N.I.</v>
          </cell>
          <cell r="C82">
            <v>5436.05</v>
          </cell>
          <cell r="F82">
            <v>5436.05</v>
          </cell>
        </row>
        <row r="83">
          <cell r="A83">
            <v>7007</v>
          </cell>
          <cell r="B83" t="str">
            <v>Employers Pension Contribution</v>
          </cell>
          <cell r="C83">
            <v>620.84</v>
          </cell>
          <cell r="F83">
            <v>620.84</v>
          </cell>
        </row>
        <row r="84">
          <cell r="A84">
            <v>7011</v>
          </cell>
          <cell r="F84">
            <v>0</v>
          </cell>
        </row>
        <row r="85">
          <cell r="A85">
            <v>7012</v>
          </cell>
          <cell r="B85" t="str">
            <v>Health Cover</v>
          </cell>
          <cell r="C85">
            <v>420.56</v>
          </cell>
          <cell r="F85">
            <v>420.56</v>
          </cell>
        </row>
        <row r="86">
          <cell r="A86">
            <v>7013</v>
          </cell>
          <cell r="B86" t="str">
            <v>Severance</v>
          </cell>
          <cell r="F86">
            <v>0</v>
          </cell>
        </row>
        <row r="87">
          <cell r="A87">
            <v>7100</v>
          </cell>
          <cell r="B87" t="str">
            <v>Rent</v>
          </cell>
          <cell r="C87">
            <v>9435.76</v>
          </cell>
          <cell r="F87">
            <v>9435.76</v>
          </cell>
        </row>
        <row r="88">
          <cell r="A88">
            <v>7103</v>
          </cell>
          <cell r="B88" t="str">
            <v>General Rates</v>
          </cell>
          <cell r="C88">
            <v>1900</v>
          </cell>
          <cell r="F88">
            <v>1900</v>
          </cell>
        </row>
        <row r="89">
          <cell r="A89">
            <v>7104</v>
          </cell>
          <cell r="F89">
            <v>0</v>
          </cell>
        </row>
        <row r="90">
          <cell r="A90">
            <v>7200</v>
          </cell>
          <cell r="B90" t="str">
            <v>Electricity &amp; Gas</v>
          </cell>
          <cell r="C90">
            <v>372.66</v>
          </cell>
          <cell r="F90">
            <v>372.66</v>
          </cell>
        </row>
        <row r="91">
          <cell r="A91">
            <v>7300</v>
          </cell>
          <cell r="B91" t="str">
            <v>Fuel and Oil</v>
          </cell>
          <cell r="C91">
            <v>59.7</v>
          </cell>
          <cell r="F91">
            <v>59.7</v>
          </cell>
        </row>
        <row r="92">
          <cell r="A92">
            <v>7301</v>
          </cell>
          <cell r="B92" t="str">
            <v>Property Repairs and Servicing</v>
          </cell>
          <cell r="C92">
            <v>210.27</v>
          </cell>
          <cell r="F92">
            <v>210.27</v>
          </cell>
        </row>
        <row r="93">
          <cell r="A93">
            <v>7302</v>
          </cell>
          <cell r="B93" t="str">
            <v>Licences</v>
          </cell>
          <cell r="C93">
            <v>165</v>
          </cell>
          <cell r="F93">
            <v>165</v>
          </cell>
        </row>
        <row r="94">
          <cell r="A94">
            <v>7303</v>
          </cell>
          <cell r="B94" t="str">
            <v>Vehicle Insurance</v>
          </cell>
          <cell r="C94">
            <v>1509.82</v>
          </cell>
          <cell r="F94">
            <v>1509.82</v>
          </cell>
        </row>
        <row r="95">
          <cell r="A95">
            <v>7304</v>
          </cell>
          <cell r="B95" t="str">
            <v>Vehicle Servicing</v>
          </cell>
          <cell r="C95">
            <v>1009.57</v>
          </cell>
          <cell r="F95">
            <v>1009.57</v>
          </cell>
        </row>
        <row r="96">
          <cell r="A96">
            <v>7305</v>
          </cell>
          <cell r="B96" t="str">
            <v>Motor Vehicle Leasing</v>
          </cell>
          <cell r="C96">
            <v>1744.89</v>
          </cell>
          <cell r="F96">
            <v>1744.89</v>
          </cell>
        </row>
        <row r="97">
          <cell r="A97">
            <v>7306</v>
          </cell>
          <cell r="B97" t="str">
            <v>Congestion Charging</v>
          </cell>
          <cell r="C97">
            <v>638.15</v>
          </cell>
          <cell r="F97">
            <v>638.15</v>
          </cell>
        </row>
        <row r="98">
          <cell r="A98">
            <v>7400</v>
          </cell>
          <cell r="B98" t="str">
            <v>Travelling</v>
          </cell>
          <cell r="C98">
            <v>1711.2</v>
          </cell>
          <cell r="F98">
            <v>1711.2</v>
          </cell>
        </row>
        <row r="99">
          <cell r="A99">
            <v>7401</v>
          </cell>
          <cell r="F99">
            <v>0</v>
          </cell>
        </row>
        <row r="100">
          <cell r="A100">
            <v>7402</v>
          </cell>
          <cell r="B100" t="str">
            <v>Hotels</v>
          </cell>
          <cell r="C100">
            <v>193.59</v>
          </cell>
          <cell r="F100">
            <v>193.59</v>
          </cell>
        </row>
        <row r="101">
          <cell r="A101">
            <v>7403</v>
          </cell>
          <cell r="B101" t="str">
            <v>U.K. Entertainment</v>
          </cell>
          <cell r="C101">
            <v>90</v>
          </cell>
          <cell r="F101">
            <v>90</v>
          </cell>
        </row>
        <row r="102">
          <cell r="A102">
            <v>7404</v>
          </cell>
          <cell r="F102">
            <v>0</v>
          </cell>
        </row>
        <row r="103">
          <cell r="A103">
            <v>7405</v>
          </cell>
          <cell r="F103">
            <v>0</v>
          </cell>
        </row>
        <row r="104">
          <cell r="A104">
            <v>7406</v>
          </cell>
          <cell r="B104" t="str">
            <v>Subsistence</v>
          </cell>
          <cell r="C104">
            <v>36.96</v>
          </cell>
          <cell r="F104">
            <v>36.96</v>
          </cell>
        </row>
        <row r="105">
          <cell r="A105">
            <v>7500</v>
          </cell>
          <cell r="F105">
            <v>0</v>
          </cell>
        </row>
        <row r="106">
          <cell r="A106">
            <v>7501</v>
          </cell>
          <cell r="B106" t="str">
            <v>Postage and Carriage</v>
          </cell>
          <cell r="F106">
            <v>0</v>
          </cell>
        </row>
        <row r="107">
          <cell r="A107">
            <v>7502</v>
          </cell>
          <cell r="B107" t="str">
            <v>Telephone</v>
          </cell>
          <cell r="C107">
            <v>41.15</v>
          </cell>
          <cell r="F107">
            <v>41.15</v>
          </cell>
        </row>
        <row r="108">
          <cell r="A108">
            <v>7503</v>
          </cell>
          <cell r="B108" t="str">
            <v>Telex/Telegram/Facsimile</v>
          </cell>
          <cell r="F108">
            <v>0</v>
          </cell>
        </row>
        <row r="109">
          <cell r="A109">
            <v>7504</v>
          </cell>
          <cell r="B109" t="str">
            <v>Office Stationery</v>
          </cell>
          <cell r="C109">
            <v>-130.47999999999999</v>
          </cell>
          <cell r="F109">
            <v>-130.47999999999999</v>
          </cell>
        </row>
        <row r="110">
          <cell r="A110">
            <v>7505</v>
          </cell>
          <cell r="B110" t="str">
            <v>Books etc.</v>
          </cell>
          <cell r="F110">
            <v>0</v>
          </cell>
        </row>
        <row r="111">
          <cell r="A111">
            <v>7506</v>
          </cell>
          <cell r="B111" t="str">
            <v>999 Call out Mobiles</v>
          </cell>
          <cell r="C111">
            <v>25.44</v>
          </cell>
          <cell r="F111">
            <v>25.44</v>
          </cell>
        </row>
        <row r="112">
          <cell r="A112">
            <v>7507</v>
          </cell>
          <cell r="B112" t="str">
            <v>Office Photocopies</v>
          </cell>
          <cell r="F112">
            <v>0</v>
          </cell>
        </row>
        <row r="113">
          <cell r="A113">
            <v>7600</v>
          </cell>
          <cell r="B113" t="str">
            <v>Legal Fees</v>
          </cell>
          <cell r="F113">
            <v>0</v>
          </cell>
        </row>
        <row r="114">
          <cell r="A114">
            <v>7601</v>
          </cell>
          <cell r="B114" t="str">
            <v>Audit and Accountancy Fees</v>
          </cell>
          <cell r="C114">
            <v>-58.93</v>
          </cell>
          <cell r="F114">
            <v>-58.93</v>
          </cell>
        </row>
        <row r="115">
          <cell r="A115">
            <v>7602</v>
          </cell>
          <cell r="B115" t="str">
            <v>Consultancy Fees</v>
          </cell>
          <cell r="C115">
            <v>1338.93</v>
          </cell>
          <cell r="F115">
            <v>1338.93</v>
          </cell>
        </row>
        <row r="116">
          <cell r="A116">
            <v>7603</v>
          </cell>
          <cell r="B116" t="str">
            <v>Professional Fees</v>
          </cell>
          <cell r="C116">
            <v>300</v>
          </cell>
          <cell r="F116">
            <v>300</v>
          </cell>
        </row>
        <row r="117">
          <cell r="A117">
            <v>7700</v>
          </cell>
          <cell r="B117" t="str">
            <v>Office Equipment Hire</v>
          </cell>
          <cell r="C117">
            <v>556.61</v>
          </cell>
          <cell r="F117">
            <v>556.61</v>
          </cell>
        </row>
        <row r="118">
          <cell r="A118">
            <v>7701</v>
          </cell>
          <cell r="B118" t="str">
            <v>Office Machine Maintenance</v>
          </cell>
          <cell r="C118">
            <v>42.14</v>
          </cell>
          <cell r="F118">
            <v>42.14</v>
          </cell>
        </row>
        <row r="119">
          <cell r="A119">
            <v>7800</v>
          </cell>
          <cell r="B119" t="str">
            <v>R&amp;R /Equipment Certification</v>
          </cell>
          <cell r="C119">
            <v>1286.92</v>
          </cell>
          <cell r="F119">
            <v>1286.92</v>
          </cell>
        </row>
        <row r="120">
          <cell r="A120">
            <v>7801</v>
          </cell>
          <cell r="B120" t="str">
            <v>Cleaning</v>
          </cell>
          <cell r="C120">
            <v>368</v>
          </cell>
          <cell r="F120">
            <v>368</v>
          </cell>
        </row>
        <row r="121">
          <cell r="A121">
            <v>7802</v>
          </cell>
          <cell r="B121" t="str">
            <v>Health &amp; Safety</v>
          </cell>
          <cell r="C121">
            <v>61.78</v>
          </cell>
          <cell r="F121">
            <v>61.78</v>
          </cell>
        </row>
        <row r="122">
          <cell r="A122">
            <v>7803</v>
          </cell>
          <cell r="B122" t="str">
            <v>Misc. Premises Expenses</v>
          </cell>
          <cell r="C122">
            <v>359.11</v>
          </cell>
          <cell r="F122">
            <v>359.11</v>
          </cell>
        </row>
        <row r="123">
          <cell r="A123">
            <v>7900</v>
          </cell>
          <cell r="B123" t="str">
            <v>Bank Interest Paid</v>
          </cell>
          <cell r="C123">
            <v>1759.89</v>
          </cell>
          <cell r="F123">
            <v>1759.89</v>
          </cell>
        </row>
        <row r="124">
          <cell r="A124">
            <v>7901</v>
          </cell>
          <cell r="B124" t="str">
            <v>Bank Charges</v>
          </cell>
          <cell r="C124">
            <v>122.33</v>
          </cell>
          <cell r="F124">
            <v>122.33</v>
          </cell>
        </row>
        <row r="125">
          <cell r="A125">
            <v>7903</v>
          </cell>
          <cell r="B125" t="str">
            <v>LGS/40K Interest</v>
          </cell>
          <cell r="C125">
            <v>211.36</v>
          </cell>
          <cell r="F125">
            <v>211.36</v>
          </cell>
        </row>
        <row r="126">
          <cell r="A126">
            <v>7904</v>
          </cell>
          <cell r="B126" t="str">
            <v>H.P. Interest</v>
          </cell>
          <cell r="C126">
            <v>1220.75</v>
          </cell>
          <cell r="F126">
            <v>1220.75</v>
          </cell>
        </row>
        <row r="127">
          <cell r="A127">
            <v>7905</v>
          </cell>
          <cell r="B127" t="str">
            <v>Credit Charges</v>
          </cell>
          <cell r="F127">
            <v>0</v>
          </cell>
        </row>
        <row r="128">
          <cell r="A128">
            <v>7906</v>
          </cell>
          <cell r="B128" t="str">
            <v>Interest Received</v>
          </cell>
          <cell r="F128">
            <v>0</v>
          </cell>
        </row>
        <row r="129">
          <cell r="A129">
            <v>7907</v>
          </cell>
          <cell r="B129" t="str">
            <v>Currency Fluctuation</v>
          </cell>
          <cell r="F129">
            <v>0</v>
          </cell>
        </row>
        <row r="130">
          <cell r="A130">
            <v>8001</v>
          </cell>
          <cell r="B130" t="str">
            <v>Plant/Machinery Depreciation</v>
          </cell>
          <cell r="C130">
            <v>6674.33</v>
          </cell>
          <cell r="F130">
            <v>6674.33</v>
          </cell>
        </row>
        <row r="131">
          <cell r="A131">
            <v>8002</v>
          </cell>
          <cell r="B131" t="str">
            <v>Furniture/Fitting Depreciation</v>
          </cell>
          <cell r="C131">
            <v>919.65</v>
          </cell>
          <cell r="F131">
            <v>919.65</v>
          </cell>
        </row>
        <row r="132">
          <cell r="A132">
            <v>8003</v>
          </cell>
          <cell r="B132" t="str">
            <v>Vehicle Depreciation</v>
          </cell>
          <cell r="C132">
            <v>608.41999999999996</v>
          </cell>
          <cell r="F132">
            <v>608.41999999999996</v>
          </cell>
        </row>
        <row r="133">
          <cell r="A133">
            <v>8004</v>
          </cell>
          <cell r="B133" t="str">
            <v>Office Equipment Depreciation</v>
          </cell>
          <cell r="C133">
            <v>1072.26</v>
          </cell>
          <cell r="F133">
            <v>1072.26</v>
          </cell>
        </row>
        <row r="134">
          <cell r="A134">
            <v>8005</v>
          </cell>
          <cell r="B134" t="str">
            <v>Drape depreciation charge</v>
          </cell>
          <cell r="C134">
            <v>183.64</v>
          </cell>
          <cell r="F134">
            <v>183.64</v>
          </cell>
        </row>
        <row r="135">
          <cell r="A135">
            <v>8006</v>
          </cell>
          <cell r="B135" t="str">
            <v>Loss on disposal</v>
          </cell>
          <cell r="F135">
            <v>0</v>
          </cell>
        </row>
        <row r="136">
          <cell r="A136">
            <v>8100</v>
          </cell>
          <cell r="B136" t="str">
            <v>Bad Debt Write Off</v>
          </cell>
          <cell r="F136">
            <v>0</v>
          </cell>
        </row>
        <row r="137">
          <cell r="A137">
            <v>8200</v>
          </cell>
          <cell r="B137" t="str">
            <v>Donations</v>
          </cell>
          <cell r="F137">
            <v>0</v>
          </cell>
        </row>
        <row r="138">
          <cell r="A138">
            <v>8201</v>
          </cell>
          <cell r="B138" t="str">
            <v>Subscriptions</v>
          </cell>
          <cell r="F138">
            <v>0</v>
          </cell>
        </row>
        <row r="139">
          <cell r="A139">
            <v>8202</v>
          </cell>
          <cell r="B139" t="str">
            <v>Clothing &amp; Protective Equipmnt</v>
          </cell>
          <cell r="C139">
            <v>460.6</v>
          </cell>
          <cell r="F139">
            <v>460.6</v>
          </cell>
        </row>
        <row r="140">
          <cell r="A140">
            <v>8203</v>
          </cell>
          <cell r="B140" t="str">
            <v>Training Costs</v>
          </cell>
          <cell r="F140">
            <v>0</v>
          </cell>
        </row>
        <row r="141">
          <cell r="A141">
            <v>8204</v>
          </cell>
          <cell r="B141" t="str">
            <v>Insurance</v>
          </cell>
          <cell r="C141">
            <v>4707.47</v>
          </cell>
          <cell r="F141">
            <v>4707.47</v>
          </cell>
        </row>
        <row r="142">
          <cell r="A142">
            <v>8205</v>
          </cell>
          <cell r="B142" t="str">
            <v>Refreshments</v>
          </cell>
          <cell r="C142">
            <v>127.51</v>
          </cell>
          <cell r="F142">
            <v>127.51</v>
          </cell>
        </row>
        <row r="143">
          <cell r="A143">
            <v>8206</v>
          </cell>
          <cell r="B143" t="str">
            <v>Canteen</v>
          </cell>
          <cell r="F143">
            <v>0</v>
          </cell>
        </row>
        <row r="144">
          <cell r="A144">
            <v>8350</v>
          </cell>
          <cell r="B144" t="str">
            <v>Dividends</v>
          </cell>
          <cell r="F144">
            <v>0</v>
          </cell>
        </row>
        <row r="145">
          <cell r="A145">
            <v>8400</v>
          </cell>
          <cell r="B145" t="str">
            <v>Corp.Tax for Period</v>
          </cell>
          <cell r="F145">
            <v>0</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ntt June 2007"/>
      <sheetName val="Gantt April 07"/>
      <sheetName val="Gantt (Nov 06)"/>
      <sheetName val="Gantt (Sep 1st 06)"/>
      <sheetName val="Gantt"/>
      <sheetName val="P&amp;L Con"/>
      <sheetName val="New Gantt"/>
      <sheetName val="macro 2008"/>
      <sheetName val="macro"/>
      <sheetName val="P&amp;L"/>
      <sheetName val="Salaries"/>
      <sheetName val="Exp. assumptions"/>
      <sheetName val="COGS"/>
      <sheetName val="Head count chart"/>
      <sheetName val="Per dep $ chart"/>
      <sheetName val="COGS Outsourcing"/>
      <sheetName val="Revenue &amp; Sales model"/>
      <sheetName val="USA BP Sales Projection"/>
      <sheetName val="EU BP Sales Projection"/>
      <sheetName val="Japan BP Sales Projection"/>
      <sheetName val="Cash balance Chart"/>
      <sheetName val="Sensitivity"/>
      <sheetName val="USA sales 07-15 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1392ד"/>
      <sheetName val="נ'4"/>
      <sheetName val="נ'6"/>
      <sheetName val="נ'7"/>
      <sheetName val="ר'7(1)"/>
      <sheetName val="ר'7(2)"/>
      <sheetName val="ר'7(3)"/>
      <sheetName val="ר'7(4)"/>
      <sheetName val="index"/>
      <sheetName val="סייג מסים+מס ביתר"/>
      <sheetName val="תעודה א"/>
      <sheetName val="פרופורמת מס אלפא"/>
      <sheetName val="פרופורמת מס מדריכי פנאי"/>
      <sheetName val="נסיעות לחו&quot;ל"/>
      <sheetName val=" עודפות"/>
      <sheetName val="חוז מס "/>
      <sheetName val="ניתוח המיסים"/>
      <sheetName val="Parameters"/>
      <sheetName val="סייג_מסים+מס_ביתר"/>
      <sheetName val="תעודה_א"/>
      <sheetName val="פרופורמת_מס_אלפא"/>
      <sheetName val="פרופורמת_מס_מדריכי_פנאי"/>
      <sheetName val="נסיעות_לחו&quot;ל"/>
      <sheetName val="_עודפות"/>
      <sheetName val="חוז_מס_"/>
      <sheetName val="ניתוח_המיסים"/>
      <sheetName val="הערות"/>
      <sheetName val="פק' נוספות"/>
      <sheetName val="תקציב שעות"/>
      <sheetName val="Open orders"/>
      <sheetName val="Tax Proforma1"/>
      <sheetName val="סייג_מסים+מס_ביתר4"/>
      <sheetName val="תעודה_א4"/>
      <sheetName val="פרופורמת_מס_אלפא4"/>
      <sheetName val="פרופורמת_מס_מדריכי_פנאי4"/>
      <sheetName val="נסיעות_לחו&quot;ל4"/>
      <sheetName val="_עודפות4"/>
      <sheetName val="חוז_מס_4"/>
      <sheetName val="ניתוח_המיסים4"/>
      <sheetName val="סייג_מסים+מס_ביתר1"/>
      <sheetName val="תעודה_א1"/>
      <sheetName val="פרופורמת_מס_אלפא1"/>
      <sheetName val="פרופורמת_מס_מדריכי_פנאי1"/>
      <sheetName val="נסיעות_לחו&quot;ל1"/>
      <sheetName val="_עודפות1"/>
      <sheetName val="חוז_מס_1"/>
      <sheetName val="ניתוח_המיסים1"/>
      <sheetName val="סייג_מסים+מס_ביתר2"/>
      <sheetName val="תעודה_א2"/>
      <sheetName val="פרופורמת_מס_אלפא2"/>
      <sheetName val="פרופורמת_מס_מדריכי_פנאי2"/>
      <sheetName val="נסיעות_לחו&quot;ל2"/>
      <sheetName val="_עודפות2"/>
      <sheetName val="חוז_מס_2"/>
      <sheetName val="ניתוח_המיסים2"/>
      <sheetName val="סייג_מסים+מס_ביתר3"/>
      <sheetName val="תעודה_א3"/>
      <sheetName val="פרופורמת_מס_אלפא3"/>
      <sheetName val="פרופורמת_מס_מדריכי_פנאי3"/>
      <sheetName val="נסיעות_לחו&quot;ל3"/>
      <sheetName val="_עודפות3"/>
      <sheetName val="חוז_מס_3"/>
      <sheetName val="ניתוח_המיסים3"/>
      <sheetName val="סייג_מסים+מס_ביתר5"/>
      <sheetName val="תעודה_א5"/>
      <sheetName val="פרופורמת_מס_אלפא5"/>
      <sheetName val="פרופורמת_מס_מדריכי_פנאי5"/>
      <sheetName val="נסיעות_לחו&quot;ל5"/>
      <sheetName val="_עודפות5"/>
      <sheetName val="חוז_מס_5"/>
      <sheetName val="ניתוח_המיסים5"/>
      <sheetName val="תזרים"/>
      <sheetName val="Budget Balance Sheet"/>
    </sheetNames>
    <sheetDataSet>
      <sheetData sheetId="0"/>
      <sheetData sheetId="1"/>
      <sheetData sheetId="2"/>
      <sheetData sheetId="3"/>
      <sheetData sheetId="4"/>
      <sheetData sheetId="5"/>
      <sheetData sheetId="6"/>
      <sheetData sheetId="7"/>
      <sheetData sheetId="8">
        <row r="1">
          <cell r="B1">
            <v>168.53</v>
          </cell>
        </row>
        <row r="5">
          <cell r="B5">
            <v>169.23</v>
          </cell>
        </row>
        <row r="8">
          <cell r="B8">
            <v>171.08</v>
          </cell>
        </row>
        <row r="9">
          <cell r="B9">
            <v>171.58</v>
          </cell>
        </row>
        <row r="13">
          <cell r="B13">
            <v>170.91</v>
          </cell>
        </row>
      </sheetData>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תעודה א"/>
      <sheetName val="תעודה ב-הפסד הון"/>
      <sheetName val="נסיעות לחו&quot;ל"/>
      <sheetName val="רכבים"/>
      <sheetName val="תשובות לשאלות שלי"/>
      <sheetName val="כיבודים"/>
      <sheetName val="מתנות"/>
      <sheetName val="חישוב זקיפה-רכבים"/>
      <sheetName val="MAPS"/>
      <sheetName val="עודפות  והו&quot;צ לא מותרות"/>
      <sheetName val="INDEX"/>
      <sheetName val="ר'7(4)"/>
      <sheetName val="ר'7(3)"/>
      <sheetName val="ר'7(2)"/>
      <sheetName val="ר'7(1)"/>
      <sheetName val="נ'7"/>
      <sheetName val="נ'6"/>
      <sheetName val="נ'4"/>
      <sheetName val="1235"/>
      <sheetName val="ט1392ד"/>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תעודה א"/>
      <sheetName val="תעודה ב-הפסד הון"/>
      <sheetName val="נסיעות לחו&quot;ל"/>
      <sheetName val="רכבים"/>
      <sheetName val="תשובות לשאלות שלי"/>
      <sheetName val="כיבודים"/>
      <sheetName val="מתנות"/>
      <sheetName val="חישוב זקיפה-רכבים"/>
      <sheetName val="MAPS"/>
      <sheetName val="עודפות  והו&quot;צ לא מותרות"/>
      <sheetName val="INDEX"/>
      <sheetName val="ר'7(4)"/>
      <sheetName val="ר'7(3)"/>
      <sheetName val="ר'7(2)"/>
      <sheetName val="ר'7(1)"/>
      <sheetName val="נ'7"/>
      <sheetName val="נ'6"/>
      <sheetName val="נ'4"/>
      <sheetName val="1235"/>
      <sheetName val="ט1392ד"/>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רטים"/>
    </sheetNames>
    <sheetDataSet>
      <sheetData sheetId="0">
        <row r="3">
          <cell r="D3">
            <v>37437</v>
          </cell>
        </row>
        <row r="5">
          <cell r="D5">
            <v>4.7690000000000001</v>
          </cell>
        </row>
        <row r="9">
          <cell r="D9" t="str">
            <v>1-6/2002</v>
          </cell>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רווח הון קווי זהב"/>
      <sheetName val="ער&quot;ז מס"/>
      <sheetName val="MPS"/>
      <sheetName val="טורים דולרי"/>
      <sheetName val="טורים מתואם"/>
      <sheetName val="טורים נומינלי"/>
      <sheetName val="תזרים דולרי מאוחד"/>
      <sheetName val="תזרים חברה"/>
      <sheetName val="תזרים מאוחד"/>
      <sheetName val="פרוטים"/>
      <sheetName val="פק' נוספות"/>
      <sheetName val="תנועה בהשקעות"/>
      <sheetName val="דרמ&quot;ש-איחוד  "/>
      <sheetName val="ער&quot;ז+דרה&quot;ש"/>
      <sheetName val="מס 99"/>
      <sheetName val="מקדמות למס"/>
      <sheetName val="מס-מד&quot;פ+טלפאואר"/>
      <sheetName val="שמ&quot;מ מ&quot;ה"/>
      <sheetName val="מגזר 98"/>
      <sheetName val="טורים 98"/>
      <sheetName val="מרכז ער&quot;ז"/>
      <sheetName val="netcom "/>
      <sheetName val="מדריכי פנאי"/>
      <sheetName val="ערוצי זהב 1099"/>
      <sheetName val="מיסים נדחים"/>
      <sheetName val="מיסים נדחים דולרי"/>
      <sheetName val="נתונים לשינוי"/>
      <sheetName val="דוחות כספיים"/>
      <sheetName val="רווח_הון_קווי_זהב"/>
      <sheetName val="ער&quot;ז_מס"/>
      <sheetName val="טורים_דולרי"/>
      <sheetName val="טורים_מתואם"/>
      <sheetName val="טורים_נומינלי"/>
      <sheetName val="תזרים_דולרי_מאוחד"/>
      <sheetName val="תזרים_חברה"/>
      <sheetName val="תזרים_מאוחד"/>
      <sheetName val="פק'_נוספות"/>
      <sheetName val="תנועה_בהשקעות"/>
      <sheetName val="דרמ&quot;ש-איחוד__"/>
      <sheetName val="מס_99"/>
      <sheetName val="מקדמות_למס"/>
      <sheetName val="שמ&quot;מ_מ&quot;ה"/>
      <sheetName val="מגזר_98"/>
      <sheetName val="טורים_98"/>
      <sheetName val="מרכז_ער&quot;ז"/>
      <sheetName val="netcom_"/>
      <sheetName val="מדריכי_פנאי"/>
      <sheetName val="ערוצי_זהב_1099"/>
      <sheetName val="מיסים_נדחים"/>
      <sheetName val="מיסים_נדחים_דולרי"/>
      <sheetName val="Shir"/>
      <sheetName val="A - כללי"/>
      <sheetName val="הוצאות הנפקה"/>
      <sheetName val="B - דוח התאמה"/>
      <sheetName val="C - הפרשות"/>
      <sheetName val="D - מו&quot;פ"/>
      <sheetName val="D - נייר עזר תקנות דולריות"/>
      <sheetName val="D1 - ספקים מו&quot;פ שלא שולם במזומן"/>
      <sheetName val="D2 - זכאים מו&quot;פ שלא שולם במזומן"/>
      <sheetName val="E - ריכוז עודפות"/>
      <sheetName val="E1 - עודפות"/>
      <sheetName val="E4 - ני&quot;ע - נסיעות לחו&quot;ל"/>
      <sheetName val="F - רכוש קבוע, פחת ורווח הון"/>
      <sheetName val="G - אופציות"/>
      <sheetName val="H - קנסות"/>
      <sheetName val="I - מחירי העברה"/>
      <sheetName val="J - עידוד השקעות הון"/>
      <sheetName val="ברזיל - K"/>
      <sheetName val="L - תרומות"/>
      <sheetName val="רווח_הון_קווי_זהב4"/>
      <sheetName val="ער&quot;ז_מס4"/>
      <sheetName val="טורים_דולרי4"/>
      <sheetName val="טורים_מתואם4"/>
      <sheetName val="טורים_נומינלי4"/>
      <sheetName val="תזרים_דולרי_מאוחד4"/>
      <sheetName val="תזרים_חברה4"/>
      <sheetName val="תזרים_מאוחד4"/>
      <sheetName val="פק'_נוספות4"/>
      <sheetName val="תנועה_בהשקעות4"/>
      <sheetName val="דרמ&quot;ש-איחוד__4"/>
      <sheetName val="מס_994"/>
      <sheetName val="מקדמות_למס4"/>
      <sheetName val="שמ&quot;מ_מ&quot;ה4"/>
      <sheetName val="מגזר_984"/>
      <sheetName val="טורים_984"/>
      <sheetName val="מרכז_ער&quot;ז4"/>
      <sheetName val="netcom_4"/>
      <sheetName val="מדריכי_פנאי4"/>
      <sheetName val="ערוצי_זהב_10994"/>
      <sheetName val="מיסים_נדחים4"/>
      <sheetName val="מיסים_נדחים_דולרי4"/>
      <sheetName val="נתונים_לשינוי4"/>
      <sheetName val="נתונים_לשינוי"/>
      <sheetName val="רווח_הון_קווי_זהב1"/>
      <sheetName val="ער&quot;ז_מס1"/>
      <sheetName val="טורים_דולרי1"/>
      <sheetName val="טורים_מתואם1"/>
      <sheetName val="טורים_נומינלי1"/>
      <sheetName val="תזרים_דולרי_מאוחד1"/>
      <sheetName val="תזרים_חברה1"/>
      <sheetName val="תזרים_מאוחד1"/>
      <sheetName val="פק'_נוספות1"/>
      <sheetName val="תנועה_בהשקעות1"/>
      <sheetName val="דרמ&quot;ש-איחוד__1"/>
      <sheetName val="מס_991"/>
      <sheetName val="מקדמות_למס1"/>
      <sheetName val="שמ&quot;מ_מ&quot;ה1"/>
      <sheetName val="מגזר_981"/>
      <sheetName val="טורים_981"/>
      <sheetName val="מרכז_ער&quot;ז1"/>
      <sheetName val="netcom_1"/>
      <sheetName val="מדריכי_פנאי1"/>
      <sheetName val="ערוצי_זהב_10991"/>
      <sheetName val="מיסים_נדחים1"/>
      <sheetName val="מיסים_נדחים_דולרי1"/>
      <sheetName val="נתונים_לשינוי1"/>
      <sheetName val="רווח_הון_קווי_זהב2"/>
      <sheetName val="ער&quot;ז_מס2"/>
      <sheetName val="טורים_דולרי2"/>
      <sheetName val="טורים_מתואם2"/>
      <sheetName val="טורים_נומינלי2"/>
      <sheetName val="תזרים_דולרי_מאוחד2"/>
      <sheetName val="תזרים_חברה2"/>
      <sheetName val="תזרים_מאוחד2"/>
      <sheetName val="פק'_נוספות2"/>
      <sheetName val="תנועה_בהשקעות2"/>
      <sheetName val="דרמ&quot;ש-איחוד__2"/>
      <sheetName val="מס_992"/>
      <sheetName val="מקדמות_למס2"/>
      <sheetName val="שמ&quot;מ_מ&quot;ה2"/>
      <sheetName val="מגזר_982"/>
      <sheetName val="טורים_982"/>
      <sheetName val="מרכז_ער&quot;ז2"/>
      <sheetName val="netcom_2"/>
      <sheetName val="מדריכי_פנאי2"/>
      <sheetName val="ערוצי_זהב_10992"/>
      <sheetName val="מיסים_נדחים2"/>
      <sheetName val="מיסים_נדחים_דולרי2"/>
      <sheetName val="נתונים_לשינוי2"/>
      <sheetName val="רווח_הון_קווי_זהב3"/>
      <sheetName val="ער&quot;ז_מס3"/>
      <sheetName val="טורים_דולרי3"/>
      <sheetName val="טורים_מתואם3"/>
      <sheetName val="טורים_נומינלי3"/>
      <sheetName val="תזרים_דולרי_מאוחד3"/>
      <sheetName val="תזרים_חברה3"/>
      <sheetName val="תזרים_מאוחד3"/>
      <sheetName val="פק'_נוספות3"/>
      <sheetName val="תנועה_בהשקעות3"/>
      <sheetName val="דרמ&quot;ש-איחוד__3"/>
      <sheetName val="מס_993"/>
      <sheetName val="מקדמות_למס3"/>
      <sheetName val="שמ&quot;מ_מ&quot;ה3"/>
      <sheetName val="מגזר_983"/>
      <sheetName val="טורים_983"/>
      <sheetName val="מרכז_ער&quot;ז3"/>
      <sheetName val="netcom_3"/>
      <sheetName val="מדריכי_פנאי3"/>
      <sheetName val="ערוצי_זהב_10993"/>
      <sheetName val="מיסים_נדחים3"/>
      <sheetName val="מיסים_נדחים_דולרי3"/>
      <sheetName val="נתונים_לשינוי3"/>
      <sheetName val="רווח_הון_קווי_זהב5"/>
      <sheetName val="ער&quot;ז_מס5"/>
      <sheetName val="טורים_דולרי5"/>
      <sheetName val="טורים_מתואם5"/>
      <sheetName val="טורים_נומינלי5"/>
      <sheetName val="תזרים_דולרי_מאוחד5"/>
      <sheetName val="תזרים_חברה5"/>
      <sheetName val="תזרים_מאוחד5"/>
      <sheetName val="פק'_נוספות5"/>
      <sheetName val="תנועה_בהשקעות5"/>
      <sheetName val="דרמ&quot;ש-איחוד__5"/>
      <sheetName val="מס_995"/>
      <sheetName val="מקדמות_למס5"/>
      <sheetName val="שמ&quot;מ_מ&quot;ה5"/>
      <sheetName val="מגזר_985"/>
      <sheetName val="טורים_985"/>
      <sheetName val="מרכז_ער&quot;ז5"/>
      <sheetName val="netcom_5"/>
      <sheetName val="מדריכי_פנאי5"/>
      <sheetName val="ערוצי_זהב_10995"/>
      <sheetName val="מיסים_נדחים5"/>
      <sheetName val="מיסים_נדחים_דולרי5"/>
      <sheetName val="נתונים_לשינוי5"/>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כירה - 1996"/>
      <sheetName val="הנה&quot;כ"/>
      <sheetName val="פחת והפחתות"/>
      <sheetName val="????? - 1996"/>
      <sheetName val="???&quot;?"/>
      <sheetName val="??? ???????"/>
      <sheetName val="מכירה _ 1996"/>
      <sheetName val="הנה_כ"/>
      <sheetName val="_____"/>
      <sheetName val="___ _______"/>
      <sheetName val="Primary Drivers"/>
      <sheetName val="ביאורים"/>
      <sheetName val="_____ - 1996"/>
      <sheetName val="___&quot;_"/>
      <sheetName val="מכירה_-_1996"/>
      <sheetName val="פחת_והפחתות"/>
      <sheetName val="?????_-_1996"/>
      <sheetName val="???_???????"/>
      <sheetName val="TASH_697"/>
      <sheetName val="כדאיות השקעה"/>
      <sheetName val="מכירה_-_19961"/>
      <sheetName val="פחת_והפחתות1"/>
    </sheetNames>
    <sheetDataSet>
      <sheetData sheetId="0" refreshError="1">
        <row r="2">
          <cell r="B2" t="str">
            <v>הום סנטרס</v>
          </cell>
          <cell r="F2" t="str">
            <v xml:space="preserve"> </v>
          </cell>
          <cell r="L2" t="str">
            <v>הום סנטרס</v>
          </cell>
          <cell r="W2" t="str">
            <v>הום סנטרס</v>
          </cell>
        </row>
        <row r="4">
          <cell r="B4" t="str">
            <v>הוצאות מכירה</v>
          </cell>
          <cell r="G4" t="str">
            <v xml:space="preserve"> </v>
          </cell>
          <cell r="L4" t="str">
            <v>הוצאות מכירה</v>
          </cell>
          <cell r="W4" t="str">
            <v>הוצאות מכירה</v>
          </cell>
        </row>
        <row r="7">
          <cell r="C7" t="str">
            <v xml:space="preserve">1-3/96    </v>
          </cell>
          <cell r="M7" t="str">
            <v>4-6/96</v>
          </cell>
          <cell r="V7" t="str">
            <v>1-6/96</v>
          </cell>
        </row>
        <row r="9">
          <cell r="A9" t="str">
            <v>קבוצה במאזן</v>
          </cell>
          <cell r="C9" t="str">
            <v>סה"כ</v>
          </cell>
          <cell r="D9" t="str">
            <v>מחסן</v>
          </cell>
          <cell r="E9" t="str">
            <v>תפעול</v>
          </cell>
          <cell r="F9" t="str">
            <v>מידוד לתקופה</v>
          </cell>
          <cell r="G9" t="str">
            <v>בש"ח 6/96</v>
          </cell>
          <cell r="H9" t="str">
            <v>תיאום ל 3/97</v>
          </cell>
          <cell r="I9" t="str">
            <v>בש"ח 3/97</v>
          </cell>
          <cell r="K9" t="str">
            <v>קבוצה במאזן</v>
          </cell>
          <cell r="M9" t="str">
            <v>סה"כ</v>
          </cell>
          <cell r="N9" t="str">
            <v>מחסן</v>
          </cell>
          <cell r="O9" t="str">
            <v>תפעול</v>
          </cell>
          <cell r="P9" t="str">
            <v>מידוד לתקופה</v>
          </cell>
          <cell r="Q9" t="str">
            <v>בש"ח 6/96</v>
          </cell>
          <cell r="R9" t="str">
            <v>תיאום ל 3/97</v>
          </cell>
          <cell r="S9" t="str">
            <v>בש"ח 3/97</v>
          </cell>
          <cell r="V9" t="str">
            <v>סה"כ</v>
          </cell>
          <cell r="W9" t="str">
            <v>מידוד לתקופה</v>
          </cell>
          <cell r="X9" t="str">
            <v>בש"ח 6/96</v>
          </cell>
          <cell r="Y9" t="str">
            <v>תיאום ל 3/97</v>
          </cell>
          <cell r="Z9" t="str">
            <v>בש"ח 3/97</v>
          </cell>
        </row>
        <row r="10">
          <cell r="C10" t="str">
            <v xml:space="preserve"> </v>
          </cell>
          <cell r="D10" t="str">
            <v xml:space="preserve"> </v>
          </cell>
          <cell r="E10" t="str">
            <v xml:space="preserve"> </v>
          </cell>
          <cell r="M10" t="str">
            <v xml:space="preserve"> </v>
          </cell>
          <cell r="N10" t="str">
            <v xml:space="preserve"> </v>
          </cell>
          <cell r="O10" t="str">
            <v xml:space="preserve"> </v>
          </cell>
        </row>
        <row r="11">
          <cell r="A11" t="str">
            <v>שכ"ע</v>
          </cell>
          <cell r="B11" t="str">
            <v>משכורות ונלוות</v>
          </cell>
          <cell r="C11">
            <v>4759</v>
          </cell>
          <cell r="D11">
            <v>176</v>
          </cell>
          <cell r="E11">
            <v>4583</v>
          </cell>
          <cell r="F11">
            <v>1.0032644180000001</v>
          </cell>
          <cell r="G11">
            <v>4774.5353652620006</v>
          </cell>
          <cell r="H11">
            <v>1.1037593984962406</v>
          </cell>
          <cell r="I11">
            <v>5269.938282860614</v>
          </cell>
          <cell r="L11" t="str">
            <v>משכורות ונלוות</v>
          </cell>
          <cell r="M11">
            <v>5167</v>
          </cell>
          <cell r="N11">
            <v>156</v>
          </cell>
          <cell r="O11">
            <v>5011</v>
          </cell>
          <cell r="P11">
            <v>1.0235190540000001</v>
          </cell>
          <cell r="Q11">
            <v>5288.5229520180001</v>
          </cell>
          <cell r="R11">
            <v>1.1037593984962406</v>
          </cell>
          <cell r="S11">
            <v>5498.3453206382128</v>
          </cell>
          <cell r="U11" t="str">
            <v>משכורות ונלוות</v>
          </cell>
          <cell r="V11">
            <v>9926</v>
          </cell>
          <cell r="W11">
            <v>1.0235190540000001</v>
          </cell>
          <cell r="X11">
            <v>10159.450130004001</v>
          </cell>
          <cell r="Y11">
            <v>1.0599277978339352</v>
          </cell>
          <cell r="Z11">
            <v>10768.283603498827</v>
          </cell>
        </row>
        <row r="12">
          <cell r="A12" t="str">
            <v>אחרות</v>
          </cell>
          <cell r="B12" t="str">
            <v>שמירה ובטחון</v>
          </cell>
          <cell r="C12">
            <v>515</v>
          </cell>
          <cell r="D12">
            <v>42</v>
          </cell>
          <cell r="E12">
            <v>473</v>
          </cell>
          <cell r="F12">
            <v>1.0032644180000001</v>
          </cell>
          <cell r="G12">
            <v>516.68117527000004</v>
          </cell>
          <cell r="I12">
            <v>570.29170323034589</v>
          </cell>
          <cell r="L12" t="str">
            <v>שמירה ובטחון</v>
          </cell>
          <cell r="M12">
            <v>611</v>
          </cell>
          <cell r="N12">
            <v>42</v>
          </cell>
          <cell r="O12">
            <v>569</v>
          </cell>
          <cell r="P12">
            <v>1.0235190540000001</v>
          </cell>
          <cell r="Q12">
            <v>625.37014199400005</v>
          </cell>
          <cell r="S12">
            <v>651.25648713230578</v>
          </cell>
          <cell r="U12" t="str">
            <v>שמירה ובטחון</v>
          </cell>
          <cell r="V12">
            <v>1126</v>
          </cell>
          <cell r="W12">
            <v>1.0235190540000001</v>
          </cell>
          <cell r="X12">
            <v>1152.4824548040001</v>
          </cell>
          <cell r="Z12">
            <v>1221.5481903626517</v>
          </cell>
        </row>
        <row r="13">
          <cell r="A13" t="str">
            <v>פרסום</v>
          </cell>
          <cell r="B13" t="str">
            <v>פרסום</v>
          </cell>
          <cell r="C13">
            <v>595</v>
          </cell>
          <cell r="E13">
            <v>595</v>
          </cell>
          <cell r="F13">
            <v>1.0032644180000001</v>
          </cell>
          <cell r="G13">
            <v>596.94232871000008</v>
          </cell>
          <cell r="I13">
            <v>658.88070567389479</v>
          </cell>
          <cell r="L13" t="str">
            <v>פרסום</v>
          </cell>
          <cell r="M13">
            <v>441</v>
          </cell>
          <cell r="O13">
            <v>441</v>
          </cell>
          <cell r="P13">
            <v>1.0235190540000001</v>
          </cell>
          <cell r="Q13">
            <v>451.37190281400007</v>
          </cell>
          <cell r="S13">
            <v>465.03041796350055</v>
          </cell>
          <cell r="U13" t="str">
            <v>פרסום</v>
          </cell>
          <cell r="V13">
            <v>1036</v>
          </cell>
          <cell r="W13">
            <v>1.0235190540000001</v>
          </cell>
          <cell r="X13">
            <v>1060.3657399440001</v>
          </cell>
          <cell r="Z13">
            <v>1123.9111236373953</v>
          </cell>
        </row>
        <row r="14">
          <cell r="A14" t="str">
            <v>אחרות</v>
          </cell>
          <cell r="B14" t="str">
            <v>שילוט</v>
          </cell>
          <cell r="C14">
            <v>75</v>
          </cell>
          <cell r="E14">
            <v>75</v>
          </cell>
          <cell r="F14">
            <v>1.0032644180000001</v>
          </cell>
          <cell r="G14">
            <v>75.244831350000013</v>
          </cell>
          <cell r="I14">
            <v>83.052189790827086</v>
          </cell>
          <cell r="L14" t="str">
            <v>שילוט</v>
          </cell>
          <cell r="M14">
            <v>126</v>
          </cell>
          <cell r="O14">
            <v>126</v>
          </cell>
          <cell r="P14">
            <v>1.0235190540000001</v>
          </cell>
          <cell r="Q14">
            <v>128.963400804</v>
          </cell>
          <cell r="S14">
            <v>135.00392589557879</v>
          </cell>
          <cell r="U14" t="str">
            <v>שילוט</v>
          </cell>
          <cell r="V14">
            <v>201</v>
          </cell>
          <cell r="W14">
            <v>1.0235190540000001</v>
          </cell>
          <cell r="X14">
            <v>205.72732985400003</v>
          </cell>
          <cell r="Z14">
            <v>218.05611568640586</v>
          </cell>
        </row>
        <row r="15">
          <cell r="A15" t="str">
            <v>אחרות</v>
          </cell>
          <cell r="B15" t="str">
            <v>מועדון לקוחות</v>
          </cell>
          <cell r="C15">
            <v>251</v>
          </cell>
          <cell r="E15">
            <v>251</v>
          </cell>
          <cell r="F15">
            <v>1.0032644180000001</v>
          </cell>
          <cell r="G15">
            <v>251.81936891800004</v>
          </cell>
          <cell r="I15">
            <v>277.94799516663466</v>
          </cell>
          <cell r="L15" t="str">
            <v>מועדון לקוחות</v>
          </cell>
          <cell r="M15">
            <v>199</v>
          </cell>
          <cell r="O15">
            <v>199</v>
          </cell>
          <cell r="P15">
            <v>1.0235190540000001</v>
          </cell>
          <cell r="Q15">
            <v>203.68029174600002</v>
          </cell>
          <cell r="S15">
            <v>210.23733845964711</v>
          </cell>
          <cell r="U15" t="str">
            <v>מועדון לקוחות</v>
          </cell>
          <cell r="V15">
            <v>450</v>
          </cell>
          <cell r="W15">
            <v>1.0235190540000001</v>
          </cell>
          <cell r="X15">
            <v>460.58357430000007</v>
          </cell>
          <cell r="Z15">
            <v>488.18533362628176</v>
          </cell>
        </row>
        <row r="16">
          <cell r="A16" t="str">
            <v>שכ"ד ++</v>
          </cell>
          <cell r="B16" t="str">
            <v>דמי שכירות</v>
          </cell>
          <cell r="C16">
            <v>2076</v>
          </cell>
          <cell r="D16">
            <v>174</v>
          </cell>
          <cell r="E16">
            <v>1902</v>
          </cell>
          <cell r="F16">
            <v>1.0032644180000001</v>
          </cell>
          <cell r="G16">
            <v>2082.7769317680004</v>
          </cell>
          <cell r="I16">
            <v>2298.8846134100936</v>
          </cell>
          <cell r="L16" t="str">
            <v>דמי שכירות</v>
          </cell>
          <cell r="M16">
            <v>2244</v>
          </cell>
          <cell r="N16">
            <v>231</v>
          </cell>
          <cell r="O16">
            <v>2013</v>
          </cell>
          <cell r="P16">
            <v>1.0235190540000001</v>
          </cell>
          <cell r="Q16">
            <v>2296.776757176</v>
          </cell>
          <cell r="S16">
            <v>2387.6945894022106</v>
          </cell>
          <cell r="U16" t="str">
            <v>דמי שכירות</v>
          </cell>
          <cell r="V16">
            <v>4320</v>
          </cell>
          <cell r="W16">
            <v>1.0235190540000001</v>
          </cell>
          <cell r="X16">
            <v>4421.6023132800001</v>
          </cell>
          <cell r="Z16">
            <v>4686.5792028123042</v>
          </cell>
        </row>
        <row r="17">
          <cell r="A17" t="str">
            <v>שכ"ד ++</v>
          </cell>
          <cell r="B17" t="str">
            <v>מיסים עירוניים</v>
          </cell>
          <cell r="C17">
            <v>595</v>
          </cell>
          <cell r="E17">
            <v>595</v>
          </cell>
          <cell r="F17">
            <v>1.0032644180000001</v>
          </cell>
          <cell r="G17">
            <v>596.94232871000008</v>
          </cell>
          <cell r="I17">
            <v>658.88070567389479</v>
          </cell>
          <cell r="L17" t="str">
            <v>מיסים עירוניים</v>
          </cell>
          <cell r="M17">
            <v>513</v>
          </cell>
          <cell r="O17">
            <v>513</v>
          </cell>
          <cell r="P17">
            <v>1.0235190540000001</v>
          </cell>
          <cell r="Q17">
            <v>525.06527470200001</v>
          </cell>
          <cell r="S17">
            <v>543.14007134370547</v>
          </cell>
          <cell r="U17" t="str">
            <v>מיסים עירוניים</v>
          </cell>
          <cell r="V17">
            <v>1108</v>
          </cell>
          <cell r="W17">
            <v>1.0235190540000001</v>
          </cell>
          <cell r="X17">
            <v>1134.0591118320001</v>
          </cell>
          <cell r="Z17">
            <v>1202.0207770176003</v>
          </cell>
        </row>
        <row r="18">
          <cell r="A18" t="str">
            <v>שכ"ד ++</v>
          </cell>
          <cell r="B18" t="str">
            <v>ביטוח</v>
          </cell>
          <cell r="C18">
            <v>89</v>
          </cell>
          <cell r="E18">
            <v>89</v>
          </cell>
          <cell r="F18">
            <v>1.0032644180000001</v>
          </cell>
          <cell r="G18">
            <v>89.290533202000006</v>
          </cell>
          <cell r="I18">
            <v>98.555265218448127</v>
          </cell>
          <cell r="L18" t="str">
            <v>ביטוח</v>
          </cell>
          <cell r="M18">
            <v>104</v>
          </cell>
          <cell r="O18">
            <v>104</v>
          </cell>
          <cell r="P18">
            <v>1.0235190540000001</v>
          </cell>
          <cell r="Q18">
            <v>106.44598161600001</v>
          </cell>
          <cell r="S18">
            <v>110.82200009237938</v>
          </cell>
          <cell r="U18" t="str">
            <v>ביטוח</v>
          </cell>
          <cell r="V18">
            <v>193</v>
          </cell>
          <cell r="W18">
            <v>1.0235190540000001</v>
          </cell>
          <cell r="X18">
            <v>197.53917742200002</v>
          </cell>
          <cell r="Z18">
            <v>209.37726531082751</v>
          </cell>
        </row>
        <row r="19">
          <cell r="A19" t="str">
            <v>שכ"ד ++</v>
          </cell>
          <cell r="B19" t="str">
            <v>חשמל</v>
          </cell>
          <cell r="C19">
            <v>394</v>
          </cell>
          <cell r="E19">
            <v>394</v>
          </cell>
          <cell r="F19">
            <v>1.0032644180000001</v>
          </cell>
          <cell r="G19">
            <v>395.28618069200002</v>
          </cell>
          <cell r="I19">
            <v>436.30083703447821</v>
          </cell>
          <cell r="L19" t="str">
            <v>חשמל</v>
          </cell>
          <cell r="M19">
            <v>418</v>
          </cell>
          <cell r="O19">
            <v>418</v>
          </cell>
          <cell r="P19">
            <v>1.0235190540000001</v>
          </cell>
          <cell r="Q19">
            <v>427.83096457200003</v>
          </cell>
          <cell r="S19">
            <v>444.60247608672347</v>
          </cell>
          <cell r="U19" t="str">
            <v>חשמל</v>
          </cell>
          <cell r="V19">
            <v>812</v>
          </cell>
          <cell r="W19">
            <v>1.0235190540000001</v>
          </cell>
          <cell r="X19">
            <v>831.09747184800005</v>
          </cell>
          <cell r="Z19">
            <v>880.90331312120168</v>
          </cell>
        </row>
        <row r="20">
          <cell r="A20" t="str">
            <v>אחרות</v>
          </cell>
          <cell r="B20" t="str">
            <v>דואר וטלפון</v>
          </cell>
          <cell r="C20">
            <v>106</v>
          </cell>
          <cell r="D20">
            <v>12</v>
          </cell>
          <cell r="E20">
            <v>94</v>
          </cell>
          <cell r="F20">
            <v>1.0032644180000001</v>
          </cell>
          <cell r="G20">
            <v>106.34602830800002</v>
          </cell>
          <cell r="I20">
            <v>117.38042823770228</v>
          </cell>
          <cell r="L20" t="str">
            <v>דואר וטלפון</v>
          </cell>
          <cell r="M20">
            <v>106</v>
          </cell>
          <cell r="N20">
            <v>5</v>
          </cell>
          <cell r="O20">
            <v>101</v>
          </cell>
          <cell r="P20">
            <v>1.0235190540000001</v>
          </cell>
          <cell r="Q20">
            <v>108.49301972400001</v>
          </cell>
          <cell r="S20">
            <v>112.60910671512376</v>
          </cell>
          <cell r="U20" t="str">
            <v>דואר וטלפון</v>
          </cell>
          <cell r="V20">
            <v>212</v>
          </cell>
          <cell r="W20">
            <v>1.0235190540000001</v>
          </cell>
          <cell r="X20">
            <v>216.98603944800001</v>
          </cell>
          <cell r="Z20">
            <v>229.98953495282603</v>
          </cell>
        </row>
        <row r="21">
          <cell r="A21" t="str">
            <v>אחרות</v>
          </cell>
          <cell r="B21" t="str">
            <v>אחזקה וביגוד</v>
          </cell>
          <cell r="C21">
            <v>195</v>
          </cell>
          <cell r="E21">
            <v>195</v>
          </cell>
          <cell r="F21">
            <v>1.0032644180000001</v>
          </cell>
          <cell r="G21">
            <v>195.63656151000001</v>
          </cell>
          <cell r="I21">
            <v>215.93569345615037</v>
          </cell>
          <cell r="L21" t="str">
            <v>אחזקה וביגוד</v>
          </cell>
          <cell r="M21">
            <v>126</v>
          </cell>
          <cell r="O21">
            <v>126</v>
          </cell>
          <cell r="P21">
            <v>1.0235190540000001</v>
          </cell>
          <cell r="Q21">
            <v>128.963400804</v>
          </cell>
          <cell r="S21">
            <v>132.30317786393056</v>
          </cell>
          <cell r="U21" t="str">
            <v>אחזקה וביגוד</v>
          </cell>
          <cell r="V21">
            <v>321</v>
          </cell>
          <cell r="W21">
            <v>1.0235190540000001</v>
          </cell>
          <cell r="X21">
            <v>328.54961633400001</v>
          </cell>
          <cell r="Z21">
            <v>348.23887132008093</v>
          </cell>
        </row>
        <row r="22">
          <cell r="A22" t="str">
            <v>אחרות</v>
          </cell>
          <cell r="B22" t="str">
            <v>אחזקת מחשב וקופות</v>
          </cell>
          <cell r="C22">
            <v>36</v>
          </cell>
          <cell r="E22">
            <v>36</v>
          </cell>
          <cell r="F22">
            <v>1.0032644180000001</v>
          </cell>
          <cell r="G22">
            <v>36.117519048000005</v>
          </cell>
          <cell r="I22">
            <v>39.865051099596997</v>
          </cell>
          <cell r="L22" t="str">
            <v>אחזקת מחשב וקופות</v>
          </cell>
          <cell r="M22">
            <v>33</v>
          </cell>
          <cell r="O22">
            <v>33</v>
          </cell>
          <cell r="P22">
            <v>1.0235190540000001</v>
          </cell>
          <cell r="Q22">
            <v>33.776128782000001</v>
          </cell>
          <cell r="S22">
            <v>34.990033389766197</v>
          </cell>
          <cell r="U22" t="str">
            <v>אחזקת מחשב וקופות</v>
          </cell>
          <cell r="V22">
            <v>69</v>
          </cell>
          <cell r="W22">
            <v>1.0235190540000001</v>
          </cell>
          <cell r="X22">
            <v>70.622814726000001</v>
          </cell>
          <cell r="Z22">
            <v>74.855084489363193</v>
          </cell>
        </row>
        <row r="23">
          <cell r="A23" t="str">
            <v>אחרות</v>
          </cell>
          <cell r="B23" t="str">
            <v>השכרת ציוד</v>
          </cell>
          <cell r="C23">
            <v>143</v>
          </cell>
          <cell r="D23">
            <v>78</v>
          </cell>
          <cell r="E23">
            <v>65</v>
          </cell>
          <cell r="F23">
            <v>1.0032644180000001</v>
          </cell>
          <cell r="G23">
            <v>143.46681177400001</v>
          </cell>
          <cell r="I23">
            <v>158.35284186784361</v>
          </cell>
          <cell r="L23" t="str">
            <v>השכרת ציוד</v>
          </cell>
          <cell r="M23">
            <v>146</v>
          </cell>
          <cell r="N23">
            <v>73</v>
          </cell>
          <cell r="O23">
            <v>73</v>
          </cell>
          <cell r="P23">
            <v>1.0235190540000001</v>
          </cell>
          <cell r="Q23">
            <v>149.43378188400001</v>
          </cell>
          <cell r="S23">
            <v>155.17062794992398</v>
          </cell>
          <cell r="U23" t="str">
            <v>השכרת ציוד</v>
          </cell>
          <cell r="V23">
            <v>289</v>
          </cell>
          <cell r="W23">
            <v>1.0235190540000001</v>
          </cell>
          <cell r="X23">
            <v>295.79700660600002</v>
          </cell>
          <cell r="Z23">
            <v>313.52346981776759</v>
          </cell>
        </row>
        <row r="24">
          <cell r="A24" t="str">
            <v>אחרות</v>
          </cell>
          <cell r="B24" t="str">
            <v>הובלות, משלוחים והסעות</v>
          </cell>
          <cell r="C24">
            <v>199</v>
          </cell>
          <cell r="D24">
            <v>151</v>
          </cell>
          <cell r="E24">
            <v>48</v>
          </cell>
          <cell r="F24">
            <v>1.0032644180000001</v>
          </cell>
          <cell r="G24">
            <v>199.64961918200001</v>
          </cell>
          <cell r="I24">
            <v>220.36514357832783</v>
          </cell>
          <cell r="L24" t="str">
            <v>הובלות, משלוחים והסעות</v>
          </cell>
          <cell r="M24">
            <v>220</v>
          </cell>
          <cell r="N24">
            <v>151</v>
          </cell>
          <cell r="O24">
            <v>69</v>
          </cell>
          <cell r="P24">
            <v>1.0235190540000001</v>
          </cell>
          <cell r="Q24">
            <v>225.17419188000002</v>
          </cell>
          <cell r="S24">
            <v>234.18964484258782</v>
          </cell>
          <cell r="U24" t="str">
            <v>הובלות, משלוחים והסעות</v>
          </cell>
          <cell r="V24">
            <v>419</v>
          </cell>
          <cell r="W24">
            <v>1.0235190540000001</v>
          </cell>
          <cell r="X24">
            <v>428.85448362600005</v>
          </cell>
          <cell r="Z24">
            <v>454.55478842091566</v>
          </cell>
        </row>
        <row r="25">
          <cell r="A25" t="str">
            <v>אחרות</v>
          </cell>
          <cell r="B25" t="str">
            <v>משרדיות וטפסים</v>
          </cell>
          <cell r="C25">
            <v>140</v>
          </cell>
          <cell r="D25">
            <v>7</v>
          </cell>
          <cell r="E25">
            <v>133</v>
          </cell>
          <cell r="F25">
            <v>1.0032644180000001</v>
          </cell>
          <cell r="G25">
            <v>140.45701852000002</v>
          </cell>
          <cell r="I25">
            <v>155.03075427621056</v>
          </cell>
          <cell r="L25" t="str">
            <v>משרדיות וטפסים</v>
          </cell>
          <cell r="M25">
            <v>107</v>
          </cell>
          <cell r="N25">
            <v>4</v>
          </cell>
          <cell r="O25">
            <v>103</v>
          </cell>
          <cell r="P25">
            <v>1.0235190540000001</v>
          </cell>
          <cell r="Q25">
            <v>109.51653877800001</v>
          </cell>
          <cell r="S25">
            <v>112.92875106977075</v>
          </cell>
          <cell r="U25" t="str">
            <v>משרדיות וטפסים</v>
          </cell>
          <cell r="V25">
            <v>247</v>
          </cell>
          <cell r="W25">
            <v>1.0235190540000001</v>
          </cell>
          <cell r="X25">
            <v>252.80920633800002</v>
          </cell>
          <cell r="Z25">
            <v>267.95950534598131</v>
          </cell>
        </row>
        <row r="26">
          <cell r="A26" t="str">
            <v>אחרות</v>
          </cell>
          <cell r="B26" t="str">
            <v>אחזקת רכב</v>
          </cell>
          <cell r="C26">
            <v>74</v>
          </cell>
          <cell r="E26">
            <v>74</v>
          </cell>
          <cell r="F26">
            <v>1.0032644180000001</v>
          </cell>
          <cell r="G26">
            <v>74.241566932000012</v>
          </cell>
          <cell r="I26">
            <v>81.944827260282722</v>
          </cell>
          <cell r="L26" t="str">
            <v>אחזקת רכב</v>
          </cell>
          <cell r="M26">
            <v>90</v>
          </cell>
          <cell r="O26">
            <v>90</v>
          </cell>
          <cell r="P26">
            <v>1.0235190540000001</v>
          </cell>
          <cell r="Q26">
            <v>92.116714860000002</v>
          </cell>
          <cell r="S26">
            <v>95.971605439073272</v>
          </cell>
          <cell r="U26" t="str">
            <v>אחזקת רכב</v>
          </cell>
          <cell r="V26">
            <v>164</v>
          </cell>
          <cell r="W26">
            <v>1.0235190540000001</v>
          </cell>
          <cell r="X26">
            <v>167.85712485600001</v>
          </cell>
          <cell r="Z26">
            <v>177.91643269935599</v>
          </cell>
        </row>
        <row r="27">
          <cell r="A27" t="str">
            <v>אחרות</v>
          </cell>
          <cell r="B27" t="str">
            <v>ארועים, כבודים ומתנות</v>
          </cell>
          <cell r="C27">
            <v>96</v>
          </cell>
          <cell r="D27">
            <v>5</v>
          </cell>
          <cell r="E27">
            <v>91</v>
          </cell>
          <cell r="F27">
            <v>1.0032644180000001</v>
          </cell>
          <cell r="G27">
            <v>96.31338412800001</v>
          </cell>
          <cell r="I27">
            <v>106.30680293225866</v>
          </cell>
          <cell r="L27" t="str">
            <v>ארועים, כבודים ומתנות</v>
          </cell>
          <cell r="M27">
            <v>68</v>
          </cell>
          <cell r="N27">
            <v>5</v>
          </cell>
          <cell r="O27">
            <v>63</v>
          </cell>
          <cell r="P27">
            <v>1.0235190540000001</v>
          </cell>
          <cell r="Q27">
            <v>69.599295672000011</v>
          </cell>
          <cell r="S27">
            <v>71.609629767097331</v>
          </cell>
          <cell r="U27" t="str">
            <v>ארועים, כבודים ומתנות</v>
          </cell>
          <cell r="V27">
            <v>164</v>
          </cell>
          <cell r="W27">
            <v>1.0235190540000001</v>
          </cell>
          <cell r="X27">
            <v>167.85712485600001</v>
          </cell>
          <cell r="Z27">
            <v>177.91643269935599</v>
          </cell>
        </row>
        <row r="28">
          <cell r="A28" t="str">
            <v>אחרות</v>
          </cell>
          <cell r="B28" t="str">
            <v>אריזות+ברקודים</v>
          </cell>
          <cell r="C28">
            <v>132</v>
          </cell>
          <cell r="E28">
            <v>132</v>
          </cell>
          <cell r="F28">
            <v>1.0032644180000001</v>
          </cell>
          <cell r="G28">
            <v>132.43090317600002</v>
          </cell>
          <cell r="I28">
            <v>146.17185403185564</v>
          </cell>
          <cell r="L28" t="str">
            <v>אריזות+ברקודים</v>
          </cell>
          <cell r="M28">
            <v>143</v>
          </cell>
          <cell r="O28">
            <v>143</v>
          </cell>
          <cell r="P28">
            <v>1.0235190540000001</v>
          </cell>
          <cell r="Q28">
            <v>146.36322472200001</v>
          </cell>
          <cell r="S28">
            <v>152.16362762864989</v>
          </cell>
          <cell r="U28" t="str">
            <v>אריזות+ברקודים</v>
          </cell>
          <cell r="V28">
            <v>275</v>
          </cell>
          <cell r="W28">
            <v>1.0235190540000001</v>
          </cell>
          <cell r="X28">
            <v>281.46773985000004</v>
          </cell>
          <cell r="Z28">
            <v>298.33548166050554</v>
          </cell>
        </row>
        <row r="29">
          <cell r="A29" t="str">
            <v>אחרות</v>
          </cell>
          <cell r="B29" t="str">
            <v>ספירות מלאי</v>
          </cell>
          <cell r="C29">
            <v>107</v>
          </cell>
          <cell r="E29">
            <v>107</v>
          </cell>
          <cell r="F29">
            <v>1.0032644180000001</v>
          </cell>
          <cell r="G29">
            <v>107.34929272600002</v>
          </cell>
          <cell r="I29">
            <v>118.48779076824664</v>
          </cell>
          <cell r="L29" t="str">
            <v>ספירות מלאי</v>
          </cell>
          <cell r="M29">
            <v>48</v>
          </cell>
          <cell r="O29">
            <v>48</v>
          </cell>
          <cell r="P29">
            <v>1.0235190540000001</v>
          </cell>
          <cell r="Q29">
            <v>49.128914592000001</v>
          </cell>
          <cell r="S29">
            <v>49.664935258583739</v>
          </cell>
          <cell r="U29" t="str">
            <v>ספירות מלאי</v>
          </cell>
          <cell r="V29">
            <v>155</v>
          </cell>
          <cell r="W29">
            <v>1.0235190540000001</v>
          </cell>
          <cell r="X29">
            <v>158.64545337000001</v>
          </cell>
          <cell r="Z29">
            <v>168.15272602683038</v>
          </cell>
        </row>
        <row r="30">
          <cell r="A30" t="str">
            <v>אחרות</v>
          </cell>
          <cell r="B30" t="str">
            <v>הדרכה והשתלמויות</v>
          </cell>
          <cell r="C30">
            <v>137</v>
          </cell>
          <cell r="E30">
            <v>137</v>
          </cell>
          <cell r="F30">
            <v>1.0032644180000001</v>
          </cell>
          <cell r="G30">
            <v>137.447225266</v>
          </cell>
          <cell r="I30">
            <v>151.70866668457745</v>
          </cell>
          <cell r="L30" t="str">
            <v>הדרכה והשתלמויות</v>
          </cell>
          <cell r="M30">
            <v>91</v>
          </cell>
          <cell r="O30">
            <v>91</v>
          </cell>
          <cell r="P30">
            <v>1.0235190540000001</v>
          </cell>
          <cell r="Q30">
            <v>93.140233914000007</v>
          </cell>
          <cell r="S30">
            <v>95.63856901940531</v>
          </cell>
          <cell r="U30" t="str">
            <v>הדרכה והשתלמויות</v>
          </cell>
          <cell r="V30">
            <v>228</v>
          </cell>
          <cell r="W30">
            <v>1.0235190540000001</v>
          </cell>
          <cell r="X30">
            <v>233.36234431200003</v>
          </cell>
          <cell r="Z30">
            <v>247.34723570398276</v>
          </cell>
        </row>
        <row r="31">
          <cell r="A31" t="str">
            <v>אחרות</v>
          </cell>
          <cell r="B31" t="str">
            <v>חקירות כלכליות</v>
          </cell>
          <cell r="C31">
            <v>22</v>
          </cell>
          <cell r="E31">
            <v>22</v>
          </cell>
          <cell r="F31">
            <v>1.0032644180000001</v>
          </cell>
          <cell r="G31">
            <v>22.071817196000001</v>
          </cell>
          <cell r="I31">
            <v>24.361975671975941</v>
          </cell>
          <cell r="L31" t="str">
            <v>חקירות כלכליות</v>
          </cell>
          <cell r="M31">
            <v>15</v>
          </cell>
          <cell r="O31">
            <v>15</v>
          </cell>
          <cell r="P31">
            <v>1.0235190540000001</v>
          </cell>
          <cell r="Q31">
            <v>15.352785810000002</v>
          </cell>
          <cell r="S31">
            <v>15.77770731507389</v>
          </cell>
          <cell r="U31" t="str">
            <v>חקירות כלכליות</v>
          </cell>
          <cell r="V31">
            <v>37</v>
          </cell>
          <cell r="W31">
            <v>1.0235190540000001</v>
          </cell>
          <cell r="X31">
            <v>37.870204998000006</v>
          </cell>
          <cell r="Z31">
            <v>40.139682987049831</v>
          </cell>
        </row>
        <row r="32">
          <cell r="A32" t="str">
            <v>חומ"ס</v>
          </cell>
          <cell r="B32" t="str">
            <v>חובות אבודים ומסופקים</v>
          </cell>
          <cell r="C32">
            <v>0</v>
          </cell>
          <cell r="E32">
            <v>0</v>
          </cell>
          <cell r="F32">
            <v>1.0032644180000001</v>
          </cell>
          <cell r="G32">
            <v>0</v>
          </cell>
          <cell r="I32">
            <v>0</v>
          </cell>
          <cell r="L32" t="str">
            <v>חובות אבודים ומסופקים</v>
          </cell>
          <cell r="M32">
            <v>2</v>
          </cell>
          <cell r="O32">
            <v>2</v>
          </cell>
          <cell r="P32">
            <v>1.0235190540000001</v>
          </cell>
          <cell r="Q32">
            <v>2.0470381080000002</v>
          </cell>
          <cell r="S32">
            <v>2.1697125938945856</v>
          </cell>
          <cell r="U32" t="str">
            <v>חובות אבודים ומסופקים</v>
          </cell>
          <cell r="V32">
            <v>2</v>
          </cell>
          <cell r="W32">
            <v>1.0235190540000001</v>
          </cell>
          <cell r="X32">
            <v>2.0470381080000002</v>
          </cell>
          <cell r="Z32">
            <v>2.1697125938945856</v>
          </cell>
        </row>
        <row r="33">
          <cell r="A33" t="str">
            <v>עמלות</v>
          </cell>
          <cell r="B33" t="str">
            <v>עמלות כרטיסי אשראי</v>
          </cell>
          <cell r="C33">
            <v>1095</v>
          </cell>
          <cell r="E33">
            <v>1095</v>
          </cell>
          <cell r="F33">
            <v>1.0032644180000001</v>
          </cell>
          <cell r="G33">
            <v>1098.5745377100002</v>
          </cell>
          <cell r="I33">
            <v>1212.5619709460755</v>
          </cell>
          <cell r="L33" t="str">
            <v>עמלות כרטיסי אשראי</v>
          </cell>
          <cell r="M33">
            <v>885</v>
          </cell>
          <cell r="O33">
            <v>885</v>
          </cell>
          <cell r="P33">
            <v>1.0235190540000001</v>
          </cell>
          <cell r="Q33">
            <v>905.81436279000013</v>
          </cell>
          <cell r="S33">
            <v>935.45349700956399</v>
          </cell>
          <cell r="U33" t="str">
            <v>עמלות כרטיסי אשראי</v>
          </cell>
          <cell r="V33">
            <v>1980</v>
          </cell>
          <cell r="W33">
            <v>1.0235190540000001</v>
          </cell>
          <cell r="X33">
            <v>2026.5677269200003</v>
          </cell>
          <cell r="Z33">
            <v>2148.0154679556395</v>
          </cell>
        </row>
        <row r="34">
          <cell r="A34" t="str">
            <v>פחת</v>
          </cell>
          <cell r="B34" t="str">
            <v>פחת רכוש קבוע</v>
          </cell>
          <cell r="C34">
            <v>817</v>
          </cell>
          <cell r="D34">
            <v>29</v>
          </cell>
          <cell r="E34">
            <v>788</v>
          </cell>
          <cell r="F34" t="str">
            <v>חילוץ</v>
          </cell>
          <cell r="G34">
            <v>969</v>
          </cell>
          <cell r="I34">
            <v>1069.5428571428572</v>
          </cell>
          <cell r="L34" t="str">
            <v>פחת רכוש קבוע</v>
          </cell>
          <cell r="M34">
            <v>871</v>
          </cell>
          <cell r="N34">
            <v>36</v>
          </cell>
          <cell r="O34">
            <v>835</v>
          </cell>
          <cell r="P34" t="str">
            <v>חילוץ</v>
          </cell>
          <cell r="Q34">
            <v>1062</v>
          </cell>
          <cell r="S34">
            <v>1124.5076843733889</v>
          </cell>
          <cell r="U34" t="str">
            <v>פחת רכוש קבוע</v>
          </cell>
          <cell r="V34">
            <v>1688</v>
          </cell>
          <cell r="W34" t="str">
            <v>חילוץ</v>
          </cell>
          <cell r="X34">
            <v>2070</v>
          </cell>
          <cell r="Z34">
            <v>2194.0505415162461</v>
          </cell>
        </row>
        <row r="35">
          <cell r="A35" t="str">
            <v>פחת</v>
          </cell>
          <cell r="B35" t="str">
            <v>הפחתת הוצאות נדחות</v>
          </cell>
          <cell r="C35">
            <v>148</v>
          </cell>
          <cell r="E35">
            <v>148</v>
          </cell>
          <cell r="F35" t="str">
            <v>חילוץ</v>
          </cell>
          <cell r="G35">
            <v>192</v>
          </cell>
          <cell r="I35">
            <v>211.9218045112782</v>
          </cell>
          <cell r="L35" t="str">
            <v>הפחתת הוצאות נדחות</v>
          </cell>
          <cell r="M35">
            <v>158</v>
          </cell>
          <cell r="O35">
            <v>158</v>
          </cell>
          <cell r="P35" t="str">
            <v>חילוץ</v>
          </cell>
          <cell r="Q35">
            <v>208</v>
          </cell>
          <cell r="S35">
            <v>220.52873700496735</v>
          </cell>
          <cell r="U35" t="str">
            <v>הפחתת הוצאות נדחות</v>
          </cell>
          <cell r="V35">
            <v>306</v>
          </cell>
          <cell r="W35" t="str">
            <v>חילוץ</v>
          </cell>
          <cell r="X35">
            <v>408</v>
          </cell>
          <cell r="Z35">
            <v>432.45054151624555</v>
          </cell>
        </row>
        <row r="36">
          <cell r="A36" t="str">
            <v>אחרות</v>
          </cell>
          <cell r="B36" t="str">
            <v>שונות</v>
          </cell>
          <cell r="C36">
            <v>4</v>
          </cell>
          <cell r="D36">
            <v>1</v>
          </cell>
          <cell r="E36">
            <v>3</v>
          </cell>
          <cell r="F36">
            <v>1.0032644180000001</v>
          </cell>
          <cell r="G36">
            <v>4.0130576720000004</v>
          </cell>
          <cell r="I36">
            <v>4.4294501221774443</v>
          </cell>
          <cell r="L36" t="str">
            <v>שונות</v>
          </cell>
          <cell r="M36">
            <v>47</v>
          </cell>
          <cell r="N36">
            <v>36</v>
          </cell>
          <cell r="O36">
            <v>11</v>
          </cell>
          <cell r="P36">
            <v>1.0235190540000001</v>
          </cell>
          <cell r="Q36">
            <v>48.105395538000003</v>
          </cell>
          <cell r="S36">
            <v>-30.716219411078526</v>
          </cell>
          <cell r="U36" t="str">
            <v>שונות</v>
          </cell>
          <cell r="V36">
            <v>51</v>
          </cell>
          <cell r="W36">
            <v>1.0235190540000001</v>
          </cell>
          <cell r="X36">
            <v>-24.800528245999992</v>
          </cell>
          <cell r="Z36">
            <v>-26.28676928890108</v>
          </cell>
        </row>
        <row r="37">
          <cell r="A37" t="str">
            <v>אחרות</v>
          </cell>
          <cell r="B37" t="str">
            <v>בונוס לעובדים</v>
          </cell>
          <cell r="C37">
            <v>0</v>
          </cell>
          <cell r="E37">
            <v>0</v>
          </cell>
          <cell r="F37">
            <v>1.0032644180000001</v>
          </cell>
          <cell r="G37">
            <v>0</v>
          </cell>
          <cell r="I37">
            <v>0</v>
          </cell>
          <cell r="L37" t="str">
            <v>בונוס לעובדים</v>
          </cell>
          <cell r="M37">
            <v>0</v>
          </cell>
          <cell r="O37">
            <v>0</v>
          </cell>
          <cell r="P37">
            <v>1.0235190540000001</v>
          </cell>
          <cell r="Q37">
            <v>0</v>
          </cell>
          <cell r="S37">
            <v>0</v>
          </cell>
          <cell r="U37" t="str">
            <v>בונוס לעובדים</v>
          </cell>
          <cell r="V37">
            <v>0</v>
          </cell>
          <cell r="W37">
            <v>1.0235190540000001</v>
          </cell>
          <cell r="X37">
            <v>0</v>
          </cell>
          <cell r="Z37">
            <v>0</v>
          </cell>
        </row>
        <row r="38">
          <cell r="A38" t="str">
            <v>אחרות</v>
          </cell>
          <cell r="B38" t="str">
            <v>שחיקת סוציאליות</v>
          </cell>
          <cell r="C38">
            <v>0</v>
          </cell>
          <cell r="F38" t="str">
            <v>חילוץ</v>
          </cell>
          <cell r="G38">
            <v>-30</v>
          </cell>
          <cell r="I38">
            <v>-33.112781954887218</v>
          </cell>
          <cell r="L38" t="str">
            <v>שחיקת סוציאליות</v>
          </cell>
          <cell r="P38" t="str">
            <v>חילוץ</v>
          </cell>
          <cell r="Q38">
            <v>-46</v>
          </cell>
          <cell r="S38">
            <v>-53.801297467495466</v>
          </cell>
          <cell r="U38" t="str">
            <v>שחיקת סוציאליות</v>
          </cell>
          <cell r="V38">
            <v>0</v>
          </cell>
          <cell r="W38" t="str">
            <v>חילוץ</v>
          </cell>
          <cell r="X38">
            <v>-82</v>
          </cell>
          <cell r="Z38">
            <v>-86.914079422382684</v>
          </cell>
        </row>
        <row r="39">
          <cell r="A39" t="str">
            <v>אחרות</v>
          </cell>
          <cell r="B39" t="str">
            <v>עמלת תפעול מטבחים</v>
          </cell>
          <cell r="C39">
            <v>232</v>
          </cell>
          <cell r="E39">
            <v>232</v>
          </cell>
          <cell r="F39">
            <v>1.0032644180000001</v>
          </cell>
          <cell r="G39">
            <v>232.75734497600001</v>
          </cell>
          <cell r="I39">
            <v>256.90810708629175</v>
          </cell>
          <cell r="L39" t="str">
            <v>עמלת תפעול מטבחים</v>
          </cell>
          <cell r="M39">
            <v>192</v>
          </cell>
          <cell r="O39">
            <v>192</v>
          </cell>
          <cell r="P39">
            <v>1.0235190540000001</v>
          </cell>
          <cell r="Q39">
            <v>196.515658368</v>
          </cell>
          <cell r="S39">
            <v>203.07096281936032</v>
          </cell>
          <cell r="U39" t="str">
            <v>עמלת תפעול מטבחים</v>
          </cell>
          <cell r="V39">
            <v>424</v>
          </cell>
          <cell r="W39">
            <v>1.0235190540000001</v>
          </cell>
          <cell r="X39">
            <v>433.97207889600003</v>
          </cell>
          <cell r="Z39">
            <v>459.97906990565207</v>
          </cell>
        </row>
        <row r="40">
          <cell r="C40" t="str">
            <v xml:space="preserve"> </v>
          </cell>
          <cell r="D40" t="str">
            <v xml:space="preserve"> </v>
          </cell>
          <cell r="E40" t="str">
            <v xml:space="preserve">  </v>
          </cell>
          <cell r="I40" t="str">
            <v xml:space="preserve"> </v>
          </cell>
          <cell r="M40" t="str">
            <v xml:space="preserve"> </v>
          </cell>
          <cell r="N40" t="str">
            <v xml:space="preserve"> </v>
          </cell>
          <cell r="O40" t="str">
            <v xml:space="preserve"> </v>
          </cell>
          <cell r="S40" t="str">
            <v xml:space="preserve"> </v>
          </cell>
          <cell r="V40" t="str">
            <v xml:space="preserve"> </v>
          </cell>
          <cell r="Z40" t="str">
            <v xml:space="preserve"> </v>
          </cell>
        </row>
        <row r="41">
          <cell r="B41" t="str">
            <v>סה"כ</v>
          </cell>
          <cell r="C41">
            <v>13032</v>
          </cell>
          <cell r="D41">
            <v>675</v>
          </cell>
          <cell r="E41">
            <v>12357</v>
          </cell>
          <cell r="G41">
            <v>13237.391732006001</v>
          </cell>
          <cell r="I41">
            <v>14610.895535778052</v>
          </cell>
          <cell r="L41" t="str">
            <v>סה"כ</v>
          </cell>
          <cell r="M41">
            <v>13171</v>
          </cell>
          <cell r="N41">
            <v>739</v>
          </cell>
          <cell r="O41">
            <v>12432</v>
          </cell>
          <cell r="Q41">
            <v>13651.568353667997</v>
          </cell>
          <cell r="S41">
            <v>14110.363120195851</v>
          </cell>
          <cell r="U41" t="str">
            <v>סה"כ</v>
          </cell>
          <cell r="V41">
            <v>26203</v>
          </cell>
          <cell r="X41">
            <v>27097.372778286001</v>
          </cell>
          <cell r="Z41">
            <v>28721.258655973903</v>
          </cell>
        </row>
        <row r="42">
          <cell r="C42" t="str">
            <v xml:space="preserve"> </v>
          </cell>
          <cell r="D42" t="str">
            <v xml:space="preserve"> </v>
          </cell>
          <cell r="E42" t="str">
            <v xml:space="preserve"> </v>
          </cell>
          <cell r="M42" t="str">
            <v xml:space="preserve"> </v>
          </cell>
          <cell r="N42" t="str">
            <v xml:space="preserve"> </v>
          </cell>
          <cell r="O42" t="str">
            <v xml:space="preserve"> </v>
          </cell>
          <cell r="Z42" t="str">
            <v xml:space="preserve"> </v>
          </cell>
        </row>
        <row r="43">
          <cell r="C43">
            <v>12067</v>
          </cell>
          <cell r="G43">
            <v>12106.391732006001</v>
          </cell>
          <cell r="I43">
            <v>13362.543656078808</v>
          </cell>
          <cell r="Q43">
            <v>12427.568353667997</v>
          </cell>
          <cell r="S43">
            <v>12819.127996284995</v>
          </cell>
          <cell r="X43">
            <v>24701.372778286001</v>
          </cell>
          <cell r="Z43">
            <v>26181.671652363795</v>
          </cell>
        </row>
        <row r="44">
          <cell r="C44">
            <v>965</v>
          </cell>
          <cell r="G44">
            <v>1131</v>
          </cell>
          <cell r="I44">
            <v>1248.3518796992482</v>
          </cell>
          <cell r="Q44">
            <v>1224</v>
          </cell>
          <cell r="S44">
            <v>1291.2351239108607</v>
          </cell>
          <cell r="X44">
            <v>2396</v>
          </cell>
          <cell r="Z44">
            <v>2539.5870036101087</v>
          </cell>
        </row>
        <row r="45">
          <cell r="C45">
            <v>13032</v>
          </cell>
          <cell r="G45">
            <v>13237.391732006001</v>
          </cell>
          <cell r="I45">
            <v>14610.895535778056</v>
          </cell>
          <cell r="Q45">
            <v>13651.568353667997</v>
          </cell>
          <cell r="S45">
            <v>14110.363120195856</v>
          </cell>
          <cell r="X45">
            <v>27097.372778286001</v>
          </cell>
          <cell r="Z45">
            <v>28721.258655973903</v>
          </cell>
        </row>
        <row r="50">
          <cell r="C50" t="str">
            <v>באלפי ש"ח 3/97</v>
          </cell>
        </row>
        <row r="52">
          <cell r="A52" t="str">
            <v>הוצאות מכירה</v>
          </cell>
        </row>
        <row r="53">
          <cell r="C53" t="str">
            <v>1-3/96</v>
          </cell>
          <cell r="G53" t="str">
            <v>4-6/96</v>
          </cell>
          <cell r="I53" t="str">
            <v>1-6/96</v>
          </cell>
        </row>
        <row r="55">
          <cell r="A55" t="str">
            <v>שכר עבודה ונלוות</v>
          </cell>
          <cell r="C55">
            <v>5269.938282860614</v>
          </cell>
          <cell r="G55">
            <v>5498.3453206382128</v>
          </cell>
          <cell r="I55">
            <v>10768.283603498827</v>
          </cell>
        </row>
        <row r="56">
          <cell r="A56" t="str">
            <v>פרסום</v>
          </cell>
          <cell r="C56">
            <v>658.88070567389479</v>
          </cell>
          <cell r="G56">
            <v>465.03041796350055</v>
          </cell>
          <cell r="I56">
            <v>1123.9111236373953</v>
          </cell>
        </row>
        <row r="57">
          <cell r="A57" t="str">
            <v>שכר דירה ואחזקת מבנה</v>
          </cell>
          <cell r="C57">
            <v>3492.6214213369149</v>
          </cell>
          <cell r="G57">
            <v>3486.259136925019</v>
          </cell>
          <cell r="I57">
            <v>6978.8805582619334</v>
          </cell>
        </row>
        <row r="58">
          <cell r="A58" t="str">
            <v>חובות מסופקים</v>
          </cell>
          <cell r="C58">
            <v>0</v>
          </cell>
          <cell r="G58">
            <v>2.1697125938945856</v>
          </cell>
          <cell r="I58">
            <v>2.1697125938945856</v>
          </cell>
        </row>
        <row r="59">
          <cell r="A59" t="str">
            <v>עמלות</v>
          </cell>
          <cell r="C59">
            <v>1212.5619709460755</v>
          </cell>
          <cell r="G59">
            <v>935.45349700956399</v>
          </cell>
          <cell r="I59">
            <v>2148.0154679556395</v>
          </cell>
        </row>
        <row r="60">
          <cell r="A60" t="str">
            <v>אחרות</v>
          </cell>
          <cell r="C60">
            <v>2695.4284933064177</v>
          </cell>
          <cell r="G60">
            <v>2378.0686136873046</v>
          </cell>
          <cell r="I60">
            <v>5073.4971069937237</v>
          </cell>
        </row>
        <row r="61">
          <cell r="A61" t="str">
            <v>פחת והפחתות</v>
          </cell>
          <cell r="C61">
            <v>1281.4646616541354</v>
          </cell>
          <cell r="G61">
            <v>1345.0364213783562</v>
          </cell>
          <cell r="I61">
            <v>2626.5010830324918</v>
          </cell>
        </row>
        <row r="63">
          <cell r="C63">
            <v>14610.895535778052</v>
          </cell>
          <cell r="G63">
            <v>14110.363120195851</v>
          </cell>
          <cell r="I63">
            <v>28721.258655973903</v>
          </cell>
        </row>
      </sheetData>
      <sheetData sheetId="1" refreshError="1">
        <row r="2">
          <cell r="C2" t="str">
            <v>הום סנטרס</v>
          </cell>
          <cell r="L2" t="str">
            <v>הום סנטרס</v>
          </cell>
          <cell r="S2" t="str">
            <v>הום סנטרס</v>
          </cell>
        </row>
        <row r="4">
          <cell r="C4" t="str">
            <v>הוצאות הנהלה וכלליות</v>
          </cell>
          <cell r="L4" t="str">
            <v>הוצאות הנהלה וכלליות</v>
          </cell>
          <cell r="S4" t="str">
            <v>הוצאות הנהלה וכלליות</v>
          </cell>
        </row>
        <row r="6">
          <cell r="C6" t="str">
            <v>1-3/96</v>
          </cell>
          <cell r="L6" t="str">
            <v>4-6/96</v>
          </cell>
          <cell r="S6" t="str">
            <v>1-6/96</v>
          </cell>
        </row>
        <row r="8">
          <cell r="A8" t="str">
            <v>קבוצה במאזן</v>
          </cell>
          <cell r="C8" t="str">
            <v>סה"כ</v>
          </cell>
          <cell r="D8" t="str">
            <v>מידוד לתקופה</v>
          </cell>
          <cell r="E8" t="str">
            <v>בש"ח 3/96</v>
          </cell>
          <cell r="F8" t="str">
            <v>תיאום ל 3/97</v>
          </cell>
          <cell r="G8" t="str">
            <v>בש"ח 3/97</v>
          </cell>
          <cell r="K8" t="str">
            <v>סה"כ</v>
          </cell>
          <cell r="L8" t="str">
            <v>מידוד לתקופה</v>
          </cell>
          <cell r="M8" t="str">
            <v>בש"ח 3/96</v>
          </cell>
          <cell r="N8" t="str">
            <v>תיאום ל 3/97</v>
          </cell>
          <cell r="O8" t="str">
            <v>בש"ח 3/97</v>
          </cell>
          <cell r="S8" t="str">
            <v>סה"כ</v>
          </cell>
          <cell r="T8" t="str">
            <v>מידוד לתקופה</v>
          </cell>
          <cell r="U8" t="str">
            <v>בש"ח 3/96</v>
          </cell>
          <cell r="V8" t="str">
            <v>תיאום ל 3/97</v>
          </cell>
          <cell r="W8" t="str">
            <v>בש"ח 3/97</v>
          </cell>
        </row>
        <row r="9">
          <cell r="K9" t="str">
            <v>נומינלי</v>
          </cell>
        </row>
        <row r="11">
          <cell r="A11" t="str">
            <v>שכ"ע</v>
          </cell>
          <cell r="B11" t="str">
            <v>משכורות ונלוות</v>
          </cell>
          <cell r="C11">
            <v>1230</v>
          </cell>
          <cell r="D11">
            <v>1.0035476720000001</v>
          </cell>
          <cell r="E11">
            <v>1234.36363656</v>
          </cell>
          <cell r="F11">
            <v>1.1037593984962406</v>
          </cell>
          <cell r="G11">
            <v>1362.4404650150977</v>
          </cell>
          <cell r="J11" t="str">
            <v>משכורות ונלוות</v>
          </cell>
          <cell r="K11">
            <v>1030</v>
          </cell>
          <cell r="O11">
            <v>1084.8649552324118</v>
          </cell>
          <cell r="R11" t="str">
            <v>משכורות ונלוות</v>
          </cell>
          <cell r="S11">
            <v>2260</v>
          </cell>
          <cell r="T11">
            <v>1.0216530850000001</v>
          </cell>
          <cell r="U11">
            <v>2308.9359721000001</v>
          </cell>
          <cell r="V11">
            <v>1.0599277978339352</v>
          </cell>
          <cell r="W11">
            <v>2447.3054202475096</v>
          </cell>
        </row>
        <row r="12">
          <cell r="A12" t="str">
            <v>אחרות</v>
          </cell>
          <cell r="B12" t="str">
            <v>דואר וטלפון</v>
          </cell>
          <cell r="C12">
            <v>50</v>
          </cell>
          <cell r="D12">
            <v>1.0035476720000001</v>
          </cell>
          <cell r="E12">
            <v>50.177383600000006</v>
          </cell>
          <cell r="G12">
            <v>55.383758740451135</v>
          </cell>
          <cell r="J12" t="str">
            <v>דואר וטלפון</v>
          </cell>
          <cell r="K12">
            <v>86</v>
          </cell>
          <cell r="O12">
            <v>91.887717876213173</v>
          </cell>
          <cell r="R12" t="str">
            <v>דואר וטלפון</v>
          </cell>
          <cell r="S12">
            <v>136</v>
          </cell>
          <cell r="T12">
            <v>1.0216530850000001</v>
          </cell>
          <cell r="U12">
            <v>138.94481956000001</v>
          </cell>
          <cell r="W12">
            <v>147.2714766166643</v>
          </cell>
        </row>
        <row r="13">
          <cell r="A13" t="str">
            <v>אחרות</v>
          </cell>
          <cell r="B13" t="str">
            <v>צרכי משרד והדפסות</v>
          </cell>
          <cell r="C13">
            <v>39</v>
          </cell>
          <cell r="D13">
            <v>1.0035476720000001</v>
          </cell>
          <cell r="E13">
            <v>39.138359208000004</v>
          </cell>
          <cell r="G13">
            <v>43.199331817551887</v>
          </cell>
          <cell r="J13" t="str">
            <v>צרכי משרד והדפסות</v>
          </cell>
          <cell r="K13">
            <v>21</v>
          </cell>
          <cell r="O13">
            <v>21.773378454505895</v>
          </cell>
          <cell r="R13" t="str">
            <v>צרכי משרד והדפסות</v>
          </cell>
          <cell r="S13">
            <v>60</v>
          </cell>
          <cell r="T13">
            <v>1.0216530850000001</v>
          </cell>
          <cell r="U13">
            <v>61.299185100000003</v>
          </cell>
          <cell r="W13">
            <v>64.972710272057782</v>
          </cell>
        </row>
        <row r="14">
          <cell r="A14" t="str">
            <v>אחרות</v>
          </cell>
          <cell r="B14" t="str">
            <v>בטוח ואחזקה</v>
          </cell>
          <cell r="C14">
            <v>12</v>
          </cell>
          <cell r="D14">
            <v>1.0035476720000001</v>
          </cell>
          <cell r="E14">
            <v>12.042572064000002</v>
          </cell>
          <cell r="G14">
            <v>13.292102097708273</v>
          </cell>
          <cell r="J14" t="str">
            <v>בטוח ואחזקה</v>
          </cell>
          <cell r="K14">
            <v>101</v>
          </cell>
          <cell r="O14">
            <v>109.07316891466721</v>
          </cell>
          <cell r="R14" t="str">
            <v>בטוח ואחזקה</v>
          </cell>
          <cell r="S14">
            <v>113</v>
          </cell>
          <cell r="T14">
            <v>1.0216530850000001</v>
          </cell>
          <cell r="U14">
            <v>115.44679860500001</v>
          </cell>
          <cell r="W14">
            <v>122.36527101237549</v>
          </cell>
        </row>
        <row r="15">
          <cell r="A15" t="str">
            <v>אחרות</v>
          </cell>
          <cell r="B15" t="str">
            <v>אחזקה והשכרת רכב</v>
          </cell>
          <cell r="C15">
            <v>95</v>
          </cell>
          <cell r="D15">
            <v>1.0035476720000001</v>
          </cell>
          <cell r="E15">
            <v>95.337028840000002</v>
          </cell>
          <cell r="G15">
            <v>105.22914160685714</v>
          </cell>
          <cell r="J15" t="str">
            <v>אחזקה והשכרת רכב</v>
          </cell>
          <cell r="K15">
            <v>26</v>
          </cell>
          <cell r="O15">
            <v>25.799157441792701</v>
          </cell>
          <cell r="R15" t="str">
            <v>אחזקה והשכרת רכב</v>
          </cell>
          <cell r="S15">
            <v>121</v>
          </cell>
          <cell r="T15">
            <v>1.0216530850000001</v>
          </cell>
          <cell r="U15">
            <v>123.620023285</v>
          </cell>
          <cell r="W15">
            <v>131.02829904864984</v>
          </cell>
        </row>
        <row r="16">
          <cell r="A16" t="str">
            <v>אחרות</v>
          </cell>
          <cell r="B16" t="str">
            <v>ארועים, כבודים ומתנות</v>
          </cell>
          <cell r="C16">
            <v>141</v>
          </cell>
          <cell r="D16">
            <v>1.0035476720000001</v>
          </cell>
          <cell r="E16">
            <v>141.50022175200002</v>
          </cell>
          <cell r="G16">
            <v>156.18219964807219</v>
          </cell>
          <cell r="J16" t="str">
            <v>ארועים, כבודים ומתנות</v>
          </cell>
          <cell r="K16">
            <v>30</v>
          </cell>
          <cell r="O16">
            <v>28.990024627292485</v>
          </cell>
          <cell r="R16" t="str">
            <v>ארועים, כבודים ומתנות</v>
          </cell>
          <cell r="S16">
            <v>171</v>
          </cell>
          <cell r="T16">
            <v>1.0216530850000001</v>
          </cell>
          <cell r="U16">
            <v>174.70267753500002</v>
          </cell>
          <cell r="W16">
            <v>185.17222427536467</v>
          </cell>
        </row>
        <row r="17">
          <cell r="A17" t="str">
            <v>אחרות</v>
          </cell>
          <cell r="B17" t="str">
            <v>ביקורת ומבקר פנים</v>
          </cell>
          <cell r="C17">
            <v>28</v>
          </cell>
          <cell r="D17">
            <v>1.0035476720000001</v>
          </cell>
          <cell r="E17">
            <v>28.099334816000002</v>
          </cell>
          <cell r="G17">
            <v>31.014904894652634</v>
          </cell>
          <cell r="J17" t="str">
            <v>ביקורת ומבקר פנים</v>
          </cell>
          <cell r="K17">
            <v>40</v>
          </cell>
          <cell r="O17">
            <v>42.62083341367952</v>
          </cell>
          <cell r="R17" t="str">
            <v>ביקורת ומבקר פנים</v>
          </cell>
          <cell r="S17">
            <v>68</v>
          </cell>
          <cell r="T17">
            <v>1.0216530850000001</v>
          </cell>
          <cell r="U17">
            <v>69.472409780000007</v>
          </cell>
          <cell r="W17">
            <v>73.635738308332151</v>
          </cell>
        </row>
        <row r="18">
          <cell r="A18" t="str">
            <v>אחרות</v>
          </cell>
          <cell r="B18" t="str">
            <v>משפטיות</v>
          </cell>
          <cell r="C18">
            <v>175</v>
          </cell>
          <cell r="D18">
            <v>1.0035476720000001</v>
          </cell>
          <cell r="E18">
            <v>175.6208426</v>
          </cell>
          <cell r="G18">
            <v>193.84315559157895</v>
          </cell>
          <cell r="J18" t="str">
            <v>משפטיות</v>
          </cell>
          <cell r="K18">
            <v>266</v>
          </cell>
          <cell r="O18">
            <v>283.7062649080458</v>
          </cell>
          <cell r="R18" t="str">
            <v>משפטיות</v>
          </cell>
          <cell r="S18">
            <v>441</v>
          </cell>
          <cell r="T18">
            <v>1.0216530850000001</v>
          </cell>
          <cell r="U18">
            <v>450.54901048500005</v>
          </cell>
          <cell r="W18">
            <v>477.54942049962472</v>
          </cell>
        </row>
        <row r="19">
          <cell r="A19" t="str">
            <v>אחרות</v>
          </cell>
          <cell r="B19" t="str">
            <v>הדרכה והשתלמויות</v>
          </cell>
          <cell r="C19">
            <v>43</v>
          </cell>
          <cell r="D19">
            <v>1.0035476720000001</v>
          </cell>
          <cell r="E19">
            <v>43.152549896000004</v>
          </cell>
          <cell r="G19">
            <v>47.630032516787971</v>
          </cell>
          <cell r="J19" t="str">
            <v>הדרכה והשתלמויות</v>
          </cell>
          <cell r="K19">
            <v>58</v>
          </cell>
          <cell r="O19">
            <v>61.740696441175949</v>
          </cell>
          <cell r="R19" t="str">
            <v>הדרכה והשתלמויות</v>
          </cell>
          <cell r="S19">
            <v>101</v>
          </cell>
          <cell r="T19">
            <v>1.0216530850000001</v>
          </cell>
          <cell r="U19">
            <v>103.18696158500001</v>
          </cell>
          <cell r="W19">
            <v>109.37072895796392</v>
          </cell>
        </row>
        <row r="20">
          <cell r="A20" t="str">
            <v>אחרות</v>
          </cell>
          <cell r="B20" t="str">
            <v>שרותים מקצועיים</v>
          </cell>
          <cell r="C20">
            <v>148</v>
          </cell>
          <cell r="D20">
            <v>1.0035476720000001</v>
          </cell>
          <cell r="E20">
            <v>148.52505545600002</v>
          </cell>
          <cell r="G20">
            <v>163.93592587173535</v>
          </cell>
          <cell r="J20" t="str">
            <v>שרותים מקצועיים</v>
          </cell>
          <cell r="K20">
            <v>92</v>
          </cell>
          <cell r="O20">
            <v>95.954915216495777</v>
          </cell>
          <cell r="R20" t="str">
            <v>שרותים מקצועיים</v>
          </cell>
          <cell r="S20">
            <v>240</v>
          </cell>
          <cell r="T20">
            <v>1.0216530850000001</v>
          </cell>
          <cell r="U20">
            <v>245.19674040000001</v>
          </cell>
          <cell r="W20">
            <v>259.89084108823113</v>
          </cell>
        </row>
        <row r="21">
          <cell r="A21" t="str">
            <v>אחרות</v>
          </cell>
          <cell r="B21" t="str">
            <v>סקרים ומחקרי שוק</v>
          </cell>
          <cell r="C21">
            <v>130</v>
          </cell>
          <cell r="D21">
            <v>1.0035476720000001</v>
          </cell>
          <cell r="E21">
            <v>130.46119736</v>
          </cell>
          <cell r="G21">
            <v>143.99777272517292</v>
          </cell>
          <cell r="J21" t="str">
            <v>סקרים ומחקרי שוק</v>
          </cell>
          <cell r="K21">
            <v>38</v>
          </cell>
          <cell r="O21">
            <v>37.925816036588856</v>
          </cell>
          <cell r="R21" t="str">
            <v>סקרים ומחקרי שוק</v>
          </cell>
          <cell r="S21">
            <v>168</v>
          </cell>
          <cell r="T21">
            <v>1.0216530850000001</v>
          </cell>
          <cell r="U21">
            <v>171.63771828</v>
          </cell>
          <cell r="W21">
            <v>181.92358876176178</v>
          </cell>
        </row>
        <row r="22">
          <cell r="A22" t="str">
            <v>אחרות</v>
          </cell>
          <cell r="B22" t="str">
            <v>נסיעות לחו"ל</v>
          </cell>
          <cell r="C22">
            <v>60</v>
          </cell>
          <cell r="D22">
            <v>1.0035476720000001</v>
          </cell>
          <cell r="E22">
            <v>60.212860320000004</v>
          </cell>
          <cell r="G22">
            <v>66.46051048854136</v>
          </cell>
          <cell r="J22" t="str">
            <v>נסיעות לחו"ל</v>
          </cell>
          <cell r="K22">
            <v>101</v>
          </cell>
          <cell r="O22">
            <v>107.88292874148036</v>
          </cell>
          <cell r="R22" t="str">
            <v>נסיעות לחו"ל</v>
          </cell>
          <cell r="S22">
            <v>161</v>
          </cell>
          <cell r="T22">
            <v>1.0216530850000001</v>
          </cell>
          <cell r="U22">
            <v>164.48614668500002</v>
          </cell>
          <cell r="W22">
            <v>174.34343923002172</v>
          </cell>
        </row>
        <row r="23">
          <cell r="A23" t="str">
            <v>פחת</v>
          </cell>
          <cell r="B23" t="str">
            <v>פחת רכוש קבוע</v>
          </cell>
          <cell r="C23">
            <v>106</v>
          </cell>
          <cell r="D23" t="str">
            <v>חילוץ</v>
          </cell>
          <cell r="E23">
            <v>124</v>
          </cell>
          <cell r="G23">
            <v>136.86616541353385</v>
          </cell>
          <cell r="J23" t="str">
            <v>פחת רכוש קבוע</v>
          </cell>
          <cell r="K23">
            <v>119</v>
          </cell>
          <cell r="O23">
            <v>153.55405119296438</v>
          </cell>
          <cell r="R23" t="str">
            <v>פחת רכוש קבוע</v>
          </cell>
          <cell r="S23">
            <v>225</v>
          </cell>
          <cell r="T23" t="str">
            <v>חילוץ</v>
          </cell>
          <cell r="U23">
            <v>274</v>
          </cell>
          <cell r="W23">
            <v>290.42021660649823</v>
          </cell>
        </row>
        <row r="24">
          <cell r="A24" t="str">
            <v>אחרות</v>
          </cell>
          <cell r="B24" t="str">
            <v>אחזקת מחשב וציוד נילווה</v>
          </cell>
          <cell r="C24">
            <v>30</v>
          </cell>
          <cell r="D24">
            <v>1.0035476720000001</v>
          </cell>
          <cell r="E24">
            <v>30.106430160000002</v>
          </cell>
          <cell r="G24">
            <v>33.23025524427068</v>
          </cell>
          <cell r="J24" t="str">
            <v>אחזקת מחשב וציוד נילווה</v>
          </cell>
          <cell r="K24">
            <v>40</v>
          </cell>
          <cell r="O24">
            <v>42.571240073130056</v>
          </cell>
          <cell r="R24" t="str">
            <v>אחזקת מחשב וציוד נילווה</v>
          </cell>
          <cell r="S24">
            <v>70</v>
          </cell>
          <cell r="T24">
            <v>1.0216530850000001</v>
          </cell>
          <cell r="U24">
            <v>71.515715950000001</v>
          </cell>
          <cell r="W24">
            <v>75.801495317400736</v>
          </cell>
        </row>
        <row r="25">
          <cell r="A25" t="str">
            <v>אחרות</v>
          </cell>
          <cell r="B25" t="str">
            <v>אגרות, דמי חבר וספרות</v>
          </cell>
          <cell r="C25">
            <v>30</v>
          </cell>
          <cell r="D25">
            <v>1.0035476720000001</v>
          </cell>
          <cell r="E25">
            <v>30.106430160000002</v>
          </cell>
          <cell r="G25">
            <v>33.23025524427068</v>
          </cell>
          <cell r="J25" t="str">
            <v>אגרות, דמי חבר וספרות</v>
          </cell>
          <cell r="K25">
            <v>5</v>
          </cell>
          <cell r="O25">
            <v>4.6704924144296882</v>
          </cell>
          <cell r="R25" t="str">
            <v>אגרות, דמי חבר וספרות</v>
          </cell>
          <cell r="S25">
            <v>35</v>
          </cell>
          <cell r="T25">
            <v>1.0216530850000001</v>
          </cell>
          <cell r="U25">
            <v>35.757857975</v>
          </cell>
          <cell r="W25">
            <v>37.900747658700368</v>
          </cell>
        </row>
        <row r="26">
          <cell r="A26" t="str">
            <v>אחרות</v>
          </cell>
          <cell r="B26" t="str">
            <v>שונות</v>
          </cell>
          <cell r="C26">
            <v>4</v>
          </cell>
          <cell r="D26">
            <v>1.0035476720000001</v>
          </cell>
          <cell r="E26">
            <v>4.0141906880000002</v>
          </cell>
          <cell r="G26">
            <v>4.4307006992360902</v>
          </cell>
          <cell r="J26" t="str">
            <v>שונות</v>
          </cell>
          <cell r="K26">
            <v>7</v>
          </cell>
          <cell r="O26">
            <v>7.4809628506411689</v>
          </cell>
          <cell r="R26" t="str">
            <v>שונות</v>
          </cell>
          <cell r="S26">
            <v>11</v>
          </cell>
          <cell r="T26">
            <v>1.0216530850000001</v>
          </cell>
          <cell r="U26">
            <v>11.238183935</v>
          </cell>
          <cell r="W26">
            <v>11.911663549877259</v>
          </cell>
        </row>
        <row r="27">
          <cell r="A27" t="str">
            <v>אחרות</v>
          </cell>
          <cell r="B27" t="str">
            <v>קדום מכירות ושיווק</v>
          </cell>
          <cell r="D27">
            <v>1.0035476720000001</v>
          </cell>
          <cell r="E27">
            <v>0</v>
          </cell>
          <cell r="G27">
            <v>0</v>
          </cell>
          <cell r="J27" t="str">
            <v>קדום מכירות ושיווק</v>
          </cell>
          <cell r="K27">
            <v>0</v>
          </cell>
          <cell r="O27">
            <v>0</v>
          </cell>
          <cell r="R27" t="str">
            <v>קדום מכירות ושיווק</v>
          </cell>
          <cell r="S27">
            <v>0</v>
          </cell>
          <cell r="T27">
            <v>1.0216530850000001</v>
          </cell>
          <cell r="U27">
            <v>0</v>
          </cell>
          <cell r="W27">
            <v>0</v>
          </cell>
        </row>
        <row r="28">
          <cell r="A28" t="str">
            <v>אחרות</v>
          </cell>
          <cell r="B28" t="str">
            <v>נסיעות ושליחויות</v>
          </cell>
          <cell r="C28">
            <v>11</v>
          </cell>
          <cell r="D28">
            <v>1.0035476720000001</v>
          </cell>
          <cell r="E28">
            <v>11.039024392</v>
          </cell>
          <cell r="G28">
            <v>12.184426922899249</v>
          </cell>
          <cell r="J28" t="str">
            <v>נסיעות ושליחויות</v>
          </cell>
          <cell r="K28">
            <v>11</v>
          </cell>
          <cell r="O28">
            <v>11.63890017685527</v>
          </cell>
          <cell r="R28" t="str">
            <v>נסיעות ושליחויות</v>
          </cell>
          <cell r="S28">
            <v>22</v>
          </cell>
          <cell r="T28">
            <v>1.0216530850000001</v>
          </cell>
          <cell r="U28">
            <v>22.476367870000001</v>
          </cell>
          <cell r="W28">
            <v>23.823327099754518</v>
          </cell>
        </row>
        <row r="29">
          <cell r="A29" t="str">
            <v>אחרות</v>
          </cell>
          <cell r="B29" t="str">
            <v>פרסום ומודעות</v>
          </cell>
          <cell r="C29">
            <v>66</v>
          </cell>
          <cell r="D29">
            <v>1.0035476720000001</v>
          </cell>
          <cell r="E29">
            <v>66.23414635200001</v>
          </cell>
          <cell r="G29">
            <v>73.106561537395507</v>
          </cell>
          <cell r="J29" t="str">
            <v>פרסום ומודעות</v>
          </cell>
          <cell r="K29">
            <v>67</v>
          </cell>
          <cell r="O29">
            <v>70.916279565665903</v>
          </cell>
          <cell r="R29" t="str">
            <v>פרסום ומודעות</v>
          </cell>
          <cell r="S29">
            <v>133</v>
          </cell>
          <cell r="T29">
            <v>1.0216530850000001</v>
          </cell>
          <cell r="U29">
            <v>135.87986030500002</v>
          </cell>
          <cell r="W29">
            <v>144.02284110306141</v>
          </cell>
        </row>
        <row r="30">
          <cell r="A30" t="str">
            <v>אחרות</v>
          </cell>
          <cell r="B30" t="str">
            <v>קנסות</v>
          </cell>
          <cell r="C30">
            <v>-2</v>
          </cell>
          <cell r="D30">
            <v>1.0035476720000001</v>
          </cell>
          <cell r="E30">
            <v>-2.0070953440000001</v>
          </cell>
          <cell r="G30">
            <v>-2.2153503496180451</v>
          </cell>
          <cell r="J30" t="str">
            <v>קנסות</v>
          </cell>
          <cell r="K30">
            <v>0</v>
          </cell>
          <cell r="O30">
            <v>4.9593340549452414E-2</v>
          </cell>
          <cell r="R30" t="str">
            <v>קנסות</v>
          </cell>
          <cell r="S30">
            <v>-2</v>
          </cell>
          <cell r="T30">
            <v>1.0216530850000001</v>
          </cell>
          <cell r="U30">
            <v>-2.0433061700000001</v>
          </cell>
          <cell r="W30">
            <v>-2.1657570090685927</v>
          </cell>
        </row>
        <row r="31">
          <cell r="A31" t="str">
            <v>אחרות</v>
          </cell>
          <cell r="B31" t="str">
            <v>תרומות</v>
          </cell>
          <cell r="C31">
            <v>0</v>
          </cell>
          <cell r="D31">
            <v>1.0035476720000001</v>
          </cell>
          <cell r="E31">
            <v>0</v>
          </cell>
          <cell r="G31">
            <v>0</v>
          </cell>
          <cell r="J31" t="str">
            <v>תרומות</v>
          </cell>
          <cell r="K31">
            <v>0</v>
          </cell>
          <cell r="O31">
            <v>0</v>
          </cell>
          <cell r="R31" t="str">
            <v>תרומות</v>
          </cell>
          <cell r="S31">
            <v>0</v>
          </cell>
          <cell r="T31">
            <v>1.0216530850000001</v>
          </cell>
          <cell r="U31">
            <v>0</v>
          </cell>
          <cell r="W31">
            <v>0</v>
          </cell>
        </row>
        <row r="32">
          <cell r="A32" t="str">
            <v>אחרות</v>
          </cell>
          <cell r="B32" t="str">
            <v>בטולי יתרות</v>
          </cell>
          <cell r="C32">
            <v>14</v>
          </cell>
          <cell r="D32">
            <v>1.0035476720000001</v>
          </cell>
          <cell r="E32">
            <v>14.049667408000001</v>
          </cell>
          <cell r="G32">
            <v>15.507452447326317</v>
          </cell>
          <cell r="J32" t="str">
            <v>בטולי יתרות</v>
          </cell>
          <cell r="K32">
            <v>26</v>
          </cell>
          <cell r="O32">
            <v>27.807687734045537</v>
          </cell>
          <cell r="R32" t="str">
            <v>בטולי יתרות</v>
          </cell>
          <cell r="S32">
            <v>40</v>
          </cell>
          <cell r="T32">
            <v>1.0216530850000001</v>
          </cell>
          <cell r="U32">
            <v>40.866123400000006</v>
          </cell>
          <cell r="W32">
            <v>43.315140181371852</v>
          </cell>
        </row>
        <row r="33">
          <cell r="A33" t="str">
            <v>אחרות</v>
          </cell>
          <cell r="B33" t="str">
            <v>שחיקת סוציאליות</v>
          </cell>
          <cell r="C33">
            <v>0</v>
          </cell>
          <cell r="D33" t="str">
            <v>חילוץ</v>
          </cell>
          <cell r="E33">
            <v>-11</v>
          </cell>
          <cell r="G33">
            <v>-12.141353383458647</v>
          </cell>
          <cell r="J33" t="str">
            <v>שחיקת סוציאליות</v>
          </cell>
          <cell r="K33">
            <v>0</v>
          </cell>
          <cell r="O33">
            <v>-19.656480551559408</v>
          </cell>
          <cell r="R33" t="str">
            <v>שחיקת סוציאליות</v>
          </cell>
          <cell r="S33">
            <v>0</v>
          </cell>
          <cell r="T33" t="str">
            <v>חילוץ</v>
          </cell>
          <cell r="U33">
            <v>-30</v>
          </cell>
          <cell r="W33">
            <v>-31.797833935018055</v>
          </cell>
        </row>
        <row r="34">
          <cell r="A34" t="str">
            <v>אחרות</v>
          </cell>
          <cell r="B34" t="str">
            <v>אחרות</v>
          </cell>
          <cell r="C34">
            <v>0</v>
          </cell>
          <cell r="D34">
            <v>1.0035476720000001</v>
          </cell>
          <cell r="E34">
            <v>0</v>
          </cell>
          <cell r="G34">
            <v>0</v>
          </cell>
          <cell r="J34" t="str">
            <v>אחרות</v>
          </cell>
          <cell r="K34">
            <v>80</v>
          </cell>
          <cell r="O34">
            <v>104.64905292592061</v>
          </cell>
          <cell r="R34" t="str">
            <v>אחרות</v>
          </cell>
          <cell r="S34">
            <v>80</v>
          </cell>
          <cell r="T34">
            <v>1.0216530850000001</v>
          </cell>
          <cell r="U34">
            <v>98.732246800000013</v>
          </cell>
          <cell r="W34">
            <v>104.64905292592061</v>
          </cell>
        </row>
        <row r="35">
          <cell r="C35" t="str">
            <v xml:space="preserve"> </v>
          </cell>
          <cell r="K35" t="str">
            <v xml:space="preserve"> </v>
          </cell>
          <cell r="O35" t="str">
            <v xml:space="preserve"> </v>
          </cell>
          <cell r="S35" t="str">
            <v xml:space="preserve"> </v>
          </cell>
          <cell r="W35" t="str">
            <v xml:space="preserve"> </v>
          </cell>
        </row>
        <row r="36">
          <cell r="B36" t="str">
            <v>סה"כ</v>
          </cell>
          <cell r="C36">
            <v>2410</v>
          </cell>
          <cell r="E36">
            <v>2425.1738362880001</v>
          </cell>
          <cell r="G36">
            <v>2676.8084147900631</v>
          </cell>
          <cell r="J36" t="str">
            <v>סה"כ</v>
          </cell>
          <cell r="K36">
            <v>2244</v>
          </cell>
          <cell r="O36">
            <v>2395.9016370269933</v>
          </cell>
          <cell r="R36" t="str">
            <v>סה"כ</v>
          </cell>
          <cell r="S36">
            <v>4654</v>
          </cell>
          <cell r="U36">
            <v>4785.9015134650017</v>
          </cell>
          <cell r="W36">
            <v>5072.7100518170564</v>
          </cell>
        </row>
        <row r="37">
          <cell r="C37" t="str">
            <v xml:space="preserve"> </v>
          </cell>
          <cell r="K37" t="str">
            <v xml:space="preserve"> </v>
          </cell>
        </row>
        <row r="47">
          <cell r="A47" t="str">
            <v>הוצאות הנהלה וכלליות</v>
          </cell>
          <cell r="C47" t="str">
            <v>-ריכוז</v>
          </cell>
        </row>
        <row r="48">
          <cell r="A48" t="str">
            <v>באלפי ש"ח 3/97</v>
          </cell>
        </row>
        <row r="49">
          <cell r="C49" t="str">
            <v>1-3/96</v>
          </cell>
          <cell r="E49" t="str">
            <v>4-6/96</v>
          </cell>
          <cell r="G49" t="str">
            <v>1-6/96</v>
          </cell>
        </row>
        <row r="51">
          <cell r="A51" t="str">
            <v>שכר עבודה ונלוות</v>
          </cell>
          <cell r="C51">
            <v>1362.4404650150977</v>
          </cell>
          <cell r="E51">
            <v>1084.8649552324118</v>
          </cell>
          <cell r="G51">
            <v>2447.3054202475096</v>
          </cell>
        </row>
        <row r="52">
          <cell r="A52" t="str">
            <v>אחרות</v>
          </cell>
          <cell r="C52">
            <v>1177.5017843614314</v>
          </cell>
          <cell r="E52">
            <v>1157.4826306016171</v>
          </cell>
          <cell r="G52">
            <v>2334.9844149630485</v>
          </cell>
        </row>
        <row r="53">
          <cell r="A53" t="str">
            <v xml:space="preserve">פחת </v>
          </cell>
          <cell r="C53">
            <v>136.86616541353385</v>
          </cell>
          <cell r="E53">
            <v>153.55405119296438</v>
          </cell>
          <cell r="G53">
            <v>290.42021660649823</v>
          </cell>
        </row>
        <row r="55">
          <cell r="C55">
            <v>2676.8084147900631</v>
          </cell>
          <cell r="E55">
            <v>2395.9016370269933</v>
          </cell>
          <cell r="G55">
            <v>5072.7100518170564</v>
          </cell>
        </row>
      </sheetData>
      <sheetData sheetId="2" refreshError="1"/>
      <sheetData sheetId="3" refreshError="1"/>
      <sheetData sheetId="4" refreshError="1"/>
      <sheetData sheetId="5" refreshError="1"/>
      <sheetData sheetId="6">
        <row r="2">
          <cell r="C2" t="str">
            <v>הום סנטרס</v>
          </cell>
        </row>
      </sheetData>
      <sheetData sheetId="7"/>
      <sheetData sheetId="8">
        <row r="2">
          <cell r="C2" t="str">
            <v>??? ?????</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2">
          <cell r="B2" t="str">
            <v>הום סנטרס</v>
          </cell>
        </row>
      </sheetData>
      <sheetData sheetId="2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וחות"/>
      <sheetName val="מאזן בוחן"/>
      <sheetName val="הון מניות"/>
      <sheetName val="רכוש קבוע"/>
      <sheetName val="סקירת כרטיסים"/>
      <sheetName val="חישובים"/>
      <sheetName val="חודש קודם AVB"/>
      <sheetName val="Previous actual+forcast"/>
      <sheetName val="AVB"/>
      <sheetName val="Budget"/>
      <sheetName val="העמסות"/>
      <sheetName val="תזרים מזומנים חודשי"/>
      <sheetName val="תזרים חברה"/>
      <sheetName val="מודול מעבר והדפסות"/>
      <sheetName val="דו&quot;ח התאמה (2)"/>
      <sheetName val="עודפות"/>
      <sheetName val="נתונים לשינוי"/>
      <sheetName val="FINAL REPORTS"/>
      <sheetName val="כרטיסים שלא שולבו"/>
      <sheetName val="מודול1"/>
    </sheetNames>
    <sheetDataSet>
      <sheetData sheetId="0"/>
      <sheetData sheetId="1"/>
      <sheetData sheetId="2"/>
      <sheetData sheetId="3"/>
      <sheetData sheetId="4" refreshError="1"/>
      <sheetData sheetId="5"/>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ק' נוספות"/>
      <sheetName val="פרוטים"/>
      <sheetName val="מס 99"/>
      <sheetName val="שמ&quot;מ מ&quot;ה"/>
      <sheetName val="מס-מד&quot;פ+טלפאואר"/>
      <sheetName val="מקדמות למס"/>
      <sheetName val="מיסים נדחים"/>
      <sheetName val="רווח הון קווי זהב"/>
      <sheetName val="MPS"/>
      <sheetName val="תזרים חברה"/>
      <sheetName val="תזרים מאוחד"/>
      <sheetName val="ריכוזים לדוח כספי"/>
      <sheetName val="טורים דולרי"/>
      <sheetName val="טורים נומינלי"/>
      <sheetName val="טורים מתואם"/>
      <sheetName val="תנועה בהשקעות"/>
      <sheetName val="מרכז ער&quot;ז"/>
      <sheetName val="יציאה מאיחוד נטקום"/>
      <sheetName val="מדריכי פנאי"/>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ק' נוספות"/>
      <sheetName val="פרוטים"/>
      <sheetName val="מס 99"/>
      <sheetName val="שמ&quot;מ מ&quot;ה"/>
      <sheetName val="מס-מד&quot;פ+טלפאואר"/>
      <sheetName val="מקדמות למס"/>
      <sheetName val="מיסים נדחים"/>
      <sheetName val="רווח הון קווי זהב"/>
      <sheetName val="MPS"/>
      <sheetName val="תזרים חברה"/>
      <sheetName val="תזרים מאוחד"/>
      <sheetName val="ריכוזים לדוח כספי"/>
      <sheetName val="טורים דולרי"/>
      <sheetName val="טורים נומינלי"/>
      <sheetName val="טורים מתואם"/>
      <sheetName val="תנועה בהשקעות"/>
      <sheetName val="מרכז ער&quot;ז"/>
      <sheetName val="יציאה מאיחוד נטקום"/>
      <sheetName val="מדריכי פנאי"/>
      <sheetName val="P&amp;L "/>
      <sheetName val="BS"/>
      <sheetName val="דוחות LTD"/>
      <sheetName val="נתונים לשינוי"/>
      <sheetName val="דוח מתכונת הגשה "/>
      <sheetName val="הפרשה להבראה"/>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קודות נוספות קדנט בע&quot;מ"/>
      <sheetName val="הרכבה+תזרים - מאוחד"/>
      <sheetName val="הרכבה - קדנט בע&quot;מ"/>
    </sheetNames>
    <sheetDataSet>
      <sheetData sheetId="0">
        <row r="4">
          <cell r="W4" t="str">
            <v>סופי</v>
          </cell>
        </row>
        <row r="5">
          <cell r="W5">
            <v>7848837.4000000004</v>
          </cell>
        </row>
        <row r="6">
          <cell r="W6">
            <v>-12925.43</v>
          </cell>
        </row>
        <row r="7">
          <cell r="W7">
            <v>-5322</v>
          </cell>
        </row>
        <row r="8">
          <cell r="W8">
            <v>360</v>
          </cell>
        </row>
        <row r="9">
          <cell r="W9">
            <v>-16651.07</v>
          </cell>
        </row>
        <row r="10">
          <cell r="W10">
            <v>39718</v>
          </cell>
        </row>
        <row r="11">
          <cell r="W11">
            <v>11934</v>
          </cell>
        </row>
        <row r="12">
          <cell r="W12">
            <v>-19571</v>
          </cell>
        </row>
        <row r="13">
          <cell r="W13">
            <v>1731.6</v>
          </cell>
        </row>
        <row r="14">
          <cell r="W14">
            <v>-8264.83</v>
          </cell>
        </row>
        <row r="15">
          <cell r="W15">
            <v>5442</v>
          </cell>
        </row>
        <row r="16">
          <cell r="W16">
            <v>-8326.39</v>
          </cell>
        </row>
        <row r="17">
          <cell r="W17">
            <v>168.4</v>
          </cell>
        </row>
        <row r="18">
          <cell r="W18">
            <v>-8238</v>
          </cell>
        </row>
        <row r="19">
          <cell r="W19">
            <v>99</v>
          </cell>
        </row>
        <row r="20">
          <cell r="W20">
            <v>330</v>
          </cell>
        </row>
        <row r="21">
          <cell r="W21">
            <v>-7491.5</v>
          </cell>
        </row>
        <row r="22">
          <cell r="W22">
            <v>-8378.73</v>
          </cell>
        </row>
        <row r="23">
          <cell r="W23">
            <v>-26556.97</v>
          </cell>
        </row>
        <row r="24">
          <cell r="W24">
            <v>-10266.61</v>
          </cell>
        </row>
        <row r="25">
          <cell r="W25">
            <v>-672.83</v>
          </cell>
        </row>
        <row r="26">
          <cell r="W26">
            <v>-664</v>
          </cell>
        </row>
        <row r="27">
          <cell r="W27">
            <v>-6367.52</v>
          </cell>
        </row>
        <row r="28">
          <cell r="W28">
            <v>0.42000000000007276</v>
          </cell>
        </row>
        <row r="29">
          <cell r="W29">
            <v>0</v>
          </cell>
        </row>
        <row r="30">
          <cell r="W30">
            <v>6444535.2999999998</v>
          </cell>
        </row>
        <row r="31">
          <cell r="W31">
            <v>-716353.15</v>
          </cell>
        </row>
        <row r="32">
          <cell r="W32">
            <v>-44606</v>
          </cell>
        </row>
        <row r="33">
          <cell r="W33">
            <v>-32598</v>
          </cell>
        </row>
        <row r="34">
          <cell r="W34">
            <v>41130</v>
          </cell>
        </row>
        <row r="35">
          <cell r="W35">
            <v>8928.2000000000007</v>
          </cell>
        </row>
        <row r="36">
          <cell r="W36">
            <v>715.6</v>
          </cell>
        </row>
        <row r="37">
          <cell r="W37">
            <v>-61063</v>
          </cell>
        </row>
        <row r="38">
          <cell r="W38">
            <v>512261.3</v>
          </cell>
        </row>
        <row r="39">
          <cell r="W39">
            <v>-62503</v>
          </cell>
        </row>
        <row r="40">
          <cell r="W40">
            <v>367731.3</v>
          </cell>
        </row>
        <row r="41">
          <cell r="W41">
            <v>-226077</v>
          </cell>
        </row>
        <row r="42">
          <cell r="W42">
            <v>416628.6</v>
          </cell>
        </row>
        <row r="43">
          <cell r="W43">
            <v>0</v>
          </cell>
        </row>
        <row r="44">
          <cell r="W44">
            <v>0</v>
          </cell>
        </row>
        <row r="45">
          <cell r="W45">
            <v>1055.4000000000001</v>
          </cell>
        </row>
        <row r="46">
          <cell r="W46">
            <v>0</v>
          </cell>
        </row>
        <row r="47">
          <cell r="W47">
            <v>-1592</v>
          </cell>
        </row>
        <row r="48">
          <cell r="W48">
            <v>-7372.95</v>
          </cell>
        </row>
        <row r="49">
          <cell r="W49">
            <v>-2686.57</v>
          </cell>
        </row>
        <row r="50">
          <cell r="W50">
            <v>-1698.84</v>
          </cell>
        </row>
        <row r="51">
          <cell r="W51">
            <v>-31827774.210000001</v>
          </cell>
        </row>
        <row r="52">
          <cell r="W52">
            <v>269976</v>
          </cell>
        </row>
        <row r="53">
          <cell r="W53">
            <v>219418.2</v>
          </cell>
        </row>
        <row r="54">
          <cell r="W54">
            <v>-6162</v>
          </cell>
        </row>
        <row r="55">
          <cell r="W55">
            <v>275127.5</v>
          </cell>
        </row>
        <row r="56">
          <cell r="W56">
            <v>6870910.2000000002</v>
          </cell>
        </row>
        <row r="57">
          <cell r="W57">
            <v>29683.1</v>
          </cell>
        </row>
        <row r="58">
          <cell r="W58">
            <v>-72827.289999999994</v>
          </cell>
        </row>
        <row r="59">
          <cell r="W59">
            <v>-319634</v>
          </cell>
        </row>
        <row r="60">
          <cell r="W60">
            <v>-428172</v>
          </cell>
        </row>
        <row r="61">
          <cell r="W61">
            <v>-64144</v>
          </cell>
        </row>
        <row r="62">
          <cell r="W62">
            <v>-39956</v>
          </cell>
        </row>
        <row r="63">
          <cell r="W63">
            <v>7190</v>
          </cell>
        </row>
        <row r="64">
          <cell r="W64">
            <v>-38045.26</v>
          </cell>
        </row>
        <row r="65">
          <cell r="W65">
            <v>46250.8</v>
          </cell>
        </row>
        <row r="66">
          <cell r="W66">
            <v>0.1999999999998181</v>
          </cell>
        </row>
        <row r="67">
          <cell r="W67">
            <v>-0.29999999999995453</v>
          </cell>
        </row>
        <row r="68">
          <cell r="W68">
            <v>6091</v>
          </cell>
        </row>
        <row r="69">
          <cell r="W69">
            <v>265</v>
          </cell>
        </row>
        <row r="70">
          <cell r="W70">
            <v>-151</v>
          </cell>
        </row>
        <row r="71">
          <cell r="W71">
            <v>12328.8</v>
          </cell>
        </row>
        <row r="72">
          <cell r="W72">
            <v>-280.36</v>
          </cell>
        </row>
        <row r="73">
          <cell r="W73">
            <v>-379.05</v>
          </cell>
        </row>
        <row r="74">
          <cell r="W74">
            <v>7991.9</v>
          </cell>
        </row>
        <row r="75">
          <cell r="W75">
            <v>127891</v>
          </cell>
        </row>
        <row r="76">
          <cell r="W76">
            <v>-109107</v>
          </cell>
        </row>
        <row r="77">
          <cell r="W77">
            <v>60</v>
          </cell>
        </row>
        <row r="78">
          <cell r="W78">
            <v>40</v>
          </cell>
        </row>
        <row r="79">
          <cell r="W79">
            <v>40</v>
          </cell>
        </row>
        <row r="80">
          <cell r="W80">
            <v>2034</v>
          </cell>
        </row>
        <row r="81">
          <cell r="W81">
            <v>276</v>
          </cell>
        </row>
        <row r="82">
          <cell r="W82">
            <v>2034</v>
          </cell>
        </row>
        <row r="83">
          <cell r="W83">
            <v>-697</v>
          </cell>
        </row>
        <row r="84">
          <cell r="W84">
            <v>-113600</v>
          </cell>
        </row>
        <row r="85">
          <cell r="W85">
            <v>-373085</v>
          </cell>
        </row>
        <row r="86">
          <cell r="W86">
            <v>-16262</v>
          </cell>
        </row>
        <row r="87">
          <cell r="W87">
            <v>2075</v>
          </cell>
        </row>
        <row r="88">
          <cell r="W88">
            <v>-56268</v>
          </cell>
        </row>
        <row r="89">
          <cell r="W89">
            <v>284549.16666666669</v>
          </cell>
        </row>
        <row r="90">
          <cell r="W90">
            <v>46513.599999999999</v>
          </cell>
        </row>
        <row r="91">
          <cell r="W91">
            <v>202779</v>
          </cell>
        </row>
        <row r="92">
          <cell r="W92">
            <v>8270.2000000000007</v>
          </cell>
        </row>
        <row r="93">
          <cell r="W93">
            <v>1125281</v>
          </cell>
        </row>
        <row r="94">
          <cell r="W94">
            <v>115195</v>
          </cell>
        </row>
        <row r="95">
          <cell r="W95">
            <v>56909.833333333336</v>
          </cell>
        </row>
        <row r="96">
          <cell r="W96">
            <v>214114.8</v>
          </cell>
        </row>
        <row r="97">
          <cell r="W97">
            <v>63332.5</v>
          </cell>
        </row>
        <row r="98">
          <cell r="W98">
            <v>114696.2</v>
          </cell>
        </row>
        <row r="99">
          <cell r="W99">
            <v>4258619</v>
          </cell>
        </row>
        <row r="100">
          <cell r="W100">
            <v>180316</v>
          </cell>
        </row>
        <row r="101">
          <cell r="W101">
            <v>38252.5</v>
          </cell>
        </row>
        <row r="102">
          <cell r="W102">
            <v>294219.59999999998</v>
          </cell>
        </row>
        <row r="103">
          <cell r="W103">
            <v>215951</v>
          </cell>
        </row>
        <row r="104">
          <cell r="W104">
            <v>81079.600000000006</v>
          </cell>
        </row>
        <row r="105">
          <cell r="W105">
            <v>142857.4</v>
          </cell>
        </row>
        <row r="106">
          <cell r="W106">
            <v>217228.9</v>
          </cell>
        </row>
        <row r="107">
          <cell r="W107">
            <v>41497.9</v>
          </cell>
        </row>
        <row r="108">
          <cell r="W108">
            <v>6907</v>
          </cell>
        </row>
        <row r="109">
          <cell r="W109">
            <v>-39624</v>
          </cell>
        </row>
        <row r="110">
          <cell r="W110">
            <v>163000</v>
          </cell>
        </row>
        <row r="111">
          <cell r="W111">
            <v>-299052.44</v>
          </cell>
        </row>
        <row r="112">
          <cell r="W112">
            <v>91268.5</v>
          </cell>
        </row>
        <row r="113">
          <cell r="W113">
            <v>541081.5</v>
          </cell>
        </row>
        <row r="114">
          <cell r="W114">
            <v>451220.2</v>
          </cell>
        </row>
        <row r="115">
          <cell r="W115">
            <v>90696</v>
          </cell>
        </row>
        <row r="116">
          <cell r="W116">
            <v>54334</v>
          </cell>
        </row>
        <row r="117">
          <cell r="W117">
            <v>129178</v>
          </cell>
        </row>
        <row r="118">
          <cell r="W118">
            <v>109107</v>
          </cell>
        </row>
        <row r="119">
          <cell r="W119">
            <v>4102</v>
          </cell>
        </row>
        <row r="120">
          <cell r="W120">
            <v>265062.90000000002</v>
          </cell>
        </row>
        <row r="121">
          <cell r="W121">
            <v>26860.5</v>
          </cell>
        </row>
        <row r="122">
          <cell r="W122">
            <v>132226</v>
          </cell>
        </row>
        <row r="123">
          <cell r="W123">
            <v>18259</v>
          </cell>
        </row>
        <row r="124">
          <cell r="W124">
            <v>262362.2</v>
          </cell>
        </row>
        <row r="125">
          <cell r="W125">
            <v>114109.2</v>
          </cell>
        </row>
        <row r="126">
          <cell r="W126">
            <v>31510.799999999999</v>
          </cell>
        </row>
        <row r="127">
          <cell r="W127">
            <v>1206</v>
          </cell>
        </row>
        <row r="128">
          <cell r="W128">
            <v>463654.8</v>
          </cell>
        </row>
        <row r="129">
          <cell r="W129">
            <v>324347.3</v>
          </cell>
        </row>
        <row r="130">
          <cell r="W130">
            <v>722139.3</v>
          </cell>
        </row>
        <row r="131">
          <cell r="W131">
            <v>52956.6</v>
          </cell>
        </row>
        <row r="132">
          <cell r="W132">
            <v>16656.400000000001</v>
          </cell>
        </row>
        <row r="133">
          <cell r="W133">
            <v>6907.4</v>
          </cell>
        </row>
        <row r="134">
          <cell r="W134">
            <v>57385.4</v>
          </cell>
        </row>
        <row r="135">
          <cell r="W135">
            <v>44595</v>
          </cell>
        </row>
        <row r="136">
          <cell r="W136">
            <v>64976</v>
          </cell>
        </row>
        <row r="137">
          <cell r="W137">
            <v>1640.2</v>
          </cell>
        </row>
        <row r="138">
          <cell r="W138">
            <v>114086.8</v>
          </cell>
        </row>
        <row r="139">
          <cell r="W139">
            <v>97121.9</v>
          </cell>
        </row>
        <row r="140">
          <cell r="W140">
            <v>6638.5</v>
          </cell>
        </row>
        <row r="141">
          <cell r="W141">
            <v>72594</v>
          </cell>
        </row>
        <row r="142">
          <cell r="W142">
            <v>502.4</v>
          </cell>
        </row>
        <row r="143">
          <cell r="W143">
            <v>19656</v>
          </cell>
        </row>
        <row r="144">
          <cell r="W144">
            <v>3946</v>
          </cell>
        </row>
        <row r="145">
          <cell r="W145">
            <v>22110</v>
          </cell>
        </row>
        <row r="146">
          <cell r="W146">
            <v>33351.699999999997</v>
          </cell>
        </row>
        <row r="147">
          <cell r="W147">
            <v>-799242.85</v>
          </cell>
        </row>
        <row r="148">
          <cell r="W148">
            <v>196102.7</v>
          </cell>
        </row>
        <row r="149">
          <cell r="W149">
            <v>-196102.73</v>
          </cell>
        </row>
        <row r="150">
          <cell r="W150">
            <v>-2.2599999996309634</v>
          </cell>
        </row>
      </sheetData>
      <sheetData sheetId="1"/>
      <sheetData sheetId="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A"/>
      <sheetName val="מרכז"/>
      <sheetName val="A3a- PAJE"/>
      <sheetName val="פקודות נוספות"/>
      <sheetName val="פקודות מיון"/>
      <sheetName val="פקודות איחוד"/>
      <sheetName val="Termination of JV"/>
      <sheetName val="תזרים מזומנים A5a "/>
      <sheetName val="C-מזומנים"/>
      <sheetName val="D1-לקוחות"/>
      <sheetName val="E1- חייבים"/>
      <sheetName val="חייבים אחרים-E2"/>
      <sheetName val="רכוש קבוע-J1 "/>
      <sheetName val="השקעה-G1"/>
      <sheetName val="מעקב השקעות-G1.1"/>
      <sheetName val="קרן הון-G1.2"/>
      <sheetName val="זכאים-N"/>
      <sheetName val="הון מניות-T1"/>
      <sheetName val="מימון-U05"/>
      <sheetName val="הוצאות-U04"/>
      <sheetName val="NOTES"/>
      <sheetName val="מדדים ושע&quot;ח"/>
      <sheetName val="C.B.T "/>
      <sheetName val="הרכבה"/>
      <sheetName val="הרכבה תדירגן"/>
      <sheetName val="מאזן"/>
      <sheetName val="Office Expenses"/>
      <sheetName val="E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יצויים"/>
      <sheetName val="חופשה"/>
      <sheetName val="ח-ן השקעה "/>
      <sheetName val="הוצאות מראש"/>
      <sheetName val="הוצאות לשלם"/>
      <sheetName val="USOFT"/>
      <sheetName val="אשראי INC"/>
      <sheetName val="הלוואות "/>
      <sheetName val="חברות קשורות "/>
      <sheetName val="פרטים"/>
      <sheetName val="ניירות  ערך "/>
      <sheetName val="רכוש קבוע-SAP"/>
      <sheetName val="תזרים"/>
      <sheetName val="פקודות נוספות "/>
      <sheetName val="דמי ניהול "/>
      <sheetName val="הלוואות לחב' קשורות"/>
      <sheetName val="נס אחזקות "/>
      <sheetName val="נס טכנולוגיות"/>
      <sheetName val="SAP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אזן בוחן"/>
      <sheetName val="עו''ש ILS"/>
      <sheetName val="עו''ש USD"/>
      <sheetName val="עו''ש GBP"/>
      <sheetName val="כ. אשראי"/>
      <sheetName val="ני''ע כ. אשראי"/>
      <sheetName val="הוצאות מראש"/>
      <sheetName val="טופס פחת שקל"/>
      <sheetName val="טופס פחת דולר"/>
      <sheetName val="הוצאות לשלם"/>
      <sheetName val="ב&quot;ל ומ&quot;ה ניכויים"/>
      <sheetName val="ניכוי מס במקור ריבית"/>
      <sheetName val="עתודה לחופשה"/>
      <sheetName val="יתרת חו'ז UK"/>
      <sheetName val="דוח תמחיר"/>
      <sheetName val="דוח זקופות"/>
      <sheetName val="כרטיס 70034"/>
    </sheetNames>
    <sheetDataSet>
      <sheetData sheetId="0"/>
      <sheetData sheetId="1"/>
      <sheetData sheetId="2"/>
      <sheetData sheetId="3"/>
      <sheetData sheetId="4"/>
      <sheetData sheetId="5"/>
      <sheetData sheetId="6"/>
      <sheetData sheetId="7"/>
      <sheetData sheetId="8"/>
      <sheetData sheetId="9">
        <row r="1">
          <cell r="L1">
            <v>3.4660000000000002</v>
          </cell>
        </row>
      </sheetData>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2019"/>
      <sheetName val="GL USD"/>
      <sheetName val="GL NIS"/>
      <sheetName val="Travel Abraod"/>
      <sheetName val="Travel Abroad GL"/>
      <sheetName val="Gifts"/>
      <sheetName val="Gifts GL"/>
      <sheetName val="דו&quot;ח שווים"/>
      <sheetName val="Refreshments"/>
      <sheetName val="meals"/>
      <sheetName val="Hospitality"/>
      <sheetName val="Events"/>
      <sheetName val="ריכוז עודפות"/>
      <sheetName val="R&amp;D"/>
      <sheetName val="בעלי שליטה"/>
      <sheetName val="Tax 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0">
          <cell r="J10">
            <v>422.36599999999999</v>
          </cell>
        </row>
        <row r="12">
          <cell r="J12">
            <v>1665.7180993731092</v>
          </cell>
        </row>
        <row r="14">
          <cell r="J14">
            <v>1026</v>
          </cell>
        </row>
        <row r="16">
          <cell r="J16">
            <v>558.90000000000146</v>
          </cell>
        </row>
        <row r="18">
          <cell r="J18">
            <v>3734</v>
          </cell>
        </row>
        <row r="20">
          <cell r="J20">
            <v>4663.2999999999993</v>
          </cell>
        </row>
      </sheetData>
      <sheetData sheetId="13"/>
      <sheetData sheetId="14"/>
      <sheetData sheetId="15"/>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C8D2-9033-4069-A9C2-DB3520707F82}">
  <sheetPr codeName="Sheet1">
    <tabColor rgb="FFFFC000"/>
  </sheetPr>
  <dimension ref="A1:M46"/>
  <sheetViews>
    <sheetView tabSelected="1" zoomScale="110" zoomScaleNormal="110" workbookViewId="0">
      <pane ySplit="4" topLeftCell="A5" activePane="bottomLeft" state="frozen"/>
      <selection activeCell="A4" sqref="A4"/>
      <selection pane="bottomLeft" activeCell="K17" sqref="K17"/>
    </sheetView>
  </sheetViews>
  <sheetFormatPr defaultColWidth="9" defaultRowHeight="14.25" x14ac:dyDescent="0.2"/>
  <cols>
    <col min="1" max="1" width="4.5" style="1" bestFit="1" customWidth="1"/>
    <col min="2" max="2" width="42.75" style="1" bestFit="1" customWidth="1"/>
    <col min="3" max="5" width="11.875" style="1" customWidth="1"/>
    <col min="6" max="6" width="2" style="1" customWidth="1"/>
    <col min="7" max="7" width="11.875" style="1" bestFit="1" customWidth="1"/>
    <col min="8" max="8" width="3.125" style="1" customWidth="1"/>
    <col min="9" max="9" width="11" style="1" bestFit="1" customWidth="1"/>
    <col min="10" max="10" width="9" style="1"/>
    <col min="11" max="11" width="14.625" style="1" bestFit="1" customWidth="1"/>
    <col min="12" max="12" width="10" style="1" bestFit="1" customWidth="1"/>
    <col min="13" max="13" width="9.5" style="1" bestFit="1" customWidth="1"/>
    <col min="14" max="16384" width="9" style="1"/>
  </cols>
  <sheetData>
    <row r="1" spans="1:11" ht="12.75" customHeight="1" thickBot="1" x14ac:dyDescent="0.25"/>
    <row r="2" spans="1:11" ht="18" customHeight="1" thickBot="1" x14ac:dyDescent="0.3">
      <c r="C2" s="449">
        <v>2021</v>
      </c>
      <c r="D2" s="450"/>
      <c r="E2" s="450"/>
      <c r="F2" s="450"/>
      <c r="G2" s="451"/>
    </row>
    <row r="3" spans="1:11" ht="37.5" customHeight="1" x14ac:dyDescent="0.25">
      <c r="C3" s="22" t="s">
        <v>697</v>
      </c>
      <c r="D3" s="22" t="s">
        <v>698</v>
      </c>
      <c r="E3" s="22" t="s">
        <v>535</v>
      </c>
      <c r="G3" s="22" t="s">
        <v>699</v>
      </c>
    </row>
    <row r="4" spans="1:11" ht="10.5" customHeight="1" thickBot="1" x14ac:dyDescent="0.25">
      <c r="C4" s="452" t="s">
        <v>102</v>
      </c>
      <c r="D4" s="452"/>
      <c r="E4" s="452"/>
      <c r="G4" s="229" t="s">
        <v>103</v>
      </c>
    </row>
    <row r="5" spans="1:11" x14ac:dyDescent="0.2">
      <c r="A5" s="15">
        <v>10</v>
      </c>
      <c r="B5" s="7" t="s">
        <v>72</v>
      </c>
      <c r="C5" s="17">
        <f>SUMIF('TB LTD 2021'!A:A,'2021'!A5,'TB LTD 2021'!I:I)</f>
        <v>954502.98</v>
      </c>
      <c r="D5" s="17">
        <f>SUMIF('TB INC'!A:A,'2021'!A5,'TB INC'!F:F)</f>
        <v>17264659.919999998</v>
      </c>
      <c r="E5" s="8">
        <f>C5+D5</f>
        <v>18219162.899999999</v>
      </c>
      <c r="G5" s="160">
        <f>SUMIF('TB LTD 2021'!A:A,'2021'!A5,'TB LTD 2021'!F:F)</f>
        <v>2968504.29</v>
      </c>
      <c r="I5" s="323">
        <f>G5/C5</f>
        <v>3.1100000232581779</v>
      </c>
      <c r="K5" s="208"/>
    </row>
    <row r="6" spans="1:11" x14ac:dyDescent="0.2">
      <c r="A6" s="20">
        <v>11</v>
      </c>
      <c r="B6" s="3" t="s">
        <v>73</v>
      </c>
      <c r="C6" s="19">
        <f>SUMIF('TB LTD 2021'!A:A,'2021'!A6,'TB LTD 2021'!I:I)</f>
        <v>32165.01</v>
      </c>
      <c r="D6" s="19">
        <f>SUMIF('TB INC'!A:A,'2021'!A6,'TB INC'!F:F)</f>
        <v>0</v>
      </c>
      <c r="E6" s="10">
        <f t="shared" ref="E6:E31" si="0">C6+D6</f>
        <v>32165.01</v>
      </c>
      <c r="G6" s="161">
        <f>SUMIF('TB LTD 2021'!A:A,'2021'!A6,'TB LTD 2021'!D:D)</f>
        <v>100033.18</v>
      </c>
      <c r="I6" s="323">
        <f>G6/C6</f>
        <v>3.1099999658013475</v>
      </c>
    </row>
    <row r="7" spans="1:11" x14ac:dyDescent="0.2">
      <c r="A7" s="20">
        <v>12</v>
      </c>
      <c r="B7" s="3" t="s">
        <v>74</v>
      </c>
      <c r="C7" s="231">
        <f>SUMIF('TB LTD 2021'!A:A,'2021'!A7,'TB LTD 2021'!I:I)</f>
        <v>0</v>
      </c>
      <c r="D7" s="231">
        <f>SUMIF('TB INC'!A:A,'2021'!A7,'TB INC'!F:F)</f>
        <v>0</v>
      </c>
      <c r="E7" s="10">
        <f t="shared" si="0"/>
        <v>0</v>
      </c>
      <c r="G7" s="161">
        <f>SUMIF('TB LTD 2021'!A:A,'2021'!A7,'TB LTD 2021'!D:D)</f>
        <v>0</v>
      </c>
      <c r="I7" s="323"/>
    </row>
    <row r="8" spans="1:11" x14ac:dyDescent="0.2">
      <c r="A8" s="20">
        <v>13</v>
      </c>
      <c r="B8" s="3" t="s">
        <v>75</v>
      </c>
      <c r="C8" s="10">
        <f>SUMIF('TB LTD 2021'!A:A,'2021'!A8,'TB LTD 2021'!I:I)</f>
        <v>7516.82</v>
      </c>
      <c r="D8" s="10">
        <f>SUMIF('TB INC'!A:A,'2021'!A8,'TB INC'!F:F)</f>
        <v>9166.67</v>
      </c>
      <c r="E8" s="10">
        <f t="shared" si="0"/>
        <v>16683.489999999998</v>
      </c>
      <c r="G8" s="161">
        <f>SUMIF('TB LTD 2021'!A:A,'2021'!A8,'TB LTD 2021'!F:F)</f>
        <v>24476.7</v>
      </c>
      <c r="I8" s="323">
        <f>G8/C8</f>
        <v>3.2562573002945396</v>
      </c>
      <c r="K8" s="208"/>
    </row>
    <row r="9" spans="1:11" x14ac:dyDescent="0.2">
      <c r="A9" s="20">
        <v>14</v>
      </c>
      <c r="B9" s="3" t="s">
        <v>76</v>
      </c>
      <c r="C9" s="10">
        <f>SUMIF('TB LTD 2021'!A:A,'2021'!A9,'TB LTD 2021'!I:I)</f>
        <v>42827.319999999992</v>
      </c>
      <c r="D9" s="10">
        <f>SUMIF('TB INC'!A:A,'2021'!A9,'TB INC'!F:F)</f>
        <v>1000</v>
      </c>
      <c r="E9" s="10">
        <f t="shared" si="0"/>
        <v>43827.319999999992</v>
      </c>
      <c r="G9" s="161">
        <f>SUMIF('TB LTD 2021'!A:A,'2021'!A9,'TB LTD 2021'!F:F)</f>
        <v>133234.79999999999</v>
      </c>
      <c r="I9" s="323">
        <f t="shared" ref="I9:I13" si="1">G9/C9</f>
        <v>3.1109768250733412</v>
      </c>
      <c r="K9" s="208"/>
    </row>
    <row r="10" spans="1:11" x14ac:dyDescent="0.2">
      <c r="A10" s="20">
        <v>27</v>
      </c>
      <c r="B10" s="3" t="s">
        <v>77</v>
      </c>
      <c r="C10" s="10">
        <f>SUMIF('TB LTD 2021'!A:A,'2021'!A10,'TB LTD 2021'!I:I)</f>
        <v>212051.74</v>
      </c>
      <c r="D10" s="10">
        <f>SUMIF('TB INC'!A:A,'2021'!A10,'TB INC'!F:F)</f>
        <v>2151.2600000000002</v>
      </c>
      <c r="E10" s="10">
        <f t="shared" si="0"/>
        <v>214203</v>
      </c>
      <c r="G10" s="161">
        <f>SUMIF('TB LTD 2021'!A:A,'2021'!A10,'TB LTD 2021'!F:F)</f>
        <v>684157.79</v>
      </c>
      <c r="I10" s="323">
        <f t="shared" si="1"/>
        <v>3.2263719694070891</v>
      </c>
      <c r="K10" s="208"/>
    </row>
    <row r="11" spans="1:11" x14ac:dyDescent="0.2">
      <c r="A11" s="20">
        <v>28</v>
      </c>
      <c r="B11" s="3" t="s">
        <v>78</v>
      </c>
      <c r="C11" s="10">
        <f>SUMIF('TB LTD 2021'!A:A,'2021'!A11,'TB LTD 2021'!I:I)</f>
        <v>-22802.500000000004</v>
      </c>
      <c r="D11" s="10">
        <f>SUMIF('TB INC'!A:A,'2021'!A11,'TB INC'!F:F)</f>
        <v>-537.84</v>
      </c>
      <c r="E11" s="10">
        <f t="shared" si="0"/>
        <v>-23340.340000000004</v>
      </c>
      <c r="G11" s="161">
        <f>SUMIF('TB LTD 2021'!A:A,'2021'!A11,'TB LTD 2021'!F:F)</f>
        <v>-78512.75</v>
      </c>
      <c r="I11" s="323">
        <f t="shared" si="1"/>
        <v>3.4431641267404882</v>
      </c>
      <c r="K11" s="208"/>
    </row>
    <row r="12" spans="1:11" x14ac:dyDescent="0.2">
      <c r="A12" s="20">
        <v>29</v>
      </c>
      <c r="B12" s="3" t="s">
        <v>79</v>
      </c>
      <c r="C12" s="10">
        <f>SUMIF('TB LTD 2021'!A:A,'2021'!A12,'TB LTD 2021'!I:I)</f>
        <v>0</v>
      </c>
      <c r="D12" s="10">
        <f>SUMIF('TB INC'!A:A,'2021'!A12,'TB INC'!F:F)</f>
        <v>0</v>
      </c>
      <c r="E12" s="10">
        <f t="shared" si="0"/>
        <v>0</v>
      </c>
      <c r="G12" s="27">
        <f>SUMIF('TB LTD 2021'!A:A,'2021'!A12,'TB LTD 2021'!D:D)</f>
        <v>0</v>
      </c>
      <c r="I12" s="323"/>
    </row>
    <row r="13" spans="1:11" ht="15.75" thickBot="1" x14ac:dyDescent="0.3">
      <c r="A13" s="11"/>
      <c r="B13" s="12"/>
      <c r="C13" s="24">
        <f>SUM(C5:C12)</f>
        <v>1226261.3699999999</v>
      </c>
      <c r="D13" s="24">
        <f>SUM(D5:D12)</f>
        <v>17276440.010000002</v>
      </c>
      <c r="E13" s="24">
        <f t="shared" si="0"/>
        <v>18502701.380000003</v>
      </c>
      <c r="G13" s="25">
        <f>SUM(G5:G12)</f>
        <v>3831894.0100000002</v>
      </c>
      <c r="I13" s="323">
        <f t="shared" si="1"/>
        <v>3.1248591073206526</v>
      </c>
      <c r="K13" s="208"/>
    </row>
    <row r="14" spans="1:11" ht="6.75" customHeight="1" thickBot="1" x14ac:dyDescent="0.25">
      <c r="I14" s="323"/>
      <c r="K14" s="208"/>
    </row>
    <row r="15" spans="1:11" x14ac:dyDescent="0.2">
      <c r="A15" s="15">
        <v>31</v>
      </c>
      <c r="B15" s="16" t="s">
        <v>105</v>
      </c>
      <c r="C15" s="17">
        <f>SUMIF('TB LTD 2021'!A:A,'2021'!A15,'TB LTD 2021'!I:I)</f>
        <v>-51470.630000000005</v>
      </c>
      <c r="D15" s="17">
        <f>SUMIF('TB INC'!A:A,'2021'!A15,'TB INC'!F:F)</f>
        <v>-3196.5899999999997</v>
      </c>
      <c r="E15" s="17">
        <f t="shared" si="0"/>
        <v>-54667.22</v>
      </c>
      <c r="G15" s="164">
        <f>SUMIF('TB LTD 2021'!A:A,'2021'!A15,'TB LTD 2021'!F:F)</f>
        <v>21521.959999999908</v>
      </c>
      <c r="I15" s="323">
        <f t="shared" ref="I15:I31" si="2">G15/C15</f>
        <v>-0.41814059785162733</v>
      </c>
      <c r="K15" s="208"/>
    </row>
    <row r="16" spans="1:11" x14ac:dyDescent="0.2">
      <c r="A16" s="18">
        <v>32</v>
      </c>
      <c r="B16" s="13" t="s">
        <v>106</v>
      </c>
      <c r="C16" s="19">
        <f>SUMIF('TB LTD 2021'!A:A,'2021'!A16,'TB LTD 2021'!I:I)</f>
        <v>-19628.740000000005</v>
      </c>
      <c r="D16" s="19">
        <f>SUMIF('TB INC'!A:A,'2021'!A16,'TB INC'!F:F)</f>
        <v>-10458.64</v>
      </c>
      <c r="E16" s="19">
        <f t="shared" si="0"/>
        <v>-30087.380000000005</v>
      </c>
      <c r="G16" s="165">
        <f>SUMIF('TB LTD 2021'!A:A,'2021'!A16,'TB LTD 2021'!F:F)</f>
        <v>-247344.38</v>
      </c>
      <c r="I16" s="323">
        <f t="shared" si="2"/>
        <v>12.601133847613241</v>
      </c>
      <c r="K16" s="208"/>
    </row>
    <row r="17" spans="1:13" x14ac:dyDescent="0.2">
      <c r="A17" s="20">
        <v>33</v>
      </c>
      <c r="B17" s="13" t="s">
        <v>80</v>
      </c>
      <c r="C17" s="19">
        <f>SUMIF('TB LTD 2021'!A:A,'2021'!A17,'TB LTD 2021'!I:I)</f>
        <v>-142655.31999999995</v>
      </c>
      <c r="D17" s="19">
        <f>SUMIF('TB INC'!A:A,'2021'!A17,'TB INC'!F:F)</f>
        <v>0</v>
      </c>
      <c r="E17" s="19">
        <f t="shared" si="0"/>
        <v>-142655.31999999995</v>
      </c>
      <c r="G17" s="165">
        <f>SUMIF('TB LTD 2021'!A:A,'2021'!A17,'TB LTD 2021'!F:F)</f>
        <v>-443776.38</v>
      </c>
      <c r="I17" s="323">
        <f t="shared" si="2"/>
        <v>3.1108295155063277</v>
      </c>
      <c r="K17" s="208"/>
    </row>
    <row r="18" spans="1:13" x14ac:dyDescent="0.2">
      <c r="A18" s="18">
        <v>34</v>
      </c>
      <c r="B18" s="13" t="s">
        <v>81</v>
      </c>
      <c r="C18" s="19">
        <f>SUMIF('TB LTD 2021'!A:A,'2021'!A18,'TB LTD 2021'!I:I)</f>
        <v>-99386.709999999992</v>
      </c>
      <c r="D18" s="19">
        <f>SUMIF('TB INC'!A:A,'2021'!A18,'TB INC'!F:F)</f>
        <v>0</v>
      </c>
      <c r="E18" s="19">
        <f t="shared" si="0"/>
        <v>-99386.709999999992</v>
      </c>
      <c r="G18" s="165">
        <f>SUMIF('TB LTD 2021'!A:A,'2021'!A18,'TB LTD 2021'!F:F)</f>
        <v>-309092.68</v>
      </c>
      <c r="I18" s="323">
        <f t="shared" si="2"/>
        <v>3.1100001197343188</v>
      </c>
      <c r="K18" s="208"/>
    </row>
    <row r="19" spans="1:13" x14ac:dyDescent="0.2">
      <c r="A19" s="20">
        <v>35</v>
      </c>
      <c r="B19" s="13" t="s">
        <v>82</v>
      </c>
      <c r="C19" s="19">
        <f>SUMIF('TB LTD 2021'!A:A,'2021'!A19,'TB LTD 2021'!I:I)</f>
        <v>0</v>
      </c>
      <c r="D19" s="19">
        <f>SUMIF('TB INC'!A:A,'2021'!A19,'TB INC'!F:F)</f>
        <v>0</v>
      </c>
      <c r="E19" s="19">
        <f t="shared" si="0"/>
        <v>0</v>
      </c>
      <c r="G19" s="165">
        <f>SUMIF('TB LTD 2021'!A:A,'2021'!A19,'TB LTD 2021'!F:F)</f>
        <v>0</v>
      </c>
      <c r="I19" s="323"/>
      <c r="K19" s="208"/>
    </row>
    <row r="20" spans="1:13" x14ac:dyDescent="0.2">
      <c r="A20" s="18">
        <v>36</v>
      </c>
      <c r="B20" s="1" t="s">
        <v>83</v>
      </c>
      <c r="C20" s="19">
        <f>SUMIF('TB LTD 2021'!A:A,'2021'!A20,'TB LTD 2021'!I:I)</f>
        <v>-4886951.8677318022</v>
      </c>
      <c r="D20" s="19">
        <f>SUMIF('TB INC'!A:A,'2021'!A20,'TB INC'!F:F)</f>
        <v>4886951.5577318026</v>
      </c>
      <c r="E20" s="19">
        <f t="shared" si="0"/>
        <v>-0.30999999959021807</v>
      </c>
      <c r="G20" s="29">
        <f>SUMIF('TB LTD 2021'!A:A,'2021'!A20,'TB LTD 2021'!F:F)</f>
        <v>-16198517.642053131</v>
      </c>
      <c r="I20" s="323">
        <f t="shared" si="2"/>
        <v>3.3146464463893737</v>
      </c>
    </row>
    <row r="21" spans="1:13" x14ac:dyDescent="0.2">
      <c r="A21" s="20">
        <v>37</v>
      </c>
      <c r="B21" s="13" t="s">
        <v>84</v>
      </c>
      <c r="C21" s="19">
        <f>SUMIF('TB LTD 2021'!A:A,'2021'!A21,'TB LTD 2021'!I:I)</f>
        <v>0</v>
      </c>
      <c r="D21" s="19">
        <f>SUMIF('TB INC'!A:A,'2021'!A21,'TB INC'!F:F)</f>
        <v>0</v>
      </c>
      <c r="E21" s="19">
        <f t="shared" si="0"/>
        <v>0</v>
      </c>
      <c r="G21" s="29">
        <f>SUMIF('TB LTD 2021'!A:A,'2021'!A21,'TB LTD 2021'!F:F)</f>
        <v>0</v>
      </c>
      <c r="I21" s="323"/>
      <c r="K21" s="5"/>
    </row>
    <row r="22" spans="1:13" x14ac:dyDescent="0.2">
      <c r="A22" s="20">
        <v>40</v>
      </c>
      <c r="B22" s="13" t="s">
        <v>85</v>
      </c>
      <c r="C22" s="19">
        <f>SUMIF('TB LTD 2021'!A:A,'2021'!A22,'TB LTD 2021'!I:I)</f>
        <v>0</v>
      </c>
      <c r="D22" s="19">
        <f>SUMIF('TB INC'!A:A,'2021'!A22,'TB INC'!F:F)</f>
        <v>-20105</v>
      </c>
      <c r="E22" s="19">
        <f t="shared" ref="E22:E23" si="3">C22+D22</f>
        <v>-20105</v>
      </c>
      <c r="G22" s="29"/>
      <c r="I22" s="323"/>
      <c r="K22" s="5"/>
    </row>
    <row r="23" spans="1:13" x14ac:dyDescent="0.2">
      <c r="A23" s="20">
        <v>42</v>
      </c>
      <c r="B23" s="13" t="s">
        <v>1035</v>
      </c>
      <c r="C23" s="19">
        <f>SUMIF('TB LTD 2021'!A:A,'2021'!A23,'TB LTD 2021'!I:I)</f>
        <v>0</v>
      </c>
      <c r="D23" s="19">
        <f>SUMIF('TB INC'!A:A,'2021'!A23,'TB INC'!F:F)</f>
        <v>-16000</v>
      </c>
      <c r="E23" s="19">
        <f t="shared" si="3"/>
        <v>-16000</v>
      </c>
      <c r="G23" s="29"/>
      <c r="I23" s="323"/>
      <c r="K23" s="5"/>
    </row>
    <row r="24" spans="1:13" x14ac:dyDescent="0.2">
      <c r="A24" s="20">
        <v>43</v>
      </c>
      <c r="B24" s="13" t="s">
        <v>86</v>
      </c>
      <c r="C24" s="19">
        <f>SUMIF('TB LTD 2021'!A:A,'2021'!A22,'TB LTD 2021'!I:I)</f>
        <v>0</v>
      </c>
      <c r="D24" s="19">
        <f>SUMIF('TB INC'!A:A,'2021'!A24,'TB INC'!F:F)</f>
        <v>-10363.64</v>
      </c>
      <c r="E24" s="19">
        <f>C24+D24</f>
        <v>-10363.64</v>
      </c>
      <c r="G24" s="29">
        <f>SUMIF('TB LTD 2021'!A:A,'2021'!A22,'TB LTD 2021'!F:F)</f>
        <v>0</v>
      </c>
      <c r="I24" s="323"/>
      <c r="K24" s="208"/>
    </row>
    <row r="25" spans="1:13" x14ac:dyDescent="0.2">
      <c r="A25" s="18">
        <v>41</v>
      </c>
      <c r="B25" s="13" t="s">
        <v>88</v>
      </c>
      <c r="C25" s="19">
        <f>SUMIF('TB LTD 2021'!A:A,'2021'!A25,'TB LTD 2021'!I:I)</f>
        <v>0</v>
      </c>
      <c r="D25" s="19">
        <f>SUMIF('TB INC'!A:A,'2021'!A25,'TB INC'!F:F)</f>
        <v>-22214001.359999999</v>
      </c>
      <c r="E25" s="19">
        <f t="shared" si="0"/>
        <v>-22214001.359999999</v>
      </c>
      <c r="G25" s="29">
        <f>SUMIF('TB LTD 2021'!A:A,'2021'!A25,'TB LTD 2021'!F:F)</f>
        <v>0</v>
      </c>
      <c r="I25" s="323"/>
      <c r="K25" s="208"/>
    </row>
    <row r="26" spans="1:13" x14ac:dyDescent="0.2">
      <c r="A26" s="20">
        <v>44</v>
      </c>
      <c r="B26" s="13" t="s">
        <v>87</v>
      </c>
      <c r="C26" s="19">
        <f>SUMIF('TB LTD 2021'!A:A,'2021'!A26,'TB LTD 2021'!I:I)</f>
        <v>0</v>
      </c>
      <c r="D26" s="19">
        <f>SUMIF('TB INC'!A:A,'2021'!A26,'TB INC'!F:F)</f>
        <v>208091.78</v>
      </c>
      <c r="E26" s="19">
        <f t="shared" si="0"/>
        <v>208091.78</v>
      </c>
      <c r="G26" s="165">
        <f>SUMIF('TB LTD 2021'!A:A,'2021'!A26,'TB LTD 2021'!F:F)</f>
        <v>0</v>
      </c>
      <c r="I26" s="323" t="e">
        <f t="shared" si="2"/>
        <v>#DIV/0!</v>
      </c>
      <c r="K26" s="208"/>
    </row>
    <row r="27" spans="1:13" x14ac:dyDescent="0.2">
      <c r="A27" s="20">
        <v>46</v>
      </c>
      <c r="B27" s="13" t="s">
        <v>89</v>
      </c>
      <c r="C27" s="19">
        <f>SUMIF('TB LTD 2021'!A:A,'2021'!A27,'TB LTD 2021'!I:I)</f>
        <v>0</v>
      </c>
      <c r="D27" s="19">
        <f>SUMIF('TB INC'!A:A,'2021'!A27,'TB INC'!F:F)</f>
        <v>-73733.428030378534</v>
      </c>
      <c r="E27" s="19">
        <f t="shared" si="0"/>
        <v>-73733.428030378534</v>
      </c>
      <c r="G27" s="165">
        <f>SUMIF('TB LTD 2021'!A:A,'2021'!A27,'TB LTD 2021'!F:F)</f>
        <v>0</v>
      </c>
      <c r="I27" s="323"/>
      <c r="K27" s="208"/>
    </row>
    <row r="28" spans="1:13" x14ac:dyDescent="0.2">
      <c r="A28" s="18">
        <v>47</v>
      </c>
      <c r="B28" s="13" t="s">
        <v>90</v>
      </c>
      <c r="C28" s="19">
        <f>SUMIF('TB LTD 2021'!A:A,'2021'!A28,'TB LTD 2021'!I:I)</f>
        <v>0</v>
      </c>
      <c r="D28" s="19">
        <f>SUMIF('TB INC'!A:A,'2021'!A28,'TB INC'!F:F)</f>
        <v>0</v>
      </c>
      <c r="E28" s="19">
        <f t="shared" si="0"/>
        <v>0</v>
      </c>
      <c r="G28" s="165">
        <f>SUMIF('TB LTD 2021'!A:A,'2021'!A28,'TB LTD 2021'!F:F)</f>
        <v>0</v>
      </c>
      <c r="I28" s="323"/>
    </row>
    <row r="29" spans="1:13" x14ac:dyDescent="0.2">
      <c r="A29" s="20">
        <v>48</v>
      </c>
      <c r="B29" s="14" t="s">
        <v>91</v>
      </c>
      <c r="C29" s="19">
        <f>SUMIF('TB LTD 2021'!A:A,'2021'!A29,'TB LTD 2021'!I:I)</f>
        <v>1249522.6399999999</v>
      </c>
      <c r="D29" s="19">
        <f>SUMIF('TB INC'!A:A,'2021'!A29,'TB INC'!F:F)</f>
        <v>-1413.1599999993668</v>
      </c>
      <c r="E29" s="19">
        <f t="shared" si="0"/>
        <v>1248109.4800000004</v>
      </c>
      <c r="G29" s="165">
        <f>SUMIF('TB LTD 2021'!A:A,'2021'!A29,'TB LTD 2021'!F:F)</f>
        <v>4501657.54</v>
      </c>
      <c r="I29" s="323">
        <f t="shared" si="2"/>
        <v>3.6027018606081445</v>
      </c>
    </row>
    <row r="30" spans="1:13" x14ac:dyDescent="0.2">
      <c r="A30" s="20"/>
      <c r="B30" s="13" t="s">
        <v>92</v>
      </c>
      <c r="C30" s="19">
        <f>C43</f>
        <v>2724309.2577318032</v>
      </c>
      <c r="D30" s="19">
        <f>D43</f>
        <v>-22211.529701424304</v>
      </c>
      <c r="E30" s="19">
        <f t="shared" si="0"/>
        <v>2702097.7280303789</v>
      </c>
      <c r="G30" s="29">
        <f>G43</f>
        <v>8843657.5720531289</v>
      </c>
      <c r="I30" s="323">
        <f t="shared" si="2"/>
        <v>3.2462017837931341</v>
      </c>
      <c r="K30" s="323"/>
      <c r="L30" s="5"/>
      <c r="M30" s="208"/>
    </row>
    <row r="31" spans="1:13" ht="15.75" thickBot="1" x14ac:dyDescent="0.3">
      <c r="A31" s="11"/>
      <c r="B31" s="12"/>
      <c r="C31" s="26">
        <f>SUM(C15:C30)</f>
        <v>-1226261.3699999996</v>
      </c>
      <c r="D31" s="26">
        <f>SUM(D15:D30)</f>
        <v>-17276440.009999998</v>
      </c>
      <c r="E31" s="26">
        <f t="shared" si="0"/>
        <v>-18502701.379999999</v>
      </c>
      <c r="G31" s="25">
        <f>SUM(G15:G30)</f>
        <v>-3831894.0100000035</v>
      </c>
      <c r="I31" s="323">
        <f t="shared" si="2"/>
        <v>3.1248591073206557</v>
      </c>
      <c r="K31" s="323"/>
      <c r="L31" s="5"/>
      <c r="M31" s="208"/>
    </row>
    <row r="32" spans="1:13" x14ac:dyDescent="0.2">
      <c r="C32" s="4" t="str">
        <f>IF(ROUND(C31+C13,0)=0,"OK","CHECK")</f>
        <v>OK</v>
      </c>
      <c r="D32" s="4" t="str">
        <f>IF(ROUND(D31+D13,0)=0,"OK","CHECK")</f>
        <v>OK</v>
      </c>
      <c r="E32" s="4" t="str">
        <f>IF(ROUND(E31+E13,0)=0,"OK","CHECK")</f>
        <v>OK</v>
      </c>
      <c r="G32" s="4" t="str">
        <f>IF(ROUND(G31+G13,0)=0,"OK","CHECK")</f>
        <v>OK</v>
      </c>
      <c r="I32" s="323"/>
    </row>
    <row r="33" spans="1:11" x14ac:dyDescent="0.2">
      <c r="C33" s="5"/>
      <c r="D33" s="5"/>
      <c r="E33" s="5"/>
      <c r="I33" s="323"/>
    </row>
    <row r="34" spans="1:11" ht="15" thickBot="1" x14ac:dyDescent="0.25">
      <c r="C34" s="5">
        <f>C13+C31</f>
        <v>0</v>
      </c>
      <c r="D34" s="5">
        <f>D13+D31</f>
        <v>0</v>
      </c>
      <c r="E34" s="5"/>
      <c r="I34" s="323"/>
    </row>
    <row r="35" spans="1:11" x14ac:dyDescent="0.2">
      <c r="A35" s="6">
        <v>51</v>
      </c>
      <c r="B35" s="21" t="s">
        <v>93</v>
      </c>
      <c r="C35" s="8">
        <f>SUMIF('TB LTD 2021'!A:A,'2021'!A35,'TB LTD 2021'!I:I)</f>
        <v>404004.91671566607</v>
      </c>
      <c r="D35" s="8">
        <f>SUMIF('TB INC'!A:A,'2021'!A35,'TB INC'!F:F)</f>
        <v>-404004.91671566607</v>
      </c>
      <c r="E35" s="8">
        <f t="shared" ref="E35:E43" si="4">C35+D35</f>
        <v>0</v>
      </c>
      <c r="G35" s="28">
        <f>SUMIF('TB LTD 2021'!A:A,'2021'!A35,'TB LTD 2021'!F:F)</f>
        <v>1279228.3310857213</v>
      </c>
      <c r="I35" s="323">
        <f t="shared" ref="I35:I43" si="5">G35/C35</f>
        <v>3.1663682251323371</v>
      </c>
      <c r="K35" s="208"/>
    </row>
    <row r="36" spans="1:11" x14ac:dyDescent="0.2">
      <c r="A36" s="18">
        <v>52</v>
      </c>
      <c r="B36" s="1" t="s">
        <v>94</v>
      </c>
      <c r="C36" s="10">
        <f>SUMIF('TB LTD 2021'!A:A,'2021'!A36,'TB LTD 2021'!I:I)</f>
        <v>0</v>
      </c>
      <c r="D36" s="10">
        <f>SUMIF('TB INC'!A:A,'2021'!A36,'TB INC'!F:F)</f>
        <v>0</v>
      </c>
      <c r="E36" s="10">
        <f t="shared" si="4"/>
        <v>0</v>
      </c>
      <c r="G36" s="29">
        <f>SUMIF('TB LTD 2021'!A:A,'2021'!A36,'TB LTD 2021'!F:F)</f>
        <v>0</v>
      </c>
      <c r="I36" s="323"/>
      <c r="K36" s="208"/>
    </row>
    <row r="37" spans="1:11" x14ac:dyDescent="0.2">
      <c r="A37" s="18">
        <v>53</v>
      </c>
      <c r="B37" s="1" t="s">
        <v>95</v>
      </c>
      <c r="C37" s="10">
        <f>SUMIF('TB LTD 2021'!A:A,'2021'!A37,'TB LTD 2021'!I:I)</f>
        <v>1649670.9873663043</v>
      </c>
      <c r="D37" s="10">
        <f>SUMIF('TB INC'!A:A,'2021'!A37,'TB INC'!F:F)</f>
        <v>0</v>
      </c>
      <c r="E37" s="10">
        <f t="shared" si="4"/>
        <v>1649670.9873663043</v>
      </c>
      <c r="G37" s="165">
        <f>SUMIF('TB LTD 2021'!A:A,'2021'!A37,'TB LTD 2021'!F:F)</f>
        <v>5316284.8032423789</v>
      </c>
      <c r="I37" s="323">
        <f t="shared" si="5"/>
        <v>3.2226333880853506</v>
      </c>
      <c r="K37" s="208"/>
    </row>
    <row r="38" spans="1:11" x14ac:dyDescent="0.2">
      <c r="A38" s="18">
        <v>54</v>
      </c>
      <c r="B38" s="1" t="s">
        <v>96</v>
      </c>
      <c r="C38" s="10">
        <f>SUMIF('TB LTD 2021'!A:A,'2021'!A38,'TB LTD 2021'!I:I)</f>
        <v>236159.02250245732</v>
      </c>
      <c r="D38" s="10">
        <f>SUMIF('TB INC'!A:A,'2021'!A38,'TB INC'!F:F)</f>
        <v>210191.13677180599</v>
      </c>
      <c r="E38" s="10">
        <f t="shared" si="4"/>
        <v>446350.15927426331</v>
      </c>
      <c r="G38" s="165">
        <f>SUMIF('TB LTD 2021'!A:A,'2021'!A38,'TB LTD 2021'!F:F)</f>
        <v>761002.13878393522</v>
      </c>
      <c r="I38" s="323">
        <f t="shared" si="5"/>
        <v>3.2224139934184253</v>
      </c>
      <c r="K38" s="208"/>
    </row>
    <row r="39" spans="1:11" x14ac:dyDescent="0.2">
      <c r="A39" s="18">
        <v>55</v>
      </c>
      <c r="B39" s="1" t="s">
        <v>97</v>
      </c>
      <c r="C39" s="10">
        <f>SUMIF('TB LTD 2021'!A:A,'2021'!A39,'TB LTD 2021'!I:I)</f>
        <v>459595.77114737529</v>
      </c>
      <c r="D39" s="10">
        <f>SUMIF('TB INC'!A:A,'2021'!A39,'TB INC'!F:F)</f>
        <v>157086.06024243578</v>
      </c>
      <c r="E39" s="10">
        <f t="shared" si="4"/>
        <v>616681.83138981112</v>
      </c>
      <c r="G39" s="165">
        <f>SUMIF('TB LTD 2021'!A:A,'2021'!A39,'TB LTD 2021'!F:F)</f>
        <v>1479453.9089410934</v>
      </c>
      <c r="I39" s="323">
        <f t="shared" si="5"/>
        <v>3.2190329019948432</v>
      </c>
      <c r="K39" s="208"/>
    </row>
    <row r="40" spans="1:11" x14ac:dyDescent="0.2">
      <c r="A40" s="18">
        <v>59</v>
      </c>
      <c r="B40" s="1" t="s">
        <v>98</v>
      </c>
      <c r="C40" s="10">
        <f>SUMIF('TB LTD 2021'!A:A,'2021'!A40,'TB LTD 2021'!I:I)</f>
        <v>0</v>
      </c>
      <c r="D40" s="10">
        <f>SUMIF('TB INC'!A:A,'2021'!A40,'TB INC'!F:F)</f>
        <v>0</v>
      </c>
      <c r="E40" s="10">
        <f t="shared" si="4"/>
        <v>0</v>
      </c>
      <c r="G40" s="29">
        <f>SUMIF('TB LTD 2021'!A:A,'2021'!A40,'TB LTD 2021'!F:F)</f>
        <v>0</v>
      </c>
      <c r="I40" s="323"/>
      <c r="K40" s="208"/>
    </row>
    <row r="41" spans="1:11" x14ac:dyDescent="0.2">
      <c r="A41" s="18">
        <v>56</v>
      </c>
      <c r="B41" s="1" t="s">
        <v>99</v>
      </c>
      <c r="C41" s="10">
        <f>SUMIF('TB LTD 2021'!A:A,'2021'!A41,'TB LTD 2021'!I:I)</f>
        <v>-25121.439999999999</v>
      </c>
      <c r="D41" s="10">
        <f>SUMIF('TB INC'!A:A,'2021'!A41,'TB INC'!F:F)</f>
        <v>3437.09</v>
      </c>
      <c r="E41" s="10">
        <f t="shared" si="4"/>
        <v>-21684.35</v>
      </c>
      <c r="G41" s="165">
        <f>SUMIF('TB LTD 2021'!A:A,'2021'!A41,'TB LTD 2021'!F:F)</f>
        <v>7688.3900000000367</v>
      </c>
      <c r="I41" s="323">
        <f t="shared" si="5"/>
        <v>-0.30604893668515964</v>
      </c>
      <c r="K41" s="208"/>
    </row>
    <row r="42" spans="1:11" x14ac:dyDescent="0.2">
      <c r="A42" s="2">
        <v>58</v>
      </c>
      <c r="B42" s="1" t="s">
        <v>100</v>
      </c>
      <c r="C42" s="10">
        <f>SUMIF('TB LTD 2021'!A:A,'2021'!A42,'TB LTD 2021'!I:I)</f>
        <v>0</v>
      </c>
      <c r="D42" s="10">
        <f>SUMIF('TB INC'!A:A,'2021'!A42,'TB INC'!F:F)</f>
        <v>11079.099999999999</v>
      </c>
      <c r="E42" s="10">
        <f t="shared" si="4"/>
        <v>11079.099999999999</v>
      </c>
      <c r="G42" s="29">
        <f>SUMIF('TB LTD 2021'!A:A,'2021'!A42,'TB LTD 2021'!F:F)</f>
        <v>0</v>
      </c>
      <c r="I42" s="323"/>
      <c r="K42" s="208"/>
    </row>
    <row r="43" spans="1:11" ht="15.75" thickBot="1" x14ac:dyDescent="0.3">
      <c r="A43" s="11"/>
      <c r="B43" s="12" t="s">
        <v>104</v>
      </c>
      <c r="C43" s="26">
        <f>SUM(C35:C42)</f>
        <v>2724309.2577318032</v>
      </c>
      <c r="D43" s="26">
        <f>SUM(D35:D42)</f>
        <v>-22211.529701424304</v>
      </c>
      <c r="E43" s="26">
        <f t="shared" si="4"/>
        <v>2702097.7280303789</v>
      </c>
      <c r="G43" s="25">
        <f>SUM(G35:G42)</f>
        <v>8843657.5720531289</v>
      </c>
      <c r="I43" s="323">
        <f t="shared" si="5"/>
        <v>3.2462017837931341</v>
      </c>
      <c r="K43" s="208"/>
    </row>
    <row r="45" spans="1:11" x14ac:dyDescent="0.2">
      <c r="C45" s="5"/>
      <c r="D45" s="5"/>
      <c r="E45" s="5"/>
    </row>
    <row r="46" spans="1:11" x14ac:dyDescent="0.2">
      <c r="K46" s="323"/>
    </row>
  </sheetData>
  <mergeCells count="2">
    <mergeCell ref="C2:G2"/>
    <mergeCell ref="C4: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E853E-5150-4288-944E-C545CEDC4403}">
  <sheetPr codeName="Sheet2" filterMode="1">
    <tabColor rgb="FF92D050"/>
  </sheetPr>
  <dimension ref="A1:U280"/>
  <sheetViews>
    <sheetView zoomScaleNormal="100" workbookViewId="0">
      <pane ySplit="2" topLeftCell="A3" activePane="bottomLeft" state="frozen"/>
      <selection activeCell="A2" sqref="A2"/>
      <selection pane="bottomLeft" activeCell="C4" sqref="C3:C4"/>
    </sheetView>
  </sheetViews>
  <sheetFormatPr defaultRowHeight="15" x14ac:dyDescent="0.25"/>
  <cols>
    <col min="1" max="1" width="4.75" customWidth="1"/>
    <col min="2" max="2" width="16.5" bestFit="1" customWidth="1"/>
    <col min="3" max="3" width="40.75" bestFit="1" customWidth="1"/>
    <col min="4" max="4" width="14.125" style="255" customWidth="1"/>
    <col min="5" max="5" width="12.5" customWidth="1"/>
    <col min="6" max="6" width="13.5" style="31" bestFit="1" customWidth="1"/>
    <col min="7" max="7" width="13.5" style="255" bestFit="1" customWidth="1"/>
    <col min="8" max="8" width="12.5" bestFit="1" customWidth="1"/>
    <col min="9" max="9" width="13.125" style="31" bestFit="1" customWidth="1"/>
    <col min="10" max="10" width="15.75" bestFit="1" customWidth="1"/>
    <col min="11" max="11" width="12.5" bestFit="1" customWidth="1"/>
    <col min="13" max="20" width="0" hidden="1" customWidth="1"/>
    <col min="21" max="21" width="9.875" bestFit="1" customWidth="1"/>
  </cols>
  <sheetData>
    <row r="1" spans="1:20" ht="17.25" customHeight="1" x14ac:dyDescent="0.2">
      <c r="B1" t="s">
        <v>691</v>
      </c>
      <c r="D1" s="255">
        <f t="shared" ref="D1:H1" si="0">SUM(D3:D312)</f>
        <v>-8.4980911196907982E-10</v>
      </c>
      <c r="E1" s="35">
        <f t="shared" si="0"/>
        <v>0</v>
      </c>
      <c r="F1" s="35">
        <f t="shared" si="0"/>
        <v>-2.9103830456733704E-9</v>
      </c>
      <c r="G1" s="255">
        <f t="shared" si="0"/>
        <v>-2.46785702984198E-10</v>
      </c>
      <c r="H1" s="35">
        <f t="shared" si="0"/>
        <v>1.4551915228366852E-11</v>
      </c>
      <c r="I1" s="35">
        <f>SUM(I3:I333)</f>
        <v>1.4551915228366852E-11</v>
      </c>
      <c r="M1" s="35"/>
      <c r="N1" s="35">
        <f>SUM(N3:N330)</f>
        <v>0</v>
      </c>
      <c r="O1" s="35">
        <f>SUM(O3:O330)</f>
        <v>-430.88999999562515</v>
      </c>
      <c r="P1" s="35" t="e">
        <f>SUM(P3:P316)</f>
        <v>#REF!</v>
      </c>
      <c r="S1" s="35">
        <f>SUM(S3:S330)</f>
        <v>2804779.28</v>
      </c>
      <c r="T1" s="35">
        <f>SUM(T3:T316)</f>
        <v>4024341.6300000073</v>
      </c>
    </row>
    <row r="2" spans="1:20" x14ac:dyDescent="0.25">
      <c r="B2" s="31" t="s">
        <v>0</v>
      </c>
      <c r="C2" s="31" t="s">
        <v>1</v>
      </c>
      <c r="D2" s="258" t="s">
        <v>2</v>
      </c>
      <c r="E2" s="31" t="s">
        <v>108</v>
      </c>
      <c r="F2" s="31" t="s">
        <v>107</v>
      </c>
      <c r="G2" s="258" t="s">
        <v>3</v>
      </c>
      <c r="H2" s="31" t="s">
        <v>109</v>
      </c>
      <c r="I2" s="31" t="s">
        <v>110</v>
      </c>
      <c r="M2" s="248" t="s">
        <v>645</v>
      </c>
      <c r="N2" s="248" t="s">
        <v>646</v>
      </c>
      <c r="O2" s="248" t="s">
        <v>647</v>
      </c>
      <c r="Q2" s="248" t="s">
        <v>645</v>
      </c>
      <c r="R2" s="248"/>
      <c r="S2" s="248" t="s">
        <v>689</v>
      </c>
      <c r="T2" s="248" t="s">
        <v>690</v>
      </c>
    </row>
    <row r="3" spans="1:20" x14ac:dyDescent="0.25">
      <c r="A3">
        <v>10</v>
      </c>
      <c r="B3" s="213">
        <v>10000</v>
      </c>
      <c r="C3" t="s">
        <v>648</v>
      </c>
      <c r="D3" s="274">
        <v>1444853.53</v>
      </c>
      <c r="E3" s="255">
        <f>SUMIF('AJE LTD'!A:A,'TB LTD 2021'!B3,'AJE LTD'!C:C)</f>
        <v>0</v>
      </c>
      <c r="F3" s="258">
        <f>SUM(D3:E3)</f>
        <v>1444853.53</v>
      </c>
      <c r="G3" s="274">
        <v>464583.12</v>
      </c>
      <c r="H3" s="255">
        <f>SUMIF('AJE LTD'!A:A,'TB LTD 2021'!B3,'AJE LTD'!D:D)</f>
        <v>0</v>
      </c>
      <c r="I3" s="258">
        <f>SUM(G3:H3)</f>
        <v>464583.12</v>
      </c>
      <c r="J3" s="212" t="s">
        <v>978</v>
      </c>
      <c r="K3" s="328"/>
      <c r="M3" s="248">
        <v>10000</v>
      </c>
      <c r="N3" s="248" t="s">
        <v>648</v>
      </c>
      <c r="O3" s="248">
        <v>342537.58</v>
      </c>
      <c r="P3" s="35">
        <f t="shared" ref="P3:P47" si="1">O3-D3</f>
        <v>-1102315.95</v>
      </c>
      <c r="Q3">
        <v>10000</v>
      </c>
      <c r="R3">
        <v>106543.57</v>
      </c>
      <c r="S3">
        <f t="shared" ref="S3:S34" si="2">SUMIF(B:B,Q3,G:G)</f>
        <v>464583.12</v>
      </c>
      <c r="T3">
        <f>S3-R3</f>
        <v>358039.55</v>
      </c>
    </row>
    <row r="4" spans="1:20" x14ac:dyDescent="0.25">
      <c r="A4">
        <v>10</v>
      </c>
      <c r="B4" s="213">
        <v>10001</v>
      </c>
      <c r="C4" t="s">
        <v>740</v>
      </c>
      <c r="D4" s="274">
        <v>1523650.76</v>
      </c>
      <c r="E4" s="255">
        <f>SUMIF('AJE LTD'!A:A,'TB LTD 2021'!B4,'AJE LTD'!C:C)</f>
        <v>0</v>
      </c>
      <c r="F4" s="258">
        <f t="shared" ref="F4:F66" si="3">SUM(D4:E4)</f>
        <v>1523650.76</v>
      </c>
      <c r="G4" s="274">
        <v>489919.86</v>
      </c>
      <c r="H4" s="255">
        <f>SUMIF('AJE LTD'!A:A,'TB LTD 2021'!B4,'AJE LTD'!D:D)</f>
        <v>0</v>
      </c>
      <c r="I4" s="258">
        <f t="shared" ref="I4:I105" si="4">SUM(G4:H4)</f>
        <v>489919.86</v>
      </c>
      <c r="J4" s="212" t="s">
        <v>978</v>
      </c>
      <c r="K4" s="274"/>
      <c r="M4" s="248">
        <v>10001</v>
      </c>
      <c r="N4" s="248" t="s">
        <v>692</v>
      </c>
      <c r="O4" s="248">
        <v>1104775.02</v>
      </c>
      <c r="P4" s="35">
        <f t="shared" si="1"/>
        <v>-418875.74</v>
      </c>
      <c r="Q4">
        <v>10001</v>
      </c>
      <c r="R4">
        <v>343631.42</v>
      </c>
      <c r="S4">
        <f t="shared" si="2"/>
        <v>489919.86</v>
      </c>
      <c r="T4">
        <f t="shared" ref="T4:T66" si="5">S4-R4</f>
        <v>146288.44</v>
      </c>
    </row>
    <row r="5" spans="1:20" hidden="1" x14ac:dyDescent="0.25">
      <c r="A5">
        <v>31</v>
      </c>
      <c r="B5" s="213">
        <v>10200</v>
      </c>
      <c r="C5" t="s">
        <v>741</v>
      </c>
      <c r="D5" s="274">
        <v>-99828.87</v>
      </c>
      <c r="E5" s="255">
        <f>SUMIF('AJE LTD'!A:A,'TB LTD 2021'!B5,'AJE LTD'!C:C)</f>
        <v>0</v>
      </c>
      <c r="F5" s="258">
        <f t="shared" si="3"/>
        <v>-99828.87</v>
      </c>
      <c r="G5" s="274">
        <v>-32099.32</v>
      </c>
      <c r="H5" s="255">
        <f>SUMIF('AJE LTD'!A:A,'TB LTD 2021'!B5,'AJE LTD'!D:D)</f>
        <v>0</v>
      </c>
      <c r="I5" s="258">
        <f t="shared" si="4"/>
        <v>-32099.32</v>
      </c>
      <c r="J5" s="212" t="s">
        <v>978</v>
      </c>
      <c r="K5" s="274"/>
      <c r="M5" s="248"/>
      <c r="N5" s="248"/>
      <c r="O5" s="248"/>
      <c r="P5" s="35">
        <f t="shared" si="1"/>
        <v>99828.87</v>
      </c>
      <c r="Q5">
        <v>10200</v>
      </c>
      <c r="R5">
        <v>-1328.27</v>
      </c>
      <c r="S5">
        <f t="shared" si="2"/>
        <v>-32099.32</v>
      </c>
      <c r="T5">
        <f t="shared" si="5"/>
        <v>-30771.05</v>
      </c>
    </row>
    <row r="6" spans="1:20" ht="16.5" hidden="1" customHeight="1" x14ac:dyDescent="0.25">
      <c r="A6">
        <v>11</v>
      </c>
      <c r="B6" s="213">
        <v>10300</v>
      </c>
      <c r="C6" t="s">
        <v>742</v>
      </c>
      <c r="D6" s="274">
        <v>100033.18</v>
      </c>
      <c r="E6" s="255">
        <f>SUMIF('AJE LTD'!A:A,'TB LTD 2021'!B6,'AJE LTD'!C:C)</f>
        <v>0</v>
      </c>
      <c r="F6" s="258">
        <f t="shared" si="3"/>
        <v>100033.18</v>
      </c>
      <c r="G6" s="274">
        <v>32165.01</v>
      </c>
      <c r="H6" s="255">
        <f>SUMIF('AJE LTD'!A:A,'TB LTD 2021'!B6,'AJE LTD'!D:D)</f>
        <v>0</v>
      </c>
      <c r="I6" s="258">
        <f>SUM(G6:H6)</f>
        <v>32165.01</v>
      </c>
      <c r="J6" s="212" t="s">
        <v>978</v>
      </c>
      <c r="K6" s="274"/>
      <c r="M6" s="248">
        <v>10003</v>
      </c>
      <c r="N6" s="248" t="s">
        <v>649</v>
      </c>
      <c r="O6" s="248">
        <v>1385.15</v>
      </c>
      <c r="P6" s="35">
        <f t="shared" si="1"/>
        <v>-98648.03</v>
      </c>
      <c r="Q6">
        <v>10201</v>
      </c>
      <c r="R6">
        <v>-10528.07</v>
      </c>
      <c r="S6">
        <f t="shared" si="2"/>
        <v>0</v>
      </c>
      <c r="T6">
        <f t="shared" si="5"/>
        <v>10528.07</v>
      </c>
    </row>
    <row r="7" spans="1:20" hidden="1" x14ac:dyDescent="0.25">
      <c r="A7">
        <v>14</v>
      </c>
      <c r="B7" s="213">
        <v>10501</v>
      </c>
      <c r="C7" t="s">
        <v>743</v>
      </c>
      <c r="D7" s="274">
        <v>16380</v>
      </c>
      <c r="E7" s="255">
        <f>SUMIF('AJE LTD'!A:A,'TB LTD 2021'!B7,'AJE LTD'!C:C)</f>
        <v>0</v>
      </c>
      <c r="F7" s="258">
        <f t="shared" si="3"/>
        <v>16380</v>
      </c>
      <c r="G7" s="274">
        <v>5266.88</v>
      </c>
      <c r="H7" s="255">
        <f>SUMIF('AJE LTD'!A:A,'TB LTD 2021'!B7,'AJE LTD'!D:D)</f>
        <v>0</v>
      </c>
      <c r="I7" s="258">
        <f t="shared" si="4"/>
        <v>5266.88</v>
      </c>
      <c r="J7" s="212" t="s">
        <v>978</v>
      </c>
      <c r="K7" s="274"/>
      <c r="M7" s="248">
        <v>10004</v>
      </c>
      <c r="N7" s="248" t="s">
        <v>650</v>
      </c>
      <c r="O7" s="248">
        <v>28904.1</v>
      </c>
      <c r="P7" s="35">
        <f t="shared" si="1"/>
        <v>12524.099999999999</v>
      </c>
      <c r="Q7">
        <v>10300</v>
      </c>
      <c r="R7">
        <v>0</v>
      </c>
      <c r="S7">
        <f t="shared" si="2"/>
        <v>32165.01</v>
      </c>
      <c r="T7">
        <f t="shared" si="5"/>
        <v>32165.01</v>
      </c>
    </row>
    <row r="8" spans="1:20" hidden="1" x14ac:dyDescent="0.25">
      <c r="A8">
        <v>13</v>
      </c>
      <c r="B8" s="213">
        <v>10800</v>
      </c>
      <c r="C8" t="s">
        <v>507</v>
      </c>
      <c r="D8" s="274">
        <v>24476.7</v>
      </c>
      <c r="E8" s="255">
        <f>SUMIF('AJE LTD'!A:A,'TB LTD 2021'!B8,'AJE LTD'!C:C)</f>
        <v>0</v>
      </c>
      <c r="F8" s="258">
        <f t="shared" si="3"/>
        <v>24476.7</v>
      </c>
      <c r="G8" s="274">
        <v>7516.82</v>
      </c>
      <c r="H8" s="255">
        <f>SUMIF('AJE LTD'!A:A,'TB LTD 2021'!B8,'AJE LTD'!D:D)</f>
        <v>0</v>
      </c>
      <c r="I8" s="258">
        <f>SUM(G8:H8)</f>
        <v>7516.82</v>
      </c>
      <c r="J8" s="212" t="s">
        <v>978</v>
      </c>
      <c r="K8" s="274"/>
      <c r="M8" s="248">
        <v>10005</v>
      </c>
      <c r="N8" s="248" t="s">
        <v>536</v>
      </c>
      <c r="O8" s="248">
        <v>19008.939999999999</v>
      </c>
      <c r="P8" s="35">
        <f t="shared" si="1"/>
        <v>-5467.760000000002</v>
      </c>
      <c r="Q8">
        <v>10310</v>
      </c>
      <c r="R8">
        <v>1000000</v>
      </c>
      <c r="S8">
        <f t="shared" si="2"/>
        <v>0</v>
      </c>
      <c r="T8">
        <f t="shared" si="5"/>
        <v>-1000000</v>
      </c>
    </row>
    <row r="9" spans="1:20" hidden="1" x14ac:dyDescent="0.25">
      <c r="A9">
        <v>27</v>
      </c>
      <c r="B9" s="213">
        <v>15000</v>
      </c>
      <c r="C9" t="s">
        <v>653</v>
      </c>
      <c r="D9" s="274">
        <v>171352.56</v>
      </c>
      <c r="E9" s="255">
        <f>SUMIF('AJE LTD'!A:A,'TB LTD 2021'!B9,'AJE LTD'!C:C)</f>
        <v>0</v>
      </c>
      <c r="F9" s="258">
        <f t="shared" si="3"/>
        <v>171352.56</v>
      </c>
      <c r="G9" s="274">
        <v>50769.77</v>
      </c>
      <c r="H9" s="255">
        <f>SUMIF('AJE LTD'!A:A,'TB LTD 2021'!B9,'AJE LTD'!D:D)</f>
        <v>0</v>
      </c>
      <c r="I9" s="258">
        <f>SUM(G9:H9)</f>
        <v>50769.77</v>
      </c>
      <c r="J9" s="212" t="s">
        <v>978</v>
      </c>
      <c r="K9" s="274"/>
      <c r="M9" s="248">
        <v>10006</v>
      </c>
      <c r="N9" s="248" t="s">
        <v>620</v>
      </c>
      <c r="O9" s="248">
        <v>167231.63</v>
      </c>
      <c r="P9" s="35">
        <f t="shared" si="1"/>
        <v>-4120.929999999993</v>
      </c>
      <c r="Q9">
        <v>10501</v>
      </c>
      <c r="R9">
        <v>3965.79</v>
      </c>
      <c r="S9">
        <f t="shared" si="2"/>
        <v>5266.88</v>
      </c>
      <c r="T9">
        <f t="shared" si="5"/>
        <v>1301.0900000000001</v>
      </c>
    </row>
    <row r="10" spans="1:20" hidden="1" x14ac:dyDescent="0.25">
      <c r="A10">
        <v>27</v>
      </c>
      <c r="B10" s="213">
        <v>15001</v>
      </c>
      <c r="C10" t="s">
        <v>306</v>
      </c>
      <c r="D10" s="274">
        <v>86683.76</v>
      </c>
      <c r="E10" s="255">
        <f>SUMIF('AJE LTD'!A:A,'TB LTD 2021'!B10,'AJE LTD'!C:C)</f>
        <v>0</v>
      </c>
      <c r="F10" s="258">
        <f t="shared" si="3"/>
        <v>86683.76</v>
      </c>
      <c r="G10" s="274">
        <v>26706.97</v>
      </c>
      <c r="H10" s="255">
        <f>SUMIF('AJE LTD'!A:A,'TB LTD 2021'!B10,'AJE LTD'!D:D)</f>
        <v>0</v>
      </c>
      <c r="I10" s="258">
        <f t="shared" si="4"/>
        <v>26706.97</v>
      </c>
      <c r="J10" s="212" t="s">
        <v>978</v>
      </c>
      <c r="K10" s="274"/>
      <c r="M10" s="248">
        <v>10200</v>
      </c>
      <c r="N10" s="248" t="s">
        <v>4</v>
      </c>
      <c r="O10" s="248">
        <v>-4270.38</v>
      </c>
      <c r="P10" s="35">
        <f t="shared" si="1"/>
        <v>-90954.14</v>
      </c>
      <c r="Q10">
        <v>10800</v>
      </c>
      <c r="R10">
        <v>3962.57</v>
      </c>
      <c r="S10">
        <f t="shared" si="2"/>
        <v>7516.82</v>
      </c>
      <c r="T10">
        <f t="shared" si="5"/>
        <v>3554.2499999999995</v>
      </c>
    </row>
    <row r="11" spans="1:20" hidden="1" x14ac:dyDescent="0.25">
      <c r="A11">
        <v>27</v>
      </c>
      <c r="B11" s="213">
        <v>15002</v>
      </c>
      <c r="C11" t="s">
        <v>8</v>
      </c>
      <c r="D11" s="274">
        <v>26085.53</v>
      </c>
      <c r="E11" s="255">
        <f>SUMIF('AJE LTD'!A:A,'TB LTD 2021'!B11,'AJE LTD'!C:C)</f>
        <v>0</v>
      </c>
      <c r="F11" s="258">
        <f t="shared" si="3"/>
        <v>26085.53</v>
      </c>
      <c r="G11" s="274">
        <v>8029.34</v>
      </c>
      <c r="H11" s="255">
        <f>SUMIF('AJE LTD'!A:A,'TB LTD 2021'!B11,'AJE LTD'!D:D)</f>
        <v>0</v>
      </c>
      <c r="I11" s="258">
        <f t="shared" si="4"/>
        <v>8029.34</v>
      </c>
      <c r="J11" s="212" t="s">
        <v>978</v>
      </c>
      <c r="K11" s="274"/>
      <c r="M11" s="248">
        <v>10201</v>
      </c>
      <c r="N11" s="248" t="s">
        <v>651</v>
      </c>
      <c r="O11" s="248">
        <v>-33847.75</v>
      </c>
      <c r="P11" s="35">
        <f t="shared" si="1"/>
        <v>-59933.279999999999</v>
      </c>
      <c r="Q11">
        <v>100001</v>
      </c>
      <c r="R11">
        <v>36065.42</v>
      </c>
      <c r="S11">
        <f t="shared" si="2"/>
        <v>0</v>
      </c>
      <c r="T11">
        <f t="shared" si="5"/>
        <v>-36065.42</v>
      </c>
    </row>
    <row r="12" spans="1:20" hidden="1" x14ac:dyDescent="0.25">
      <c r="A12">
        <v>27</v>
      </c>
      <c r="B12" s="213">
        <v>15003</v>
      </c>
      <c r="C12" t="s">
        <v>309</v>
      </c>
      <c r="D12" s="274">
        <v>400035.94</v>
      </c>
      <c r="E12" s="255">
        <f>SUMIF('AJE LTD'!A:A,'TB LTD 2021'!B12,'AJE LTD'!C:C)</f>
        <v>0</v>
      </c>
      <c r="F12" s="258">
        <f t="shared" si="3"/>
        <v>400035.94</v>
      </c>
      <c r="G12" s="274">
        <v>126545.66</v>
      </c>
      <c r="H12" s="255">
        <f>SUMIF('AJE LTD'!A:A,'TB LTD 2021'!B12,'AJE LTD'!D:D)</f>
        <v>0</v>
      </c>
      <c r="I12" s="258">
        <f t="shared" si="4"/>
        <v>126545.66</v>
      </c>
      <c r="J12" s="212" t="s">
        <v>978</v>
      </c>
      <c r="K12" s="274"/>
      <c r="M12" s="248">
        <v>10310</v>
      </c>
      <c r="N12" s="248" t="s">
        <v>5</v>
      </c>
      <c r="O12" s="248">
        <v>3215000</v>
      </c>
      <c r="P12" s="35">
        <f t="shared" si="1"/>
        <v>2814964.06</v>
      </c>
      <c r="Q12">
        <v>100002</v>
      </c>
      <c r="R12">
        <v>0</v>
      </c>
      <c r="S12">
        <f t="shared" si="2"/>
        <v>0</v>
      </c>
      <c r="T12">
        <f t="shared" si="5"/>
        <v>0</v>
      </c>
    </row>
    <row r="13" spans="1:20" hidden="1" x14ac:dyDescent="0.25">
      <c r="A13">
        <v>28</v>
      </c>
      <c r="B13" s="213">
        <v>15100</v>
      </c>
      <c r="C13" t="s">
        <v>654</v>
      </c>
      <c r="D13" s="274">
        <v>-65299.06</v>
      </c>
      <c r="E13" s="255">
        <f>SUMIF('AJE LTD'!A:A,'TB LTD 2021'!B13,'AJE LTD'!C:C)</f>
        <v>0</v>
      </c>
      <c r="F13" s="258">
        <f t="shared" si="3"/>
        <v>-65299.06</v>
      </c>
      <c r="G13" s="274">
        <v>-18811.95</v>
      </c>
      <c r="H13" s="255">
        <f>SUMIF('AJE LTD'!A:A,'TB LTD 2021'!B13,'AJE LTD'!D:D)</f>
        <v>0</v>
      </c>
      <c r="I13" s="258">
        <f t="shared" si="4"/>
        <v>-18811.95</v>
      </c>
      <c r="J13" s="212" t="s">
        <v>978</v>
      </c>
      <c r="K13" s="274"/>
      <c r="M13" s="248">
        <v>10500</v>
      </c>
      <c r="N13" s="248" t="s">
        <v>6</v>
      </c>
      <c r="O13" s="248">
        <v>1800</v>
      </c>
      <c r="P13" s="35">
        <f t="shared" si="1"/>
        <v>67099.06</v>
      </c>
      <c r="Q13">
        <v>10900</v>
      </c>
      <c r="R13">
        <v>3746.91</v>
      </c>
      <c r="S13">
        <f t="shared" si="2"/>
        <v>0</v>
      </c>
      <c r="T13">
        <f t="shared" si="5"/>
        <v>-3746.91</v>
      </c>
    </row>
    <row r="14" spans="1:20" hidden="1" x14ac:dyDescent="0.25">
      <c r="A14">
        <v>28</v>
      </c>
      <c r="B14" s="213">
        <v>15101</v>
      </c>
      <c r="C14" t="s">
        <v>744</v>
      </c>
      <c r="D14" s="274">
        <v>-2865.47</v>
      </c>
      <c r="E14" s="255">
        <f>SUMIF('AJE LTD'!A:A,'TB LTD 2021'!B14,'AJE LTD'!C:C)</f>
        <v>0</v>
      </c>
      <c r="F14" s="258">
        <f t="shared" si="3"/>
        <v>-2865.47</v>
      </c>
      <c r="G14" s="274">
        <v>-828.83</v>
      </c>
      <c r="H14" s="255">
        <f>SUMIF('AJE LTD'!A:A,'TB LTD 2021'!B14,'AJE LTD'!D:D)</f>
        <v>0</v>
      </c>
      <c r="I14" s="258">
        <f t="shared" si="4"/>
        <v>-828.83</v>
      </c>
      <c r="J14" s="212" t="s">
        <v>978</v>
      </c>
      <c r="K14" s="274"/>
      <c r="M14" s="248">
        <v>10501</v>
      </c>
      <c r="N14" s="248" t="s">
        <v>7</v>
      </c>
      <c r="O14" s="248">
        <v>12750</v>
      </c>
      <c r="P14" s="35">
        <f t="shared" si="1"/>
        <v>15615.47</v>
      </c>
      <c r="Q14">
        <v>15000</v>
      </c>
      <c r="R14">
        <v>15902.06</v>
      </c>
      <c r="S14">
        <f t="shared" si="2"/>
        <v>50769.77</v>
      </c>
      <c r="T14">
        <f t="shared" si="5"/>
        <v>34867.71</v>
      </c>
    </row>
    <row r="15" spans="1:20" hidden="1" x14ac:dyDescent="0.25">
      <c r="A15">
        <v>28</v>
      </c>
      <c r="B15" s="213">
        <v>15102</v>
      </c>
      <c r="C15" t="s">
        <v>9</v>
      </c>
      <c r="D15" s="274">
        <v>-2890.77</v>
      </c>
      <c r="E15" s="255">
        <f>SUMIF('AJE LTD'!A:A,'TB LTD 2021'!B15,'AJE LTD'!C:C)</f>
        <v>0</v>
      </c>
      <c r="F15" s="258">
        <f t="shared" si="3"/>
        <v>-2890.77</v>
      </c>
      <c r="G15" s="274">
        <v>-865.29</v>
      </c>
      <c r="H15" s="255">
        <f>SUMIF('AJE LTD'!A:A,'TB LTD 2021'!B15,'AJE LTD'!D:D)</f>
        <v>0</v>
      </c>
      <c r="I15" s="258">
        <f t="shared" ref="I15:I22" si="6">SUM(G15:H15)</f>
        <v>-865.29</v>
      </c>
      <c r="J15" s="212" t="s">
        <v>978</v>
      </c>
      <c r="K15" s="274"/>
      <c r="M15" s="248">
        <v>100001</v>
      </c>
      <c r="N15" s="248" t="s">
        <v>652</v>
      </c>
      <c r="O15" s="248">
        <v>115950.33</v>
      </c>
      <c r="P15" s="35">
        <f t="shared" si="1"/>
        <v>118841.1</v>
      </c>
      <c r="Q15">
        <v>15100</v>
      </c>
      <c r="R15">
        <v>-7144.22</v>
      </c>
      <c r="S15">
        <f t="shared" si="2"/>
        <v>-18811.95</v>
      </c>
      <c r="T15">
        <f t="shared" si="5"/>
        <v>-11667.73</v>
      </c>
    </row>
    <row r="16" spans="1:20" hidden="1" x14ac:dyDescent="0.25">
      <c r="A16">
        <v>28</v>
      </c>
      <c r="B16" s="213">
        <v>15103</v>
      </c>
      <c r="C16" t="s">
        <v>745</v>
      </c>
      <c r="D16" s="274">
        <v>-7457.45</v>
      </c>
      <c r="E16" s="255">
        <f>SUMIF('AJE LTD'!A:A,'TB LTD 2021'!B16,'AJE LTD'!C:C)</f>
        <v>0</v>
      </c>
      <c r="F16" s="258">
        <f t="shared" si="3"/>
        <v>-7457.45</v>
      </c>
      <c r="G16" s="274">
        <v>-2296.4299999999998</v>
      </c>
      <c r="H16" s="255">
        <f>SUMIF('AJE LTD'!A:A,'TB LTD 2021'!B16,'AJE LTD'!D:D)</f>
        <v>0</v>
      </c>
      <c r="I16" s="258">
        <f t="shared" si="6"/>
        <v>-2296.4299999999998</v>
      </c>
      <c r="J16" s="212" t="s">
        <v>978</v>
      </c>
      <c r="K16" s="274"/>
      <c r="M16" s="248">
        <v>100005</v>
      </c>
      <c r="N16" s="248" t="s">
        <v>537</v>
      </c>
      <c r="O16" s="248">
        <v>5386.73</v>
      </c>
      <c r="P16" s="35">
        <f t="shared" si="1"/>
        <v>12844.18</v>
      </c>
      <c r="Q16">
        <v>200004</v>
      </c>
      <c r="R16">
        <v>0</v>
      </c>
      <c r="S16">
        <f t="shared" si="2"/>
        <v>0</v>
      </c>
      <c r="T16">
        <f t="shared" si="5"/>
        <v>0</v>
      </c>
    </row>
    <row r="17" spans="1:20" hidden="1" x14ac:dyDescent="0.25">
      <c r="A17">
        <v>31</v>
      </c>
      <c r="B17" s="213">
        <v>200003</v>
      </c>
      <c r="C17" t="s">
        <v>746</v>
      </c>
      <c r="D17" s="274">
        <v>0</v>
      </c>
      <c r="E17" s="255">
        <f>SUMIF('AJE LTD'!A:A,'TB LTD 2021'!B17,'AJE LTD'!C:C)</f>
        <v>0</v>
      </c>
      <c r="F17" s="258">
        <f t="shared" si="3"/>
        <v>0</v>
      </c>
      <c r="G17" s="274">
        <v>91.2</v>
      </c>
      <c r="H17" s="255">
        <f>SUMIF('AJE LTD'!A:A,'TB LTD 2021'!B17,'AJE LTD'!D:D)</f>
        <v>-91.2</v>
      </c>
      <c r="I17" s="258">
        <f t="shared" si="6"/>
        <v>0</v>
      </c>
      <c r="J17" s="212"/>
      <c r="K17" s="274"/>
      <c r="M17" s="248">
        <v>100007</v>
      </c>
      <c r="N17" s="248" t="s">
        <v>538</v>
      </c>
      <c r="O17" s="248">
        <v>163489.98000000001</v>
      </c>
      <c r="P17" s="35">
        <f t="shared" si="1"/>
        <v>163489.98000000001</v>
      </c>
      <c r="Q17">
        <v>200005</v>
      </c>
      <c r="R17">
        <v>3483.36</v>
      </c>
      <c r="S17">
        <f t="shared" si="2"/>
        <v>0</v>
      </c>
      <c r="T17">
        <f t="shared" si="5"/>
        <v>-3483.36</v>
      </c>
    </row>
    <row r="18" spans="1:20" hidden="1" x14ac:dyDescent="0.25">
      <c r="A18">
        <v>31</v>
      </c>
      <c r="B18" s="213">
        <v>200007</v>
      </c>
      <c r="C18" t="s">
        <v>747</v>
      </c>
      <c r="D18" s="274">
        <v>-34</v>
      </c>
      <c r="E18" s="255">
        <f>SUMIF('AJE LTD'!A:A,'TB LTD 2021'!B18,'AJE LTD'!C:C)</f>
        <v>0</v>
      </c>
      <c r="F18" s="258">
        <f t="shared" si="3"/>
        <v>-34</v>
      </c>
      <c r="G18" s="274">
        <v>-10.93</v>
      </c>
      <c r="H18" s="255">
        <f>SUMIF('AJE LTD'!A:A,'TB LTD 2021'!B18,'AJE LTD'!D:D)</f>
        <v>0</v>
      </c>
      <c r="I18" s="258">
        <f t="shared" si="6"/>
        <v>-10.93</v>
      </c>
      <c r="J18" s="212" t="s">
        <v>978</v>
      </c>
      <c r="K18" s="274"/>
      <c r="M18" s="249">
        <v>100008</v>
      </c>
      <c r="N18" s="249" t="s">
        <v>539</v>
      </c>
      <c r="O18" s="249">
        <v>-662.29</v>
      </c>
      <c r="P18" s="35">
        <f t="shared" si="1"/>
        <v>-628.29</v>
      </c>
      <c r="Q18">
        <v>200006</v>
      </c>
      <c r="R18">
        <v>13247.9</v>
      </c>
      <c r="S18">
        <f t="shared" si="2"/>
        <v>0</v>
      </c>
      <c r="T18">
        <f t="shared" si="5"/>
        <v>-13247.9</v>
      </c>
    </row>
    <row r="19" spans="1:20" hidden="1" x14ac:dyDescent="0.25">
      <c r="A19">
        <v>31</v>
      </c>
      <c r="B19" s="213">
        <v>200015</v>
      </c>
      <c r="C19" t="s">
        <v>11</v>
      </c>
      <c r="D19" s="274">
        <v>-456.1</v>
      </c>
      <c r="E19" s="255">
        <f>SUMIF('AJE LTD'!A:A,'TB LTD 2021'!B19,'AJE LTD'!C:C)</f>
        <v>0</v>
      </c>
      <c r="F19" s="258">
        <f t="shared" si="3"/>
        <v>-456.1</v>
      </c>
      <c r="G19" s="274">
        <v>-146.66</v>
      </c>
      <c r="H19" s="255">
        <f>SUMIF('AJE LTD'!A:A,'TB LTD 2021'!B19,'AJE LTD'!D:D)</f>
        <v>0</v>
      </c>
      <c r="I19" s="258">
        <f t="shared" si="6"/>
        <v>-146.66</v>
      </c>
      <c r="J19" s="212" t="s">
        <v>978</v>
      </c>
      <c r="K19" s="274"/>
      <c r="M19" s="248">
        <v>100009</v>
      </c>
      <c r="N19" s="248" t="s">
        <v>540</v>
      </c>
      <c r="O19" s="248">
        <v>182532.56</v>
      </c>
      <c r="P19" s="35">
        <f t="shared" si="1"/>
        <v>182988.66</v>
      </c>
      <c r="Q19">
        <v>200022</v>
      </c>
      <c r="R19">
        <v>0</v>
      </c>
      <c r="S19">
        <f t="shared" si="2"/>
        <v>0</v>
      </c>
      <c r="T19">
        <f t="shared" si="5"/>
        <v>0</v>
      </c>
    </row>
    <row r="20" spans="1:20" hidden="1" x14ac:dyDescent="0.25">
      <c r="A20">
        <v>31</v>
      </c>
      <c r="B20" s="213">
        <v>200017</v>
      </c>
      <c r="C20" t="s">
        <v>748</v>
      </c>
      <c r="D20" s="274">
        <v>3404</v>
      </c>
      <c r="E20" s="255">
        <f>SUMIF('AJE LTD'!A:A,'TB LTD 2021'!B20,'AJE LTD'!C:C)</f>
        <v>0</v>
      </c>
      <c r="F20" s="258">
        <f t="shared" si="3"/>
        <v>3404</v>
      </c>
      <c r="G20" s="274">
        <v>1094.53</v>
      </c>
      <c r="H20" s="255">
        <f>SUMIF('AJE LTD'!A:A,'TB LTD 2021'!B20,'AJE LTD'!D:D)</f>
        <v>0</v>
      </c>
      <c r="I20" s="258">
        <f t="shared" si="6"/>
        <v>1094.53</v>
      </c>
      <c r="J20" s="212"/>
      <c r="K20" s="274"/>
      <c r="M20" s="249">
        <v>100011</v>
      </c>
      <c r="N20" s="249" t="s">
        <v>541</v>
      </c>
      <c r="O20" s="249">
        <v>26214.76</v>
      </c>
      <c r="P20" s="35">
        <f t="shared" si="1"/>
        <v>22810.76</v>
      </c>
      <c r="Q20">
        <v>200024</v>
      </c>
      <c r="R20">
        <v>13974.49</v>
      </c>
      <c r="S20">
        <f t="shared" si="2"/>
        <v>0</v>
      </c>
      <c r="T20">
        <f t="shared" si="5"/>
        <v>-13974.49</v>
      </c>
    </row>
    <row r="21" spans="1:20" hidden="1" x14ac:dyDescent="0.25">
      <c r="A21">
        <v>31</v>
      </c>
      <c r="B21" s="213">
        <v>200023</v>
      </c>
      <c r="C21" t="s">
        <v>749</v>
      </c>
      <c r="D21" s="274">
        <v>299.83999999999997</v>
      </c>
      <c r="E21" s="255">
        <f>SUMIF('AJE LTD'!A:A,'TB LTD 2021'!B21,'AJE LTD'!C:C)</f>
        <v>0</v>
      </c>
      <c r="F21" s="258">
        <f t="shared" si="3"/>
        <v>299.83999999999997</v>
      </c>
      <c r="G21" s="274">
        <v>96.41</v>
      </c>
      <c r="H21" s="255">
        <f>SUMIF('AJE LTD'!A:A,'TB LTD 2021'!B21,'AJE LTD'!D:D)</f>
        <v>0</v>
      </c>
      <c r="I21" s="258">
        <f t="shared" si="6"/>
        <v>96.41</v>
      </c>
      <c r="J21" s="212"/>
      <c r="K21" s="274"/>
      <c r="M21" s="249">
        <v>100012</v>
      </c>
      <c r="N21" s="249" t="s">
        <v>542</v>
      </c>
      <c r="O21" s="249">
        <v>17611.900000000001</v>
      </c>
      <c r="P21" s="35">
        <f t="shared" si="1"/>
        <v>17312.060000000001</v>
      </c>
      <c r="Q21">
        <v>200052</v>
      </c>
      <c r="R21">
        <v>0</v>
      </c>
      <c r="S21">
        <f t="shared" si="2"/>
        <v>0</v>
      </c>
      <c r="T21">
        <f t="shared" si="5"/>
        <v>0</v>
      </c>
    </row>
    <row r="22" spans="1:20" hidden="1" x14ac:dyDescent="0.25">
      <c r="A22">
        <v>31</v>
      </c>
      <c r="B22" s="213">
        <v>200026</v>
      </c>
      <c r="C22" t="s">
        <v>750</v>
      </c>
      <c r="D22" s="274">
        <v>-6690</v>
      </c>
      <c r="E22" s="255">
        <f>SUMIF('AJE LTD'!A:A,'TB LTD 2021'!B22,'AJE LTD'!C:C)</f>
        <v>0</v>
      </c>
      <c r="F22" s="258">
        <f t="shared" si="3"/>
        <v>-6690</v>
      </c>
      <c r="G22" s="274">
        <v>-2151.13</v>
      </c>
      <c r="H22" s="255">
        <f>SUMIF('AJE LTD'!A:A,'TB LTD 2021'!B22,'AJE LTD'!D:D)</f>
        <v>0</v>
      </c>
      <c r="I22" s="258">
        <f t="shared" si="6"/>
        <v>-2151.13</v>
      </c>
      <c r="J22" s="212" t="s">
        <v>978</v>
      </c>
      <c r="K22" s="274"/>
      <c r="M22" s="249">
        <v>100013</v>
      </c>
      <c r="N22" s="249" t="s">
        <v>543</v>
      </c>
      <c r="O22" s="249">
        <v>34332.6</v>
      </c>
      <c r="P22" s="35">
        <f t="shared" si="1"/>
        <v>41022.6</v>
      </c>
      <c r="Q22">
        <v>200053</v>
      </c>
      <c r="R22">
        <v>0</v>
      </c>
      <c r="S22">
        <f t="shared" si="2"/>
        <v>0</v>
      </c>
      <c r="T22">
        <f t="shared" si="5"/>
        <v>0</v>
      </c>
    </row>
    <row r="23" spans="1:20" hidden="1" x14ac:dyDescent="0.25">
      <c r="A23">
        <v>31</v>
      </c>
      <c r="B23" s="213">
        <v>200027</v>
      </c>
      <c r="C23" t="s">
        <v>751</v>
      </c>
      <c r="D23" s="274">
        <v>2145</v>
      </c>
      <c r="E23" s="255">
        <f>SUMIF('AJE LTD'!A:A,'TB LTD 2021'!B23,'AJE LTD'!C:C)</f>
        <v>0</v>
      </c>
      <c r="F23" s="258">
        <f t="shared" si="3"/>
        <v>2145</v>
      </c>
      <c r="G23" s="274">
        <v>689.71</v>
      </c>
      <c r="H23" s="255">
        <f>SUMIF('AJE LTD'!A:A,'TB LTD 2021'!B23,'AJE LTD'!D:D)</f>
        <v>0</v>
      </c>
      <c r="I23" s="258">
        <f t="shared" si="4"/>
        <v>689.71</v>
      </c>
      <c r="J23" s="212"/>
      <c r="K23" s="274"/>
      <c r="M23" s="248">
        <v>10800</v>
      </c>
      <c r="N23" s="248" t="s">
        <v>507</v>
      </c>
      <c r="O23" s="248">
        <v>13567.85</v>
      </c>
      <c r="P23" s="35">
        <f t="shared" si="1"/>
        <v>11422.85</v>
      </c>
      <c r="Q23">
        <v>200070</v>
      </c>
      <c r="R23">
        <v>0</v>
      </c>
      <c r="S23">
        <f t="shared" si="2"/>
        <v>0</v>
      </c>
      <c r="T23">
        <f t="shared" si="5"/>
        <v>0</v>
      </c>
    </row>
    <row r="24" spans="1:20" hidden="1" x14ac:dyDescent="0.25">
      <c r="A24">
        <v>31</v>
      </c>
      <c r="B24" s="213">
        <v>20003</v>
      </c>
      <c r="C24" t="s">
        <v>752</v>
      </c>
      <c r="D24" s="274">
        <v>7344.29</v>
      </c>
      <c r="E24" s="255">
        <f>SUMIF('AJE LTD'!A:A,'TB LTD 2021'!B24,'AJE LTD'!C:C)</f>
        <v>0</v>
      </c>
      <c r="F24" s="258">
        <f t="shared" si="3"/>
        <v>7344.29</v>
      </c>
      <c r="G24" s="274">
        <v>2361.5100000000002</v>
      </c>
      <c r="H24" s="255">
        <f>SUMIF('AJE LTD'!A:A,'TB LTD 2021'!B24,'AJE LTD'!D:D)</f>
        <v>0</v>
      </c>
      <c r="I24" s="258">
        <f>SUM(G24:H24)</f>
        <v>2361.5100000000002</v>
      </c>
      <c r="J24" s="212"/>
      <c r="K24" s="274"/>
      <c r="L24" s="250"/>
      <c r="M24" s="248">
        <v>10900</v>
      </c>
      <c r="N24" s="248" t="s">
        <v>544</v>
      </c>
      <c r="O24" s="248">
        <v>12642.05</v>
      </c>
      <c r="P24" s="251">
        <f t="shared" si="1"/>
        <v>5297.7599999999993</v>
      </c>
      <c r="Q24">
        <v>200073</v>
      </c>
      <c r="R24">
        <v>-7.0000000000000007E-2</v>
      </c>
      <c r="S24">
        <f t="shared" si="2"/>
        <v>0</v>
      </c>
      <c r="T24">
        <f t="shared" si="5"/>
        <v>7.0000000000000007E-2</v>
      </c>
    </row>
    <row r="25" spans="1:20" hidden="1" x14ac:dyDescent="0.25">
      <c r="A25">
        <v>31</v>
      </c>
      <c r="B25" s="213">
        <v>200037</v>
      </c>
      <c r="C25" t="s">
        <v>753</v>
      </c>
      <c r="D25" s="274">
        <v>450</v>
      </c>
      <c r="E25" s="255">
        <f>SUMIF('AJE LTD'!A:A,'TB LTD 2021'!B25,'AJE LTD'!C:C)</f>
        <v>0</v>
      </c>
      <c r="F25" s="258">
        <f t="shared" si="3"/>
        <v>450</v>
      </c>
      <c r="G25" s="274">
        <v>144.69</v>
      </c>
      <c r="H25" s="255">
        <f>SUMIF('AJE LTD'!A:A,'TB LTD 2021'!B25,'AJE LTD'!D:D)</f>
        <v>0</v>
      </c>
      <c r="I25" s="258">
        <f t="shared" si="4"/>
        <v>144.69</v>
      </c>
      <c r="J25" s="212"/>
      <c r="K25" s="274"/>
      <c r="M25" s="248">
        <v>15000</v>
      </c>
      <c r="N25" s="248" t="s">
        <v>653</v>
      </c>
      <c r="O25" s="248">
        <v>56067.51</v>
      </c>
      <c r="P25" s="35">
        <f t="shared" si="1"/>
        <v>55617.51</v>
      </c>
      <c r="Q25">
        <v>200074</v>
      </c>
      <c r="R25">
        <v>0</v>
      </c>
      <c r="S25">
        <f t="shared" si="2"/>
        <v>556.74</v>
      </c>
      <c r="T25">
        <f t="shared" si="5"/>
        <v>556.74</v>
      </c>
    </row>
    <row r="26" spans="1:20" s="335" customFormat="1" hidden="1" x14ac:dyDescent="0.25">
      <c r="A26" s="335">
        <v>31</v>
      </c>
      <c r="B26" s="336">
        <v>200046</v>
      </c>
      <c r="C26" s="335" t="s">
        <v>754</v>
      </c>
      <c r="D26" s="337">
        <v>49886.91</v>
      </c>
      <c r="E26" s="338">
        <f>SUMIF('AJE LTD'!A:A,'TB LTD 2021'!B26,'AJE LTD'!C:C)</f>
        <v>0</v>
      </c>
      <c r="F26" s="339">
        <f t="shared" si="3"/>
        <v>49886.91</v>
      </c>
      <c r="G26" s="337">
        <v>16040.81</v>
      </c>
      <c r="H26" s="338">
        <f>SUMIF('AJE LTD'!A:A,'TB LTD 2021'!B26,'AJE LTD'!D:D)</f>
        <v>0</v>
      </c>
      <c r="I26" s="339">
        <f t="shared" si="4"/>
        <v>16040.81</v>
      </c>
      <c r="J26" s="340"/>
      <c r="K26" s="337"/>
      <c r="M26" s="341">
        <v>15002</v>
      </c>
      <c r="N26" s="341" t="s">
        <v>8</v>
      </c>
      <c r="O26" s="341">
        <v>1247.8599999999999</v>
      </c>
      <c r="P26" s="342">
        <f t="shared" si="1"/>
        <v>-48639.05</v>
      </c>
      <c r="Q26" s="335">
        <v>200075</v>
      </c>
      <c r="R26" s="335">
        <v>0</v>
      </c>
      <c r="S26" s="335">
        <f t="shared" si="2"/>
        <v>0</v>
      </c>
      <c r="T26" s="335">
        <f t="shared" si="5"/>
        <v>0</v>
      </c>
    </row>
    <row r="27" spans="1:20" hidden="1" x14ac:dyDescent="0.25">
      <c r="A27">
        <v>31</v>
      </c>
      <c r="B27" s="213">
        <v>200050</v>
      </c>
      <c r="C27" t="s">
        <v>755</v>
      </c>
      <c r="D27" s="274">
        <v>2653.56</v>
      </c>
      <c r="E27" s="255">
        <f>SUMIF('AJE LTD'!A:A,'TB LTD 2021'!B27,'AJE LTD'!C:C)</f>
        <v>0</v>
      </c>
      <c r="F27" s="258">
        <f t="shared" si="3"/>
        <v>2653.56</v>
      </c>
      <c r="G27" s="274">
        <v>853.23</v>
      </c>
      <c r="H27" s="255">
        <f>SUMIF('AJE LTD'!A:A,'TB LTD 2021'!B27,'AJE LTD'!D:D)</f>
        <v>0</v>
      </c>
      <c r="I27" s="258">
        <f t="shared" si="4"/>
        <v>853.23</v>
      </c>
      <c r="J27" s="212"/>
      <c r="K27" s="274"/>
      <c r="M27" s="248">
        <v>15100</v>
      </c>
      <c r="N27" s="248" t="s">
        <v>654</v>
      </c>
      <c r="O27" s="248">
        <v>-24759.89</v>
      </c>
      <c r="P27" s="35">
        <f t="shared" si="1"/>
        <v>-27413.45</v>
      </c>
      <c r="Q27">
        <v>200009</v>
      </c>
      <c r="R27">
        <v>0</v>
      </c>
      <c r="S27">
        <f t="shared" si="2"/>
        <v>0</v>
      </c>
      <c r="T27">
        <f t="shared" si="5"/>
        <v>0</v>
      </c>
    </row>
    <row r="28" spans="1:20" hidden="1" x14ac:dyDescent="0.25">
      <c r="A28">
        <v>31</v>
      </c>
      <c r="B28" s="213">
        <v>200059</v>
      </c>
      <c r="C28" t="s">
        <v>756</v>
      </c>
      <c r="D28" s="274">
        <v>1510</v>
      </c>
      <c r="E28" s="255">
        <f>SUMIF('AJE LTD'!A:A,'TB LTD 2021'!B28,'AJE LTD'!C:C)</f>
        <v>0</v>
      </c>
      <c r="F28" s="258">
        <f t="shared" si="3"/>
        <v>1510</v>
      </c>
      <c r="G28" s="274">
        <v>485.53</v>
      </c>
      <c r="H28" s="255">
        <f>SUMIF('AJE LTD'!A:A,'TB LTD 2021'!B28,'AJE LTD'!D:D)</f>
        <v>0</v>
      </c>
      <c r="I28" s="258">
        <f t="shared" si="4"/>
        <v>485.53</v>
      </c>
      <c r="J28" s="212"/>
      <c r="K28" s="274"/>
      <c r="M28" s="248">
        <v>15102</v>
      </c>
      <c r="N28" s="248" t="s">
        <v>9</v>
      </c>
      <c r="O28" s="248">
        <v>-277.47000000000003</v>
      </c>
      <c r="P28" s="35">
        <f t="shared" si="1"/>
        <v>-1787.47</v>
      </c>
      <c r="Q28">
        <v>200045</v>
      </c>
      <c r="R28">
        <v>0</v>
      </c>
      <c r="S28">
        <f t="shared" si="2"/>
        <v>0</v>
      </c>
      <c r="T28">
        <f t="shared" si="5"/>
        <v>0</v>
      </c>
    </row>
    <row r="29" spans="1:20" hidden="1" x14ac:dyDescent="0.25">
      <c r="A29">
        <v>31</v>
      </c>
      <c r="B29" s="213">
        <v>200060</v>
      </c>
      <c r="C29" t="s">
        <v>757</v>
      </c>
      <c r="D29" s="274">
        <v>2844.38</v>
      </c>
      <c r="E29" s="255">
        <f>SUMIF('AJE LTD'!A:A,'TB LTD 2021'!B29,'AJE LTD'!C:C)</f>
        <v>0</v>
      </c>
      <c r="F29" s="258">
        <f t="shared" si="3"/>
        <v>2844.38</v>
      </c>
      <c r="G29" s="274">
        <v>914.59</v>
      </c>
      <c r="H29" s="255">
        <f>SUMIF('AJE LTD'!A:A,'TB LTD 2021'!B29,'AJE LTD'!D:D)</f>
        <v>0</v>
      </c>
      <c r="I29" s="258">
        <f t="shared" si="4"/>
        <v>914.59</v>
      </c>
      <c r="J29" s="212"/>
      <c r="K29" s="274"/>
      <c r="M29" s="248">
        <v>20000</v>
      </c>
      <c r="N29" s="248" t="s">
        <v>10</v>
      </c>
      <c r="O29" s="248">
        <v>-3669</v>
      </c>
      <c r="P29" s="35">
        <f t="shared" si="1"/>
        <v>-6513.38</v>
      </c>
      <c r="Q29">
        <v>200054</v>
      </c>
      <c r="R29">
        <v>430.44</v>
      </c>
      <c r="S29">
        <f t="shared" si="2"/>
        <v>0</v>
      </c>
      <c r="T29">
        <f t="shared" si="5"/>
        <v>-430.44</v>
      </c>
    </row>
    <row r="30" spans="1:20" hidden="1" x14ac:dyDescent="0.25">
      <c r="A30">
        <v>31</v>
      </c>
      <c r="B30" s="213">
        <v>200069</v>
      </c>
      <c r="C30" t="s">
        <v>758</v>
      </c>
      <c r="D30" s="274">
        <v>881.21</v>
      </c>
      <c r="E30" s="255">
        <f>SUMIF('AJE LTD'!A:A,'TB LTD 2021'!B30,'AJE LTD'!C:C)</f>
        <v>0</v>
      </c>
      <c r="F30" s="258">
        <f t="shared" si="3"/>
        <v>881.21</v>
      </c>
      <c r="G30" s="274">
        <v>283.35000000000002</v>
      </c>
      <c r="H30" s="255">
        <f>SUMIF('AJE LTD'!A:A,'TB LTD 2021'!B30,'AJE LTD'!D:D)</f>
        <v>0</v>
      </c>
      <c r="I30" s="258">
        <f t="shared" si="4"/>
        <v>283.35000000000002</v>
      </c>
      <c r="J30" s="212"/>
      <c r="K30" s="274"/>
      <c r="M30" s="248"/>
      <c r="N30" s="248"/>
      <c r="O30" s="248"/>
      <c r="P30" s="35">
        <f t="shared" si="1"/>
        <v>-881.21</v>
      </c>
      <c r="Q30">
        <v>200058</v>
      </c>
      <c r="R30">
        <v>1089.9000000000001</v>
      </c>
      <c r="S30">
        <f t="shared" si="2"/>
        <v>0</v>
      </c>
      <c r="T30">
        <f t="shared" si="5"/>
        <v>-1089.9000000000001</v>
      </c>
    </row>
    <row r="31" spans="1:20" hidden="1" x14ac:dyDescent="0.25">
      <c r="A31">
        <v>31</v>
      </c>
      <c r="B31" s="213">
        <v>200076</v>
      </c>
      <c r="C31" t="s">
        <v>759</v>
      </c>
      <c r="D31" s="274">
        <v>-119901.6</v>
      </c>
      <c r="E31" s="255">
        <f>SUMIF('AJE LTD'!A:A,'TB LTD 2021'!B31,'AJE LTD'!C:C)</f>
        <v>0</v>
      </c>
      <c r="F31" s="258">
        <f t="shared" si="3"/>
        <v>-119901.6</v>
      </c>
      <c r="G31" s="274">
        <v>-37294.43</v>
      </c>
      <c r="H31" s="255">
        <f>SUMIF('AJE LTD'!A:A,'TB LTD 2021'!B31,'AJE LTD'!D:D)</f>
        <v>0</v>
      </c>
      <c r="I31" s="258">
        <f t="shared" si="4"/>
        <v>-37294.43</v>
      </c>
      <c r="J31" s="212" t="s">
        <v>978</v>
      </c>
      <c r="K31" s="274"/>
      <c r="M31" s="248">
        <v>200005</v>
      </c>
      <c r="N31" s="248" t="s">
        <v>11</v>
      </c>
      <c r="O31" s="248">
        <v>11199</v>
      </c>
      <c r="P31" s="35">
        <f t="shared" si="1"/>
        <v>131100.6</v>
      </c>
      <c r="Q31">
        <v>200015</v>
      </c>
      <c r="R31">
        <v>0</v>
      </c>
      <c r="S31">
        <f t="shared" si="2"/>
        <v>-146.66</v>
      </c>
      <c r="T31">
        <f t="shared" si="5"/>
        <v>-146.66</v>
      </c>
    </row>
    <row r="32" spans="1:20" s="335" customFormat="1" hidden="1" x14ac:dyDescent="0.25">
      <c r="A32" s="335">
        <v>31</v>
      </c>
      <c r="B32" s="336">
        <v>200086</v>
      </c>
      <c r="C32" s="335" t="s">
        <v>760</v>
      </c>
      <c r="D32" s="337">
        <v>-16523.52</v>
      </c>
      <c r="E32" s="338">
        <f>SUMIF('AJE LTD'!A:A,'TB LTD 2021'!B32,'AJE LTD'!C:C)</f>
        <v>16523.52</v>
      </c>
      <c r="F32" s="339">
        <f t="shared" si="3"/>
        <v>0</v>
      </c>
      <c r="G32" s="337">
        <v>-5313.03</v>
      </c>
      <c r="H32" s="338">
        <f>SUMIF('AJE LTD'!A:A,'TB LTD 2021'!B32,'AJE LTD'!D:D)</f>
        <v>5313.03</v>
      </c>
      <c r="I32" s="339">
        <f t="shared" si="4"/>
        <v>0</v>
      </c>
      <c r="J32" s="340"/>
      <c r="K32" s="337"/>
      <c r="M32" s="341">
        <v>200006</v>
      </c>
      <c r="N32" s="341" t="s">
        <v>12</v>
      </c>
      <c r="O32" s="341">
        <v>42592</v>
      </c>
      <c r="P32" s="342">
        <f t="shared" si="1"/>
        <v>59115.520000000004</v>
      </c>
      <c r="Q32" s="335">
        <v>200007</v>
      </c>
      <c r="R32" s="335">
        <v>610.33000000000004</v>
      </c>
      <c r="S32" s="335">
        <f t="shared" si="2"/>
        <v>-10.93</v>
      </c>
      <c r="T32" s="335">
        <f t="shared" si="5"/>
        <v>-621.26</v>
      </c>
    </row>
    <row r="33" spans="1:20" hidden="1" x14ac:dyDescent="0.25">
      <c r="A33">
        <v>31</v>
      </c>
      <c r="B33" s="213">
        <v>200092</v>
      </c>
      <c r="C33" t="s">
        <v>761</v>
      </c>
      <c r="D33" s="274">
        <v>-536</v>
      </c>
      <c r="E33" s="255">
        <f>SUMIF('AJE LTD'!A:A,'TB LTD 2021'!B33,'AJE LTD'!C:C)</f>
        <v>0</v>
      </c>
      <c r="F33" s="258">
        <f t="shared" si="3"/>
        <v>-536</v>
      </c>
      <c r="G33" s="274">
        <v>-172.35</v>
      </c>
      <c r="H33" s="255">
        <f>SUMIF('AJE LTD'!A:A,'TB LTD 2021'!B33,'AJE LTD'!D:D)</f>
        <v>0</v>
      </c>
      <c r="I33" s="258">
        <f t="shared" ref="I33:I41" si="7">SUM(G33:H33)</f>
        <v>-172.35</v>
      </c>
      <c r="J33" s="212" t="s">
        <v>978</v>
      </c>
      <c r="K33" s="274"/>
      <c r="M33" s="248"/>
      <c r="N33" s="248"/>
      <c r="O33" s="248"/>
      <c r="P33" s="35">
        <f t="shared" si="1"/>
        <v>536</v>
      </c>
      <c r="Q33">
        <v>200050</v>
      </c>
      <c r="R33">
        <v>0</v>
      </c>
      <c r="S33">
        <f t="shared" si="2"/>
        <v>853.23</v>
      </c>
      <c r="T33">
        <f t="shared" si="5"/>
        <v>853.23</v>
      </c>
    </row>
    <row r="34" spans="1:20" hidden="1" x14ac:dyDescent="0.25">
      <c r="A34">
        <v>31</v>
      </c>
      <c r="B34" s="213">
        <v>200096</v>
      </c>
      <c r="C34" t="s">
        <v>762</v>
      </c>
      <c r="D34" s="274">
        <v>1920</v>
      </c>
      <c r="E34" s="255">
        <f>SUMIF('AJE LTD'!A:A,'TB LTD 2021'!B34,'AJE LTD'!C:C)</f>
        <v>0</v>
      </c>
      <c r="F34" s="258">
        <f t="shared" si="3"/>
        <v>1920</v>
      </c>
      <c r="G34" s="274">
        <v>617.36</v>
      </c>
      <c r="H34" s="255">
        <f>SUMIF('AJE LTD'!A:A,'TB LTD 2021'!B34,'AJE LTD'!D:D)</f>
        <v>0</v>
      </c>
      <c r="I34" s="258">
        <f t="shared" si="7"/>
        <v>617.36</v>
      </c>
      <c r="J34" s="212"/>
      <c r="K34" s="274"/>
      <c r="M34" s="248"/>
      <c r="N34" s="248"/>
      <c r="O34" s="248"/>
      <c r="P34" s="35">
        <f t="shared" si="1"/>
        <v>-1920</v>
      </c>
      <c r="Q34">
        <v>20200</v>
      </c>
      <c r="R34">
        <v>-97048.895178849154</v>
      </c>
      <c r="S34">
        <f t="shared" si="2"/>
        <v>-79278.740000000005</v>
      </c>
      <c r="T34">
        <f t="shared" si="5"/>
        <v>17770.155178849149</v>
      </c>
    </row>
    <row r="35" spans="1:20" hidden="1" x14ac:dyDescent="0.25">
      <c r="A35" s="283">
        <v>31</v>
      </c>
      <c r="B35" s="284">
        <v>200099</v>
      </c>
      <c r="C35" s="283" t="s">
        <v>763</v>
      </c>
      <c r="D35" s="324">
        <v>2315</v>
      </c>
      <c r="E35" s="325">
        <f>SUMIF('AJE LTD'!A:A,'TB LTD 2021'!B35,'AJE LTD'!C:C)</f>
        <v>0</v>
      </c>
      <c r="F35" s="326">
        <f>SUM(D35:E35)</f>
        <v>2315</v>
      </c>
      <c r="G35" s="324">
        <v>744.37</v>
      </c>
      <c r="H35" s="325">
        <f>SUMIF('AJE LTD'!A:A,'TB LTD 2021'!B35,'AJE LTD'!D:D)</f>
        <v>0</v>
      </c>
      <c r="I35" s="326">
        <f>SUM(G35:H35)</f>
        <v>744.37</v>
      </c>
      <c r="J35" s="212"/>
      <c r="K35" s="274"/>
      <c r="M35" s="248"/>
      <c r="N35" s="248"/>
      <c r="O35" s="248"/>
      <c r="P35" s="35">
        <f t="shared" si="1"/>
        <v>-2315</v>
      </c>
    </row>
    <row r="36" spans="1:20" hidden="1" x14ac:dyDescent="0.25">
      <c r="A36">
        <v>31</v>
      </c>
      <c r="B36" s="213">
        <v>200105</v>
      </c>
      <c r="C36" t="s">
        <v>764</v>
      </c>
      <c r="D36" s="274">
        <v>-11436.76</v>
      </c>
      <c r="E36" s="255">
        <f>SUMIF('AJE LTD'!A:A,'TB LTD 2021'!B36,'AJE LTD'!C:C)</f>
        <v>0</v>
      </c>
      <c r="F36" s="258">
        <f t="shared" si="3"/>
        <v>-11436.76</v>
      </c>
      <c r="G36" s="274">
        <v>-3677.41</v>
      </c>
      <c r="H36" s="255">
        <f>SUMIF('AJE LTD'!A:A,'TB LTD 2021'!B36,'AJE LTD'!D:D)</f>
        <v>0</v>
      </c>
      <c r="I36" s="258">
        <f t="shared" si="7"/>
        <v>-3677.41</v>
      </c>
      <c r="J36" s="212" t="s">
        <v>978</v>
      </c>
      <c r="K36" s="274"/>
      <c r="M36" s="248">
        <v>200024</v>
      </c>
      <c r="N36" s="248" t="s">
        <v>545</v>
      </c>
      <c r="O36" s="248">
        <v>44928</v>
      </c>
      <c r="P36" s="35">
        <f t="shared" si="1"/>
        <v>56364.76</v>
      </c>
      <c r="Q36">
        <v>20402</v>
      </c>
      <c r="R36">
        <v>0</v>
      </c>
      <c r="S36">
        <f t="shared" ref="S36:S99" si="8">SUMIF(B:B,Q36,G:G)</f>
        <v>16549.099999999999</v>
      </c>
      <c r="T36">
        <f t="shared" si="5"/>
        <v>16549.099999999999</v>
      </c>
    </row>
    <row r="37" spans="1:20" hidden="1" x14ac:dyDescent="0.25">
      <c r="A37">
        <v>31</v>
      </c>
      <c r="B37" s="213">
        <v>200113</v>
      </c>
      <c r="C37" t="s">
        <v>765</v>
      </c>
      <c r="D37" s="274">
        <v>853.02</v>
      </c>
      <c r="E37" s="255">
        <f>SUMIF('AJE LTD'!A:A,'TB LTD 2021'!B37,'AJE LTD'!C:C)</f>
        <v>0</v>
      </c>
      <c r="F37" s="258">
        <f t="shared" si="3"/>
        <v>853.02</v>
      </c>
      <c r="G37" s="274">
        <v>274.27999999999997</v>
      </c>
      <c r="H37" s="255">
        <f>SUMIF('AJE LTD'!A:A,'TB LTD 2021'!B37,'AJE LTD'!D:D)</f>
        <v>0</v>
      </c>
      <c r="I37" s="258">
        <f t="shared" si="7"/>
        <v>274.27999999999997</v>
      </c>
      <c r="J37" s="212"/>
      <c r="K37" s="274"/>
      <c r="M37" s="248"/>
      <c r="N37" s="248"/>
      <c r="O37" s="248"/>
      <c r="P37" s="35">
        <f t="shared" si="1"/>
        <v>-853.02</v>
      </c>
      <c r="Q37">
        <v>20403</v>
      </c>
      <c r="R37">
        <v>0</v>
      </c>
      <c r="S37">
        <f t="shared" si="8"/>
        <v>21589.06</v>
      </c>
      <c r="T37">
        <f t="shared" si="5"/>
        <v>21589.06</v>
      </c>
    </row>
    <row r="38" spans="1:20" hidden="1" x14ac:dyDescent="0.25">
      <c r="A38">
        <v>31</v>
      </c>
      <c r="B38" s="213">
        <v>200139</v>
      </c>
      <c r="C38" t="s">
        <v>766</v>
      </c>
      <c r="D38" s="274">
        <v>-0.01</v>
      </c>
      <c r="E38" s="255">
        <f>SUMIF('AJE LTD'!A:A,'TB LTD 2021'!B38,'AJE LTD'!C:C)</f>
        <v>0</v>
      </c>
      <c r="F38" s="258">
        <f t="shared" si="3"/>
        <v>-0.01</v>
      </c>
      <c r="G38" s="274">
        <v>0</v>
      </c>
      <c r="H38" s="255">
        <f>SUMIF('AJE LTD'!A:A,'TB LTD 2021'!B38,'AJE LTD'!D:D)</f>
        <v>0</v>
      </c>
      <c r="I38" s="258">
        <f t="shared" si="7"/>
        <v>0</v>
      </c>
      <c r="J38" s="212"/>
      <c r="K38" s="274"/>
      <c r="M38" s="248">
        <v>200046</v>
      </c>
      <c r="N38" s="248" t="s">
        <v>13</v>
      </c>
      <c r="O38" s="248">
        <v>-260</v>
      </c>
      <c r="P38" s="35">
        <f t="shared" si="1"/>
        <v>-259.99</v>
      </c>
      <c r="Q38">
        <v>20502</v>
      </c>
      <c r="R38">
        <v>1912.29</v>
      </c>
      <c r="S38">
        <f t="shared" si="8"/>
        <v>0</v>
      </c>
      <c r="T38">
        <f t="shared" si="5"/>
        <v>-1912.29</v>
      </c>
    </row>
    <row r="39" spans="1:20" hidden="1" x14ac:dyDescent="0.25">
      <c r="A39" s="283">
        <v>31</v>
      </c>
      <c r="B39" s="284">
        <v>200141</v>
      </c>
      <c r="C39" s="283" t="s">
        <v>767</v>
      </c>
      <c r="D39" s="324">
        <v>-46.29</v>
      </c>
      <c r="E39" s="325">
        <f>SUMIF('AJE LTD'!A:A,'TB LTD 2021'!B39,'AJE LTD'!C:C)</f>
        <v>0</v>
      </c>
      <c r="F39" s="326">
        <f t="shared" si="3"/>
        <v>-46.29</v>
      </c>
      <c r="G39" s="324">
        <v>-14.88</v>
      </c>
      <c r="H39" s="325">
        <f>SUMIF('AJE LTD'!A:A,'TB LTD 2021'!B39,'AJE LTD'!D:D)</f>
        <v>0</v>
      </c>
      <c r="I39" s="326">
        <f t="shared" si="7"/>
        <v>-14.88</v>
      </c>
      <c r="J39" s="212" t="s">
        <v>978</v>
      </c>
      <c r="K39" s="274"/>
      <c r="M39" s="248">
        <v>200067</v>
      </c>
      <c r="N39" s="248" t="s">
        <v>546</v>
      </c>
      <c r="O39" s="248">
        <v>6248</v>
      </c>
      <c r="P39" s="35">
        <f t="shared" si="1"/>
        <v>6294.29</v>
      </c>
      <c r="Q39">
        <v>20604</v>
      </c>
      <c r="R39">
        <v>663.87</v>
      </c>
      <c r="S39">
        <f t="shared" si="8"/>
        <v>2.0299999999999998</v>
      </c>
      <c r="T39">
        <f t="shared" si="5"/>
        <v>-661.84</v>
      </c>
    </row>
    <row r="40" spans="1:20" hidden="1" x14ac:dyDescent="0.25">
      <c r="A40" s="283">
        <v>31</v>
      </c>
      <c r="B40" s="284">
        <v>200144</v>
      </c>
      <c r="C40" s="283" t="s">
        <v>768</v>
      </c>
      <c r="D40" s="324">
        <v>-220</v>
      </c>
      <c r="E40" s="325">
        <f>SUMIF('AJE LTD'!A:A,'TB LTD 2021'!B40,'AJE LTD'!C:C)</f>
        <v>0</v>
      </c>
      <c r="F40" s="326">
        <f t="shared" si="3"/>
        <v>-220</v>
      </c>
      <c r="G40" s="324">
        <v>-70.739999999999995</v>
      </c>
      <c r="H40" s="325">
        <f>SUMIF('AJE LTD'!A:A,'TB LTD 2021'!B40,'AJE LTD'!D:D)</f>
        <v>0</v>
      </c>
      <c r="I40" s="326">
        <f t="shared" si="7"/>
        <v>-70.739999999999995</v>
      </c>
      <c r="J40" s="212" t="s">
        <v>978</v>
      </c>
      <c r="K40" s="274"/>
      <c r="M40" s="248">
        <v>200084</v>
      </c>
      <c r="N40" s="248" t="s">
        <v>547</v>
      </c>
      <c r="O40" s="248">
        <v>702</v>
      </c>
      <c r="P40" s="35">
        <f t="shared" si="1"/>
        <v>922</v>
      </c>
      <c r="Q40">
        <v>20500</v>
      </c>
      <c r="R40">
        <v>-13276.52</v>
      </c>
      <c r="S40">
        <f t="shared" si="8"/>
        <v>-54413.5</v>
      </c>
      <c r="T40">
        <f t="shared" si="5"/>
        <v>-41136.979999999996</v>
      </c>
    </row>
    <row r="41" spans="1:20" hidden="1" x14ac:dyDescent="0.25">
      <c r="A41">
        <v>31</v>
      </c>
      <c r="B41" s="213">
        <v>200156</v>
      </c>
      <c r="C41" t="s">
        <v>769</v>
      </c>
      <c r="D41" s="274">
        <v>-1400</v>
      </c>
      <c r="E41" s="255">
        <f>SUMIF('AJE LTD'!A:A,'TB LTD 2021'!B41,'AJE LTD'!C:C)</f>
        <v>0</v>
      </c>
      <c r="F41" s="258">
        <f t="shared" si="3"/>
        <v>-1400</v>
      </c>
      <c r="G41" s="274">
        <v>-450.16</v>
      </c>
      <c r="H41" s="255">
        <f>SUMIF('AJE LTD'!A:A,'TB LTD 2021'!B41,'AJE LTD'!D:D)</f>
        <v>0</v>
      </c>
      <c r="I41" s="258">
        <f t="shared" si="7"/>
        <v>-450.16</v>
      </c>
      <c r="J41" s="212" t="s">
        <v>978</v>
      </c>
      <c r="K41" s="274"/>
      <c r="M41" s="248">
        <v>200114</v>
      </c>
      <c r="N41" s="248" t="s">
        <v>548</v>
      </c>
      <c r="O41" s="248">
        <v>2090</v>
      </c>
      <c r="P41" s="35">
        <f t="shared" si="1"/>
        <v>3490</v>
      </c>
      <c r="Q41">
        <v>20501</v>
      </c>
      <c r="R41">
        <v>-15162.67</v>
      </c>
      <c r="S41">
        <f t="shared" si="8"/>
        <v>-44975.24</v>
      </c>
      <c r="T41">
        <f t="shared" si="5"/>
        <v>-29812.57</v>
      </c>
    </row>
    <row r="42" spans="1:20" hidden="1" x14ac:dyDescent="0.25">
      <c r="A42" s="283">
        <v>31</v>
      </c>
      <c r="B42" s="284">
        <v>200158</v>
      </c>
      <c r="C42" s="283" t="s">
        <v>770</v>
      </c>
      <c r="D42" s="324">
        <v>299.52</v>
      </c>
      <c r="E42" s="325">
        <f>SUMIF('AJE LTD'!A:A,'TB LTD 2021'!B42,'AJE LTD'!C:C)</f>
        <v>0</v>
      </c>
      <c r="F42" s="326">
        <f t="shared" si="3"/>
        <v>299.52</v>
      </c>
      <c r="G42" s="324">
        <v>96.31</v>
      </c>
      <c r="H42" s="325">
        <f>SUMIF('AJE LTD'!A:A,'TB LTD 2021'!B42,'AJE LTD'!D:D)</f>
        <v>0</v>
      </c>
      <c r="I42" s="326">
        <f t="shared" si="4"/>
        <v>96.31</v>
      </c>
      <c r="J42" s="212"/>
      <c r="K42" s="274"/>
      <c r="M42" s="248">
        <v>200007</v>
      </c>
      <c r="N42" s="248" t="s">
        <v>14</v>
      </c>
      <c r="O42" s="248">
        <v>1962.21</v>
      </c>
      <c r="P42" s="35">
        <f t="shared" si="1"/>
        <v>1662.69</v>
      </c>
      <c r="Q42">
        <v>20799</v>
      </c>
      <c r="R42">
        <v>-19907.310000000001</v>
      </c>
      <c r="S42">
        <f t="shared" si="8"/>
        <v>-46746.3</v>
      </c>
      <c r="T42">
        <f t="shared" si="5"/>
        <v>-26838.99</v>
      </c>
    </row>
    <row r="43" spans="1:20" hidden="1" x14ac:dyDescent="0.25">
      <c r="A43">
        <v>31</v>
      </c>
      <c r="B43" s="213">
        <v>200008</v>
      </c>
      <c r="C43" t="s">
        <v>14</v>
      </c>
      <c r="D43" s="327">
        <v>4816.58</v>
      </c>
      <c r="E43" s="255">
        <f>SUMIF('AJE LTD'!A:A,'TB LTD 2021'!B43,'AJE LTD'!C:C)</f>
        <v>0</v>
      </c>
      <c r="F43" s="258">
        <f t="shared" si="3"/>
        <v>4816.58</v>
      </c>
      <c r="G43" s="274">
        <v>1548.74</v>
      </c>
      <c r="H43" s="255">
        <f>SUMIF('AJE LTD'!A:A,'TB LTD 2021'!B43,'AJE LTD'!D:D)</f>
        <v>0</v>
      </c>
      <c r="I43" s="258">
        <f t="shared" si="4"/>
        <v>1548.74</v>
      </c>
      <c r="J43" s="212"/>
      <c r="K43" s="274"/>
      <c r="P43" s="35">
        <f t="shared" si="1"/>
        <v>-4816.58</v>
      </c>
      <c r="Q43">
        <v>20900</v>
      </c>
      <c r="R43">
        <v>-47419.91</v>
      </c>
      <c r="S43">
        <f t="shared" si="8"/>
        <v>-95108.04</v>
      </c>
      <c r="T43">
        <f t="shared" si="5"/>
        <v>-47688.12999999999</v>
      </c>
    </row>
    <row r="44" spans="1:20" hidden="1" x14ac:dyDescent="0.25">
      <c r="A44">
        <v>31</v>
      </c>
      <c r="B44" s="213">
        <v>200032</v>
      </c>
      <c r="C44" t="s">
        <v>771</v>
      </c>
      <c r="D44" s="274">
        <v>27445.59</v>
      </c>
      <c r="E44" s="255">
        <f>SUMIF('AJE LTD'!A:A,'TB LTD 2021'!B44,'AJE LTD'!C:C)</f>
        <v>0</v>
      </c>
      <c r="F44" s="258">
        <f t="shared" si="3"/>
        <v>27445.59</v>
      </c>
      <c r="G44" s="274">
        <v>8824.9500000000007</v>
      </c>
      <c r="H44" s="255">
        <f>SUMIF('AJE LTD'!A:A,'TB LTD 2021'!B44,'AJE LTD'!D:D)</f>
        <v>0</v>
      </c>
      <c r="I44" s="258">
        <f t="shared" si="4"/>
        <v>8824.9500000000007</v>
      </c>
      <c r="J44" s="212"/>
      <c r="K44" s="274"/>
      <c r="P44" s="35">
        <f t="shared" si="1"/>
        <v>-27445.59</v>
      </c>
      <c r="Q44">
        <v>20901</v>
      </c>
      <c r="R44">
        <v>-705.82</v>
      </c>
      <c r="S44">
        <f t="shared" si="8"/>
        <v>632.44000000000005</v>
      </c>
      <c r="T44">
        <f t="shared" si="5"/>
        <v>1338.2600000000002</v>
      </c>
    </row>
    <row r="45" spans="1:20" hidden="1" x14ac:dyDescent="0.25">
      <c r="A45">
        <v>31</v>
      </c>
      <c r="B45" s="213">
        <v>200035</v>
      </c>
      <c r="C45" t="s">
        <v>772</v>
      </c>
      <c r="D45" s="274">
        <v>686.59</v>
      </c>
      <c r="E45" s="255">
        <f>SUMIF('AJE LTD'!A:A,'TB LTD 2021'!B45,'AJE LTD'!C:C)</f>
        <v>0</v>
      </c>
      <c r="F45" s="258">
        <f t="shared" si="3"/>
        <v>686.59</v>
      </c>
      <c r="G45" s="274">
        <v>220.77</v>
      </c>
      <c r="H45" s="255">
        <f>SUMIF('AJE LTD'!A:A,'TB LTD 2021'!B45,'AJE LTD'!D:D)</f>
        <v>0</v>
      </c>
      <c r="I45" s="258">
        <f t="shared" si="4"/>
        <v>220.77</v>
      </c>
      <c r="J45" s="212"/>
      <c r="K45" s="274"/>
      <c r="P45" s="35">
        <f t="shared" si="1"/>
        <v>-686.59</v>
      </c>
      <c r="Q45">
        <v>20903</v>
      </c>
      <c r="R45">
        <v>138.72</v>
      </c>
      <c r="S45">
        <f t="shared" si="8"/>
        <v>49.52</v>
      </c>
      <c r="T45">
        <f t="shared" si="5"/>
        <v>-89.199999999999989</v>
      </c>
    </row>
    <row r="46" spans="1:20" hidden="1" x14ac:dyDescent="0.25">
      <c r="A46">
        <v>31</v>
      </c>
      <c r="B46" s="213">
        <v>200074</v>
      </c>
      <c r="C46" t="s">
        <v>773</v>
      </c>
      <c r="D46" s="274">
        <v>1731.46</v>
      </c>
      <c r="E46" s="255">
        <f>SUMIF('AJE LTD'!A:A,'TB LTD 2021'!B46,'AJE LTD'!C:C)</f>
        <v>0</v>
      </c>
      <c r="F46" s="258">
        <f t="shared" si="3"/>
        <v>1731.46</v>
      </c>
      <c r="G46" s="274">
        <v>556.74</v>
      </c>
      <c r="H46" s="255">
        <f>SUMIF('AJE LTD'!A:A,'TB LTD 2021'!B46,'AJE LTD'!D:D)</f>
        <v>0</v>
      </c>
      <c r="I46" s="258">
        <f t="shared" si="4"/>
        <v>556.74</v>
      </c>
      <c r="J46" s="212"/>
      <c r="K46" s="274"/>
      <c r="P46" s="35">
        <f t="shared" si="1"/>
        <v>-1731.46</v>
      </c>
      <c r="Q46">
        <v>20998</v>
      </c>
      <c r="R46">
        <v>-33820.379999999997</v>
      </c>
      <c r="S46">
        <f t="shared" si="8"/>
        <v>0.01</v>
      </c>
      <c r="T46">
        <f t="shared" si="5"/>
        <v>33820.39</v>
      </c>
    </row>
    <row r="47" spans="1:20" hidden="1" x14ac:dyDescent="0.25">
      <c r="A47">
        <v>31</v>
      </c>
      <c r="B47" s="213">
        <v>200094</v>
      </c>
      <c r="C47" t="s">
        <v>774</v>
      </c>
      <c r="D47" s="274">
        <v>3736.42</v>
      </c>
      <c r="E47" s="255">
        <f>SUMIF('AJE LTD'!A:A,'TB LTD 2021'!B47,'AJE LTD'!C:C)</f>
        <v>0</v>
      </c>
      <c r="F47" s="258">
        <f t="shared" si="3"/>
        <v>3736.42</v>
      </c>
      <c r="G47" s="274">
        <v>1201.42</v>
      </c>
      <c r="H47" s="255">
        <f>SUMIF('AJE LTD'!A:A,'TB LTD 2021'!B47,'AJE LTD'!D:D)</f>
        <v>0</v>
      </c>
      <c r="I47" s="258">
        <f t="shared" si="4"/>
        <v>1201.42</v>
      </c>
      <c r="J47" s="212"/>
      <c r="K47" s="274"/>
      <c r="P47" s="35">
        <f t="shared" si="1"/>
        <v>-3736.42</v>
      </c>
      <c r="Q47">
        <v>20999</v>
      </c>
      <c r="R47">
        <v>-1529.75</v>
      </c>
      <c r="S47">
        <f t="shared" si="8"/>
        <v>-2076.58</v>
      </c>
      <c r="T47">
        <f t="shared" si="5"/>
        <v>-546.82999999999993</v>
      </c>
    </row>
    <row r="48" spans="1:20" hidden="1" x14ac:dyDescent="0.25">
      <c r="A48">
        <v>31</v>
      </c>
      <c r="B48" s="213">
        <v>200098</v>
      </c>
      <c r="C48" t="s">
        <v>775</v>
      </c>
      <c r="D48" s="274">
        <v>5845.68</v>
      </c>
      <c r="E48" s="255">
        <f>SUMIF('AJE LTD'!A:A,'TB LTD 2021'!B48,'AJE LTD'!C:C)</f>
        <v>0</v>
      </c>
      <c r="F48" s="258">
        <f t="shared" si="3"/>
        <v>5845.68</v>
      </c>
      <c r="G48" s="274">
        <v>1879.64</v>
      </c>
      <c r="H48" s="255">
        <f>SUMIF('AJE LTD'!A:A,'TB LTD 2021'!B48,'AJE LTD'!D:D)</f>
        <v>0</v>
      </c>
      <c r="I48" s="258">
        <f t="shared" ref="I48:I55" si="9">SUM(G48:H48)</f>
        <v>1879.64</v>
      </c>
      <c r="J48" s="212"/>
      <c r="K48" s="274"/>
      <c r="M48" s="248">
        <v>200054</v>
      </c>
      <c r="N48" s="248" t="s">
        <v>119</v>
      </c>
      <c r="O48" s="248">
        <v>1383.86</v>
      </c>
      <c r="P48" s="35" t="e">
        <f>O48-#REF!</f>
        <v>#REF!</v>
      </c>
      <c r="Q48">
        <v>30011</v>
      </c>
      <c r="R48">
        <v>-3208390</v>
      </c>
      <c r="S48">
        <f t="shared" si="8"/>
        <v>0</v>
      </c>
      <c r="T48">
        <f t="shared" si="5"/>
        <v>3208390</v>
      </c>
    </row>
    <row r="49" spans="1:20" hidden="1" x14ac:dyDescent="0.25">
      <c r="A49">
        <v>31</v>
      </c>
      <c r="B49" s="213">
        <v>200112</v>
      </c>
      <c r="C49" t="s">
        <v>119</v>
      </c>
      <c r="D49" s="274">
        <v>342.04</v>
      </c>
      <c r="E49" s="259">
        <f>SUMIF('AJE LTD'!A:A,'TB LTD 2021'!B49,'AJE LTD'!C:C)</f>
        <v>0</v>
      </c>
      <c r="F49" s="260">
        <f t="shared" si="3"/>
        <v>342.04</v>
      </c>
      <c r="G49" s="274">
        <v>109.98</v>
      </c>
      <c r="H49" s="259">
        <f>SUMIF('AJE LTD'!A:A,'TB LTD 2021'!B49,'AJE LTD'!D:D)</f>
        <v>0</v>
      </c>
      <c r="I49" s="260">
        <f t="shared" si="9"/>
        <v>109.98</v>
      </c>
      <c r="J49" s="212"/>
      <c r="K49" s="274"/>
      <c r="M49" s="248">
        <v>200058</v>
      </c>
      <c r="N49" s="248" t="s">
        <v>549</v>
      </c>
      <c r="O49" s="248">
        <v>3504.03</v>
      </c>
      <c r="P49" s="35">
        <f t="shared" ref="P49:P80" si="10">O49-D48</f>
        <v>-2341.65</v>
      </c>
      <c r="Q49">
        <v>30012</v>
      </c>
      <c r="R49">
        <v>-41610</v>
      </c>
      <c r="S49">
        <f t="shared" si="8"/>
        <v>0</v>
      </c>
      <c r="T49">
        <f t="shared" si="5"/>
        <v>41610</v>
      </c>
    </row>
    <row r="50" spans="1:20" hidden="1" x14ac:dyDescent="0.25">
      <c r="A50">
        <v>31</v>
      </c>
      <c r="B50" s="213">
        <v>200127</v>
      </c>
      <c r="C50" t="s">
        <v>776</v>
      </c>
      <c r="D50" s="274">
        <v>-634.44000000000005</v>
      </c>
      <c r="E50" s="255">
        <f>SUMIF('AJE LTD'!A:A,'TB LTD 2021'!B50,'AJE LTD'!C:C)</f>
        <v>0</v>
      </c>
      <c r="F50" s="258">
        <f t="shared" si="3"/>
        <v>-634.44000000000005</v>
      </c>
      <c r="G50" s="274">
        <v>-204</v>
      </c>
      <c r="H50" s="255">
        <f>SUMIF('AJE LTD'!A:A,'TB LTD 2021'!B50,'AJE LTD'!D:D)</f>
        <v>0</v>
      </c>
      <c r="I50" s="258">
        <f t="shared" si="9"/>
        <v>-204</v>
      </c>
      <c r="J50" s="212" t="s">
        <v>978</v>
      </c>
      <c r="K50" s="274"/>
      <c r="M50" s="248">
        <v>200073</v>
      </c>
      <c r="N50" s="248" t="s">
        <v>619</v>
      </c>
      <c r="O50" s="248">
        <v>-0.23</v>
      </c>
      <c r="P50" s="35">
        <f t="shared" si="10"/>
        <v>-342.27000000000004</v>
      </c>
      <c r="Q50">
        <v>30013</v>
      </c>
      <c r="R50">
        <v>-50000</v>
      </c>
      <c r="S50">
        <f t="shared" si="8"/>
        <v>0</v>
      </c>
      <c r="T50">
        <f t="shared" si="5"/>
        <v>50000</v>
      </c>
    </row>
    <row r="51" spans="1:20" hidden="1" x14ac:dyDescent="0.25">
      <c r="A51">
        <v>31</v>
      </c>
      <c r="B51" s="213">
        <v>200131</v>
      </c>
      <c r="C51" t="s">
        <v>777</v>
      </c>
      <c r="D51" s="274">
        <v>3092.54</v>
      </c>
      <c r="E51" s="255">
        <f>SUMIF('AJE LTD'!A:A,'TB LTD 2021'!B51,'AJE LTD'!C:C)</f>
        <v>0</v>
      </c>
      <c r="F51" s="258">
        <f t="shared" si="3"/>
        <v>3092.54</v>
      </c>
      <c r="G51" s="274">
        <v>994.39</v>
      </c>
      <c r="H51" s="255">
        <f>SUMIF('AJE LTD'!A:A,'TB LTD 2021'!B51,'AJE LTD'!D:D)</f>
        <v>0</v>
      </c>
      <c r="I51" s="258">
        <f t="shared" si="9"/>
        <v>994.39</v>
      </c>
      <c r="J51" s="212"/>
      <c r="K51" s="274"/>
      <c r="M51" s="248">
        <v>200087</v>
      </c>
      <c r="N51" s="248" t="s">
        <v>550</v>
      </c>
      <c r="O51" s="248">
        <v>131.78</v>
      </c>
      <c r="P51" s="35">
        <f t="shared" si="10"/>
        <v>766.22</v>
      </c>
      <c r="Q51">
        <v>30014</v>
      </c>
      <c r="R51">
        <v>-50000</v>
      </c>
      <c r="S51">
        <f t="shared" si="8"/>
        <v>0</v>
      </c>
      <c r="T51">
        <f t="shared" si="5"/>
        <v>50000</v>
      </c>
    </row>
    <row r="52" spans="1:20" s="37" customFormat="1" hidden="1" x14ac:dyDescent="0.25">
      <c r="A52" s="37">
        <v>31</v>
      </c>
      <c r="B52" s="330">
        <v>200142</v>
      </c>
      <c r="C52" s="37" t="s">
        <v>778</v>
      </c>
      <c r="D52" s="328">
        <v>146532.78</v>
      </c>
      <c r="E52" s="331">
        <f>SUMIF('AJE LTD'!A:A,'TB LTD 2021'!B52,'AJE LTD'!C:C)</f>
        <v>0</v>
      </c>
      <c r="F52" s="332">
        <f t="shared" si="3"/>
        <v>146532.78</v>
      </c>
      <c r="G52" s="328">
        <v>47116.65</v>
      </c>
      <c r="H52" s="331">
        <f>SUMIF('AJE LTD'!A:A,'TB LTD 2021'!B52,'AJE LTD'!D:D)</f>
        <v>0</v>
      </c>
      <c r="I52" s="332">
        <f t="shared" si="9"/>
        <v>47116.65</v>
      </c>
      <c r="J52" s="333"/>
      <c r="K52" s="328"/>
      <c r="M52" s="248">
        <v>200092</v>
      </c>
      <c r="N52" s="248" t="s">
        <v>551</v>
      </c>
      <c r="O52" s="248">
        <v>7233.75</v>
      </c>
      <c r="P52" s="35">
        <f t="shared" si="10"/>
        <v>4141.21</v>
      </c>
      <c r="Q52">
        <v>30015</v>
      </c>
      <c r="R52">
        <v>-57219</v>
      </c>
      <c r="S52">
        <f t="shared" si="8"/>
        <v>0</v>
      </c>
      <c r="T52">
        <f t="shared" si="5"/>
        <v>57219</v>
      </c>
    </row>
    <row r="53" spans="1:20" hidden="1" x14ac:dyDescent="0.25">
      <c r="A53">
        <v>31</v>
      </c>
      <c r="B53" s="213">
        <v>200146</v>
      </c>
      <c r="C53" t="s">
        <v>779</v>
      </c>
      <c r="D53" s="274">
        <v>-2799</v>
      </c>
      <c r="E53" s="255">
        <f>SUMIF('AJE LTD'!A:A,'TB LTD 2021'!B53,'AJE LTD'!C:C)</f>
        <v>0</v>
      </c>
      <c r="F53" s="258">
        <f t="shared" si="3"/>
        <v>-2799</v>
      </c>
      <c r="G53" s="274">
        <v>-900</v>
      </c>
      <c r="H53" s="255">
        <f>SUMIF('AJE LTD'!A:A,'TB LTD 2021'!B53,'AJE LTD'!D:D)</f>
        <v>0</v>
      </c>
      <c r="I53" s="258">
        <f t="shared" si="9"/>
        <v>-900</v>
      </c>
      <c r="J53" s="212" t="s">
        <v>978</v>
      </c>
      <c r="K53" s="274"/>
      <c r="M53" s="249">
        <v>200118</v>
      </c>
      <c r="N53" s="249" t="s">
        <v>552</v>
      </c>
      <c r="O53" s="249">
        <v>-562.63</v>
      </c>
      <c r="P53" s="35">
        <f t="shared" si="10"/>
        <v>-147095.41</v>
      </c>
      <c r="Q53">
        <v>30016</v>
      </c>
      <c r="R53">
        <v>-75000</v>
      </c>
      <c r="S53">
        <f t="shared" si="8"/>
        <v>0</v>
      </c>
      <c r="T53">
        <f t="shared" si="5"/>
        <v>75000</v>
      </c>
    </row>
    <row r="54" spans="1:20" hidden="1" x14ac:dyDescent="0.25">
      <c r="A54">
        <v>31</v>
      </c>
      <c r="B54" s="213">
        <v>200149</v>
      </c>
      <c r="C54" t="s">
        <v>780</v>
      </c>
      <c r="D54" s="274">
        <v>366.23</v>
      </c>
      <c r="E54" s="255">
        <f>SUMIF('AJE LTD'!A:A,'TB LTD 2021'!B54,'AJE LTD'!C:C)</f>
        <v>0</v>
      </c>
      <c r="F54" s="258">
        <f t="shared" si="3"/>
        <v>366.23</v>
      </c>
      <c r="G54" s="274">
        <v>117.76</v>
      </c>
      <c r="H54" s="255">
        <f>SUMIF('AJE LTD'!A:A,'TB LTD 2021'!B54,'AJE LTD'!D:D)</f>
        <v>0</v>
      </c>
      <c r="I54" s="258">
        <f t="shared" si="9"/>
        <v>117.76</v>
      </c>
      <c r="J54" s="212"/>
      <c r="K54" s="274"/>
      <c r="M54" s="249">
        <v>200122</v>
      </c>
      <c r="N54" s="249" t="s">
        <v>553</v>
      </c>
      <c r="O54" s="249">
        <v>12953.27</v>
      </c>
      <c r="P54" s="35">
        <f t="shared" si="10"/>
        <v>15752.27</v>
      </c>
      <c r="Q54">
        <v>30017</v>
      </c>
      <c r="R54">
        <v>-92781</v>
      </c>
      <c r="S54">
        <f t="shared" si="8"/>
        <v>0</v>
      </c>
      <c r="T54">
        <f t="shared" si="5"/>
        <v>92781</v>
      </c>
    </row>
    <row r="55" spans="1:20" hidden="1" x14ac:dyDescent="0.25">
      <c r="A55">
        <v>31</v>
      </c>
      <c r="B55" s="213">
        <v>200153</v>
      </c>
      <c r="C55" t="s">
        <v>781</v>
      </c>
      <c r="D55" s="274">
        <v>162.78</v>
      </c>
      <c r="E55" s="255">
        <f>SUMIF('AJE LTD'!A:A,'TB LTD 2021'!B55,'AJE LTD'!C:C)</f>
        <v>0</v>
      </c>
      <c r="F55" s="258">
        <f t="shared" si="3"/>
        <v>162.78</v>
      </c>
      <c r="G55" s="274">
        <v>52.34</v>
      </c>
      <c r="H55" s="255">
        <f>SUMIF('AJE LTD'!A:A,'TB LTD 2021'!B55,'AJE LTD'!D:D)</f>
        <v>0</v>
      </c>
      <c r="I55" s="258">
        <f t="shared" si="9"/>
        <v>52.34</v>
      </c>
      <c r="J55" s="212"/>
      <c r="K55" s="274"/>
      <c r="M55" s="249">
        <v>200123</v>
      </c>
      <c r="N55" s="249" t="s">
        <v>554</v>
      </c>
      <c r="O55" s="249">
        <v>4983.25</v>
      </c>
      <c r="P55" s="35">
        <f t="shared" si="10"/>
        <v>4617.0200000000004</v>
      </c>
      <c r="Q55">
        <v>30018</v>
      </c>
      <c r="R55">
        <v>-100000</v>
      </c>
      <c r="S55">
        <f t="shared" si="8"/>
        <v>0</v>
      </c>
      <c r="T55">
        <f t="shared" si="5"/>
        <v>100000</v>
      </c>
    </row>
    <row r="56" spans="1:20" s="335" customFormat="1" hidden="1" x14ac:dyDescent="0.25">
      <c r="A56" s="335">
        <v>36</v>
      </c>
      <c r="B56" s="336">
        <v>200161</v>
      </c>
      <c r="C56" s="335" t="s">
        <v>1046</v>
      </c>
      <c r="D56" s="337">
        <v>-1244872.7</v>
      </c>
      <c r="E56" s="338">
        <f>SUMIF('AJE LTD'!A:A,'TB LTD 2021'!B56,'AJE LTD'!C:C)</f>
        <v>-61011.84205312992</v>
      </c>
      <c r="F56" s="339">
        <f t="shared" si="3"/>
        <v>-1305884.54205313</v>
      </c>
      <c r="G56" s="337">
        <v>-392958.09</v>
      </c>
      <c r="H56" s="338">
        <f>SUMIF('AJE LTD'!A:A,'TB LTD 2021'!B56,'AJE LTD'!D:D)</f>
        <v>-21163.527731802205</v>
      </c>
      <c r="I56" s="339">
        <f t="shared" si="4"/>
        <v>-414121.61773180222</v>
      </c>
      <c r="J56" s="340"/>
      <c r="K56" s="337"/>
      <c r="M56" s="341">
        <v>200126</v>
      </c>
      <c r="N56" s="341" t="s">
        <v>555</v>
      </c>
      <c r="O56" s="341">
        <v>64.3</v>
      </c>
      <c r="P56" s="342">
        <f t="shared" si="10"/>
        <v>-98.48</v>
      </c>
      <c r="Q56" s="335">
        <v>30019</v>
      </c>
      <c r="R56" s="335">
        <v>-200000</v>
      </c>
      <c r="S56" s="335">
        <f t="shared" si="8"/>
        <v>0</v>
      </c>
      <c r="T56" s="335">
        <f t="shared" si="5"/>
        <v>200000</v>
      </c>
    </row>
    <row r="57" spans="1:20" s="335" customFormat="1" hidden="1" x14ac:dyDescent="0.25">
      <c r="A57" s="335">
        <v>31</v>
      </c>
      <c r="B57" s="336">
        <v>21001</v>
      </c>
      <c r="C57" s="335" t="s">
        <v>15</v>
      </c>
      <c r="D57" s="337">
        <v>-6060.39</v>
      </c>
      <c r="E57" s="338">
        <f>SUMIF('AJE LTD'!A:A,'TB LTD 2021'!B57,'AJE LTD'!C:C)</f>
        <v>0</v>
      </c>
      <c r="F57" s="339">
        <f t="shared" si="3"/>
        <v>-6060.39</v>
      </c>
      <c r="G57" s="337">
        <v>-1948.68</v>
      </c>
      <c r="H57" s="338">
        <f>SUMIF('AJE LTD'!A:A,'TB LTD 2021'!B57,'AJE LTD'!D:D)</f>
        <v>0</v>
      </c>
      <c r="I57" s="339">
        <f t="shared" si="4"/>
        <v>-1948.68</v>
      </c>
      <c r="J57" s="340" t="s">
        <v>978</v>
      </c>
      <c r="K57" s="337"/>
      <c r="M57" s="341">
        <v>21001</v>
      </c>
      <c r="N57" s="341" t="s">
        <v>15</v>
      </c>
      <c r="O57" s="341">
        <v>321.5</v>
      </c>
      <c r="P57" s="342">
        <f t="shared" si="10"/>
        <v>1245194.2</v>
      </c>
      <c r="Q57" s="335">
        <v>30020</v>
      </c>
      <c r="R57" s="335">
        <v>-80000</v>
      </c>
      <c r="S57" s="335">
        <f t="shared" si="8"/>
        <v>0</v>
      </c>
      <c r="T57" s="335">
        <f t="shared" si="5"/>
        <v>80000</v>
      </c>
    </row>
    <row r="58" spans="1:20" hidden="1" x14ac:dyDescent="0.25">
      <c r="A58">
        <v>32</v>
      </c>
      <c r="B58" s="213">
        <v>20200</v>
      </c>
      <c r="C58" t="s">
        <v>511</v>
      </c>
      <c r="D58" s="274">
        <v>-247344.38</v>
      </c>
      <c r="E58" s="255">
        <f>SUMIF('AJE LTD'!A:A,'TB LTD 2021'!B58,'AJE LTD'!C:C)</f>
        <v>0</v>
      </c>
      <c r="F58" s="258">
        <f t="shared" si="3"/>
        <v>-247344.38</v>
      </c>
      <c r="G58" s="274">
        <v>-79278.740000000005</v>
      </c>
      <c r="H58" s="255">
        <f>SUMIF('AJE LTD'!A:A,'TB LTD 2021'!B58,'AJE LTD'!D:D)</f>
        <v>59650</v>
      </c>
      <c r="I58" s="258">
        <f t="shared" si="4"/>
        <v>-19628.740000000005</v>
      </c>
      <c r="J58" s="212" t="s">
        <v>978</v>
      </c>
      <c r="K58" s="274"/>
      <c r="M58" s="248">
        <v>20200</v>
      </c>
      <c r="N58" s="248" t="s">
        <v>511</v>
      </c>
      <c r="O58" s="248">
        <v>-314795.09000000003</v>
      </c>
      <c r="P58" s="35">
        <f t="shared" si="10"/>
        <v>-308734.7</v>
      </c>
      <c r="Q58">
        <v>30021</v>
      </c>
      <c r="R58">
        <v>-520000</v>
      </c>
      <c r="S58">
        <f t="shared" si="8"/>
        <v>0</v>
      </c>
      <c r="T58">
        <f t="shared" si="5"/>
        <v>520000</v>
      </c>
    </row>
    <row r="59" spans="1:20" hidden="1" x14ac:dyDescent="0.25">
      <c r="A59">
        <v>14</v>
      </c>
      <c r="B59" s="213">
        <v>20401</v>
      </c>
      <c r="C59" t="s">
        <v>783</v>
      </c>
      <c r="D59" s="274">
        <v>-1796.12</v>
      </c>
      <c r="E59" s="255">
        <f>SUMIF('AJE LTD'!A:A,'TB LTD 2021'!B59,'AJE LTD'!C:C)</f>
        <v>0</v>
      </c>
      <c r="F59" s="258">
        <f t="shared" si="3"/>
        <v>-1796.12</v>
      </c>
      <c r="G59" s="274">
        <v>-577.53</v>
      </c>
      <c r="H59" s="255">
        <f>SUMIF('AJE LTD'!A:A,'TB LTD 2021'!B59,'AJE LTD'!D:D)</f>
        <v>0</v>
      </c>
      <c r="I59" s="258">
        <f>SUM(G59:H59)</f>
        <v>-577.53</v>
      </c>
      <c r="J59" s="212"/>
      <c r="K59" s="274"/>
      <c r="M59" s="248">
        <v>20400</v>
      </c>
      <c r="N59" s="248" t="s">
        <v>655</v>
      </c>
      <c r="O59" s="248">
        <v>78206.039999999994</v>
      </c>
      <c r="P59" s="35">
        <f t="shared" si="10"/>
        <v>325550.42</v>
      </c>
      <c r="Q59">
        <v>30022</v>
      </c>
      <c r="R59">
        <v>-24999.97</v>
      </c>
      <c r="S59">
        <f t="shared" si="8"/>
        <v>0</v>
      </c>
      <c r="T59">
        <f t="shared" si="5"/>
        <v>24999.97</v>
      </c>
    </row>
    <row r="60" spans="1:20" hidden="1" x14ac:dyDescent="0.25">
      <c r="A60">
        <v>14</v>
      </c>
      <c r="B60" s="213">
        <v>20402</v>
      </c>
      <c r="C60" t="s">
        <v>656</v>
      </c>
      <c r="D60" s="274">
        <v>51508.93</v>
      </c>
      <c r="E60" s="255">
        <f>SUMIF('AJE LTD'!A:A,'TB LTD 2021'!B60,'AJE LTD'!C:C)</f>
        <v>0</v>
      </c>
      <c r="F60" s="258">
        <f t="shared" si="3"/>
        <v>51508.93</v>
      </c>
      <c r="G60" s="274">
        <v>16549.099999999999</v>
      </c>
      <c r="H60" s="255">
        <f>SUMIF('AJE LTD'!A:A,'TB LTD 2021'!B60,'AJE LTD'!D:D)</f>
        <v>0</v>
      </c>
      <c r="I60" s="258">
        <f t="shared" si="4"/>
        <v>16549.099999999999</v>
      </c>
      <c r="J60" s="212"/>
      <c r="K60" s="274"/>
      <c r="M60" s="248">
        <v>20402</v>
      </c>
      <c r="N60" s="248" t="s">
        <v>656</v>
      </c>
      <c r="O60" s="248">
        <v>0</v>
      </c>
      <c r="P60" s="35">
        <f t="shared" si="10"/>
        <v>1796.12</v>
      </c>
      <c r="Q60">
        <v>10003</v>
      </c>
      <c r="R60">
        <v>430.84</v>
      </c>
      <c r="S60">
        <f t="shared" si="8"/>
        <v>0</v>
      </c>
      <c r="T60">
        <f t="shared" si="5"/>
        <v>-430.84</v>
      </c>
    </row>
    <row r="61" spans="1:20" hidden="1" x14ac:dyDescent="0.25">
      <c r="A61">
        <v>14</v>
      </c>
      <c r="B61" s="213">
        <v>20403</v>
      </c>
      <c r="C61" t="s">
        <v>784</v>
      </c>
      <c r="D61" s="274">
        <v>67141.990000000005</v>
      </c>
      <c r="E61" s="255">
        <f>SUMIF('AJE LTD'!A:A,'TB LTD 2021'!B61,'AJE LTD'!C:C)</f>
        <v>0</v>
      </c>
      <c r="F61" s="258">
        <f t="shared" si="3"/>
        <v>67141.990000000005</v>
      </c>
      <c r="G61" s="274">
        <v>21589.06</v>
      </c>
      <c r="H61" s="255">
        <f>SUMIF('AJE LTD'!A:A,'TB LTD 2021'!B61,'AJE LTD'!D:D)</f>
        <v>0</v>
      </c>
      <c r="I61" s="258">
        <f t="shared" si="4"/>
        <v>21589.06</v>
      </c>
      <c r="J61" s="212"/>
      <c r="K61" s="274"/>
      <c r="M61" s="248">
        <v>20405</v>
      </c>
      <c r="N61" s="248" t="s">
        <v>657</v>
      </c>
      <c r="O61" s="248">
        <v>-101436.32</v>
      </c>
      <c r="P61" s="35">
        <f t="shared" si="10"/>
        <v>-152945.25</v>
      </c>
      <c r="Q61">
        <v>10004</v>
      </c>
      <c r="R61">
        <v>8990.39</v>
      </c>
      <c r="S61">
        <f t="shared" si="8"/>
        <v>0</v>
      </c>
      <c r="T61">
        <f t="shared" si="5"/>
        <v>-8990.39</v>
      </c>
    </row>
    <row r="62" spans="1:20" hidden="1" x14ac:dyDescent="0.25">
      <c r="A62">
        <v>14</v>
      </c>
      <c r="B62" s="213">
        <v>20405</v>
      </c>
      <c r="C62" t="s">
        <v>657</v>
      </c>
      <c r="D62" s="274">
        <v>-45134.02</v>
      </c>
      <c r="E62" s="255">
        <f>SUMIF('AJE LTD'!A:A,'TB LTD 2021'!B62,'AJE LTD'!C:C)</f>
        <v>0</v>
      </c>
      <c r="F62" s="258">
        <f t="shared" si="3"/>
        <v>-45134.02</v>
      </c>
      <c r="G62" s="274">
        <v>-14512.55</v>
      </c>
      <c r="H62" s="255">
        <f>SUMIF('AJE LTD'!A:A,'TB LTD 2021'!B62,'AJE LTD'!D:D)</f>
        <v>0</v>
      </c>
      <c r="I62" s="258">
        <f t="shared" si="4"/>
        <v>-14512.55</v>
      </c>
      <c r="J62" s="212"/>
      <c r="K62" s="328"/>
      <c r="M62" s="248">
        <v>20406</v>
      </c>
      <c r="N62" s="248" t="s">
        <v>658</v>
      </c>
      <c r="O62" s="248">
        <v>101436.32</v>
      </c>
      <c r="P62" s="35">
        <f t="shared" si="10"/>
        <v>34294.33</v>
      </c>
      <c r="Q62">
        <v>15002</v>
      </c>
      <c r="R62">
        <v>350.68</v>
      </c>
      <c r="S62">
        <f t="shared" si="8"/>
        <v>8029.34</v>
      </c>
      <c r="T62">
        <f t="shared" si="5"/>
        <v>7678.66</v>
      </c>
    </row>
    <row r="63" spans="1:20" hidden="1" x14ac:dyDescent="0.25">
      <c r="A63">
        <v>14</v>
      </c>
      <c r="B63" s="213">
        <v>20406</v>
      </c>
      <c r="C63" t="s">
        <v>658</v>
      </c>
      <c r="D63" s="274">
        <v>45134.02</v>
      </c>
      <c r="E63" s="255">
        <f>SUMIF('AJE LTD'!A:A,'TB LTD 2021'!B63,'AJE LTD'!C:C)</f>
        <v>0</v>
      </c>
      <c r="F63" s="258">
        <f t="shared" si="3"/>
        <v>45134.02</v>
      </c>
      <c r="G63" s="274">
        <v>14512.55</v>
      </c>
      <c r="H63" s="255">
        <f>SUMIF('AJE LTD'!A:A,'TB LTD 2021'!B63,'AJE LTD'!D:D)</f>
        <v>0</v>
      </c>
      <c r="I63" s="258">
        <f t="shared" si="4"/>
        <v>14512.55</v>
      </c>
      <c r="J63" s="212"/>
      <c r="K63" s="328"/>
      <c r="M63" s="248">
        <v>20500</v>
      </c>
      <c r="N63" s="248" t="s">
        <v>659</v>
      </c>
      <c r="O63" s="248">
        <v>-42684</v>
      </c>
      <c r="P63" s="35">
        <f t="shared" si="10"/>
        <v>2450.0199999999968</v>
      </c>
      <c r="Q63">
        <v>15102</v>
      </c>
      <c r="R63">
        <v>-79.88</v>
      </c>
      <c r="S63">
        <f t="shared" si="8"/>
        <v>-865.29</v>
      </c>
      <c r="T63">
        <f t="shared" si="5"/>
        <v>-785.41</v>
      </c>
    </row>
    <row r="64" spans="1:20" hidden="1" x14ac:dyDescent="0.25">
      <c r="A64">
        <v>34</v>
      </c>
      <c r="B64" s="213">
        <v>20500</v>
      </c>
      <c r="C64" t="s">
        <v>659</v>
      </c>
      <c r="D64" s="274">
        <v>-169226</v>
      </c>
      <c r="E64" s="255">
        <f>SUMIF('AJE LTD'!A:A,'TB LTD 2021'!B64,'AJE LTD'!C:C)</f>
        <v>0</v>
      </c>
      <c r="F64" s="258">
        <f t="shared" si="3"/>
        <v>-169226</v>
      </c>
      <c r="G64" s="274">
        <v>-54413.5</v>
      </c>
      <c r="H64" s="255">
        <f>SUMIF('AJE LTD'!A:A,'TB LTD 2021'!B64,'AJE LTD'!D:D)</f>
        <v>0</v>
      </c>
      <c r="I64" s="258">
        <f>SUM(G64:H64)</f>
        <v>-54413.5</v>
      </c>
      <c r="J64" s="212" t="s">
        <v>978</v>
      </c>
      <c r="K64" s="274"/>
      <c r="M64" s="248">
        <v>20501</v>
      </c>
      <c r="N64" s="248" t="s">
        <v>660</v>
      </c>
      <c r="O64" s="248">
        <v>-48748</v>
      </c>
      <c r="P64" s="35">
        <f t="shared" si="10"/>
        <v>-93882.01999999999</v>
      </c>
      <c r="Q64">
        <v>20000</v>
      </c>
      <c r="R64">
        <v>-1141.21</v>
      </c>
      <c r="S64">
        <f t="shared" si="8"/>
        <v>0</v>
      </c>
      <c r="T64">
        <f t="shared" si="5"/>
        <v>1141.21</v>
      </c>
    </row>
    <row r="65" spans="1:21" hidden="1" x14ac:dyDescent="0.25">
      <c r="A65">
        <v>34</v>
      </c>
      <c r="B65" s="213">
        <v>20501</v>
      </c>
      <c r="C65" t="s">
        <v>660</v>
      </c>
      <c r="D65" s="274">
        <v>-139873</v>
      </c>
      <c r="E65" s="255">
        <f>SUMIF('AJE LTD'!A:A,'TB LTD 2021'!B65,'AJE LTD'!C:C)</f>
        <v>0</v>
      </c>
      <c r="F65" s="258">
        <f t="shared" si="3"/>
        <v>-139873</v>
      </c>
      <c r="G65" s="274">
        <v>-44975.24</v>
      </c>
      <c r="H65" s="255">
        <f>SUMIF('AJE LTD'!A:A,'TB LTD 2021'!B65,'AJE LTD'!D:D)</f>
        <v>0</v>
      </c>
      <c r="I65" s="258">
        <f t="shared" si="4"/>
        <v>-44975.24</v>
      </c>
      <c r="J65" s="212" t="s">
        <v>978</v>
      </c>
      <c r="K65" s="328"/>
      <c r="M65" s="248">
        <v>20502</v>
      </c>
      <c r="N65" s="248" t="s">
        <v>556</v>
      </c>
      <c r="O65" s="248">
        <v>6148</v>
      </c>
      <c r="P65" s="35">
        <f t="shared" si="10"/>
        <v>175374</v>
      </c>
      <c r="Q65">
        <v>200002</v>
      </c>
      <c r="R65">
        <v>0</v>
      </c>
      <c r="S65">
        <f t="shared" si="8"/>
        <v>0</v>
      </c>
      <c r="T65">
        <f t="shared" si="5"/>
        <v>0</v>
      </c>
      <c r="U65" s="212"/>
    </row>
    <row r="66" spans="1:21" hidden="1" x14ac:dyDescent="0.25">
      <c r="A66">
        <v>34</v>
      </c>
      <c r="B66" s="213">
        <v>20604</v>
      </c>
      <c r="C66" t="s">
        <v>785</v>
      </c>
      <c r="D66" s="274">
        <v>6.32</v>
      </c>
      <c r="E66" s="255">
        <f>SUMIF('AJE LTD'!A:A,'TB LTD 2021'!B66,'AJE LTD'!C:C)</f>
        <v>0</v>
      </c>
      <c r="F66" s="258">
        <f t="shared" si="3"/>
        <v>6.32</v>
      </c>
      <c r="G66" s="274">
        <v>2.0299999999999998</v>
      </c>
      <c r="H66" s="255">
        <f>SUMIF('AJE LTD'!A:A,'TB LTD 2021'!B66,'AJE LTD'!D:D)</f>
        <v>0</v>
      </c>
      <c r="I66" s="258">
        <f>SUM(G66:H66)</f>
        <v>2.0299999999999998</v>
      </c>
      <c r="J66" s="212"/>
      <c r="K66" s="274"/>
      <c r="M66" s="248">
        <v>20602</v>
      </c>
      <c r="N66" s="248" t="s">
        <v>661</v>
      </c>
      <c r="O66" s="248">
        <v>-4340.6400000000003</v>
      </c>
      <c r="P66" s="35">
        <f t="shared" si="10"/>
        <v>135532.35999999999</v>
      </c>
      <c r="Q66">
        <v>200011</v>
      </c>
      <c r="R66">
        <v>0</v>
      </c>
      <c r="S66">
        <f t="shared" si="8"/>
        <v>0</v>
      </c>
      <c r="T66">
        <f t="shared" si="5"/>
        <v>0</v>
      </c>
    </row>
    <row r="67" spans="1:21" hidden="1" x14ac:dyDescent="0.25">
      <c r="A67">
        <v>14</v>
      </c>
      <c r="B67" s="213">
        <v>20605</v>
      </c>
      <c r="C67" t="s">
        <v>786</v>
      </c>
      <c r="D67" s="274">
        <v>2080</v>
      </c>
      <c r="E67" s="255">
        <f>SUMIF('AJE LTD'!A:A,'TB LTD 2021'!B67,'AJE LTD'!C:C)</f>
        <v>-2080</v>
      </c>
      <c r="F67" s="258">
        <f t="shared" ref="F67:F127" si="11">SUM(D67:E67)</f>
        <v>0</v>
      </c>
      <c r="G67" s="274">
        <v>668.81</v>
      </c>
      <c r="H67" s="255">
        <f>SUMIF('AJE LTD'!A:A,'TB LTD 2021'!B67,'AJE LTD'!D:D)</f>
        <v>-669</v>
      </c>
      <c r="I67" s="258">
        <f t="shared" si="4"/>
        <v>-0.19000000000005457</v>
      </c>
      <c r="J67" s="212" t="s">
        <v>978</v>
      </c>
      <c r="K67" s="328"/>
      <c r="M67" s="248">
        <v>20604</v>
      </c>
      <c r="N67" s="248" t="s">
        <v>662</v>
      </c>
      <c r="O67" s="248">
        <v>2134.34</v>
      </c>
      <c r="P67" s="35">
        <f t="shared" si="10"/>
        <v>2128.02</v>
      </c>
      <c r="Q67">
        <v>200019</v>
      </c>
      <c r="R67">
        <v>30.14</v>
      </c>
      <c r="S67">
        <f t="shared" si="8"/>
        <v>0</v>
      </c>
      <c r="T67">
        <f t="shared" ref="T67:T130" si="12">S67-R67</f>
        <v>-30.14</v>
      </c>
    </row>
    <row r="68" spans="1:21" hidden="1" x14ac:dyDescent="0.25">
      <c r="A68">
        <v>33</v>
      </c>
      <c r="B68" s="213">
        <v>20799</v>
      </c>
      <c r="C68" t="s">
        <v>787</v>
      </c>
      <c r="D68" s="274">
        <v>-145381</v>
      </c>
      <c r="E68" s="255">
        <f>SUMIF('AJE LTD'!A:A,'TB LTD 2021'!B68,'AJE LTD'!C:C)</f>
        <v>0</v>
      </c>
      <c r="F68" s="258">
        <f t="shared" si="11"/>
        <v>-145381</v>
      </c>
      <c r="G68" s="274">
        <v>-46746.3</v>
      </c>
      <c r="H68" s="255">
        <f>SUMIF('AJE LTD'!A:A,'TB LTD 2021'!B68,'AJE LTD'!D:D)</f>
        <v>0</v>
      </c>
      <c r="I68" s="258">
        <f t="shared" si="4"/>
        <v>-46746.3</v>
      </c>
      <c r="J68" s="212" t="s">
        <v>978</v>
      </c>
      <c r="K68" s="274"/>
      <c r="M68" s="248">
        <v>20799</v>
      </c>
      <c r="N68" s="248" t="s">
        <v>16</v>
      </c>
      <c r="O68" s="248">
        <v>-64002</v>
      </c>
      <c r="P68" s="35">
        <f t="shared" si="10"/>
        <v>-66082</v>
      </c>
      <c r="Q68">
        <v>200025</v>
      </c>
      <c r="R68">
        <v>0</v>
      </c>
      <c r="S68">
        <f t="shared" si="8"/>
        <v>0</v>
      </c>
      <c r="T68">
        <f t="shared" si="12"/>
        <v>0</v>
      </c>
    </row>
    <row r="69" spans="1:21" hidden="1" x14ac:dyDescent="0.25">
      <c r="A69">
        <v>33</v>
      </c>
      <c r="B69" s="213">
        <v>20900</v>
      </c>
      <c r="C69" t="s">
        <v>663</v>
      </c>
      <c r="D69" s="274">
        <v>-295786</v>
      </c>
      <c r="E69" s="255">
        <f>SUMIF('AJE LTD'!A:A,'TB LTD 2021'!B69,'AJE LTD'!C:C)</f>
        <v>0</v>
      </c>
      <c r="F69" s="258">
        <f t="shared" si="11"/>
        <v>-295786</v>
      </c>
      <c r="G69" s="274">
        <v>-95108.04</v>
      </c>
      <c r="H69" s="255">
        <f>SUMIF('AJE LTD'!A:A,'TB LTD 2021'!B69,'AJE LTD'!D:D)</f>
        <v>0</v>
      </c>
      <c r="I69" s="258">
        <f>SUM(G69:H69)</f>
        <v>-95108.04</v>
      </c>
      <c r="J69" s="212" t="s">
        <v>978</v>
      </c>
      <c r="K69" s="274"/>
      <c r="M69" s="248"/>
      <c r="N69" s="248"/>
      <c r="O69" s="248"/>
      <c r="P69" s="35">
        <f t="shared" si="10"/>
        <v>145381</v>
      </c>
      <c r="Q69">
        <v>200028</v>
      </c>
      <c r="R69">
        <v>0</v>
      </c>
      <c r="S69">
        <f t="shared" si="8"/>
        <v>0</v>
      </c>
      <c r="T69">
        <f t="shared" si="12"/>
        <v>0</v>
      </c>
    </row>
    <row r="70" spans="1:21" hidden="1" x14ac:dyDescent="0.25">
      <c r="A70">
        <v>33</v>
      </c>
      <c r="B70" s="213">
        <v>20901</v>
      </c>
      <c r="C70" t="s">
        <v>788</v>
      </c>
      <c r="D70" s="274">
        <v>1848.26</v>
      </c>
      <c r="E70" s="255">
        <f>SUMIF('AJE LTD'!A:A,'TB LTD 2021'!B70,'AJE LTD'!C:C)</f>
        <v>0</v>
      </c>
      <c r="F70" s="258">
        <f t="shared" si="11"/>
        <v>1848.26</v>
      </c>
      <c r="G70" s="274">
        <v>632.44000000000005</v>
      </c>
      <c r="H70" s="255">
        <f>SUMIF('AJE LTD'!A:A,'TB LTD 2021'!B70,'AJE LTD'!D:D)</f>
        <v>0</v>
      </c>
      <c r="I70" s="258">
        <f t="shared" si="4"/>
        <v>632.44000000000005</v>
      </c>
      <c r="J70" s="212"/>
      <c r="K70" s="274"/>
      <c r="M70" s="248"/>
      <c r="N70" s="248"/>
      <c r="O70" s="248"/>
      <c r="P70" s="35">
        <f t="shared" si="10"/>
        <v>295786</v>
      </c>
      <c r="Q70">
        <v>200031</v>
      </c>
      <c r="R70">
        <v>0</v>
      </c>
      <c r="S70">
        <f t="shared" si="8"/>
        <v>0</v>
      </c>
      <c r="T70">
        <f t="shared" si="12"/>
        <v>0</v>
      </c>
      <c r="U70" s="212"/>
    </row>
    <row r="71" spans="1:21" hidden="1" x14ac:dyDescent="0.25">
      <c r="A71">
        <v>33</v>
      </c>
      <c r="B71" s="213">
        <v>20902</v>
      </c>
      <c r="C71" t="s">
        <v>789</v>
      </c>
      <c r="D71" s="274">
        <v>1179</v>
      </c>
      <c r="E71" s="255">
        <f>SUMIF('AJE LTD'!A:A,'TB LTD 2021'!B71,'AJE LTD'!C:C)</f>
        <v>0</v>
      </c>
      <c r="F71" s="258">
        <f t="shared" si="11"/>
        <v>1179</v>
      </c>
      <c r="G71" s="274">
        <v>379.1</v>
      </c>
      <c r="H71" s="255">
        <f>SUMIF('AJE LTD'!A:A,'TB LTD 2021'!B71,'AJE LTD'!D:D)</f>
        <v>0</v>
      </c>
      <c r="I71" s="258">
        <f t="shared" si="4"/>
        <v>379.1</v>
      </c>
      <c r="J71" s="212"/>
      <c r="K71" s="274"/>
      <c r="M71" s="248">
        <v>20900</v>
      </c>
      <c r="N71" s="248" t="s">
        <v>663</v>
      </c>
      <c r="O71" s="248">
        <v>-152455</v>
      </c>
      <c r="P71" s="35">
        <f t="shared" si="10"/>
        <v>-154303.26</v>
      </c>
      <c r="Q71">
        <v>200034</v>
      </c>
      <c r="R71">
        <v>0</v>
      </c>
      <c r="S71">
        <f t="shared" si="8"/>
        <v>0</v>
      </c>
      <c r="T71">
        <f t="shared" si="12"/>
        <v>0</v>
      </c>
    </row>
    <row r="72" spans="1:21" hidden="1" x14ac:dyDescent="0.25">
      <c r="A72">
        <v>33</v>
      </c>
      <c r="B72" s="213">
        <v>20903</v>
      </c>
      <c r="C72" t="s">
        <v>790</v>
      </c>
      <c r="D72" s="274">
        <v>154</v>
      </c>
      <c r="E72" s="255">
        <f>SUMIF('AJE LTD'!A:A,'TB LTD 2021'!B72,'AJE LTD'!C:C)</f>
        <v>0</v>
      </c>
      <c r="F72" s="258">
        <f t="shared" si="11"/>
        <v>154</v>
      </c>
      <c r="G72" s="274">
        <v>49.52</v>
      </c>
      <c r="H72" s="255">
        <f>SUMIF('AJE LTD'!A:A,'TB LTD 2021'!B72,'AJE LTD'!D:D)</f>
        <v>0</v>
      </c>
      <c r="I72" s="258">
        <f t="shared" si="4"/>
        <v>49.52</v>
      </c>
      <c r="J72" s="212"/>
      <c r="K72" s="274"/>
      <c r="M72" s="248">
        <v>20901</v>
      </c>
      <c r="N72" s="248" t="s">
        <v>17</v>
      </c>
      <c r="O72" s="248">
        <v>-2269.2199999999998</v>
      </c>
      <c r="P72" s="35">
        <f t="shared" si="10"/>
        <v>-3448.22</v>
      </c>
      <c r="Q72">
        <v>200008</v>
      </c>
      <c r="R72">
        <v>0</v>
      </c>
      <c r="S72">
        <f t="shared" si="8"/>
        <v>1548.74</v>
      </c>
      <c r="T72">
        <f t="shared" si="12"/>
        <v>1548.74</v>
      </c>
    </row>
    <row r="73" spans="1:21" hidden="1" x14ac:dyDescent="0.25">
      <c r="A73">
        <v>33</v>
      </c>
      <c r="B73" s="213">
        <v>20905</v>
      </c>
      <c r="C73" t="s">
        <v>791</v>
      </c>
      <c r="D73" s="274">
        <v>222</v>
      </c>
      <c r="E73" s="255">
        <f>SUMIF('AJE LTD'!A:A,'TB LTD 2021'!B73,'AJE LTD'!C:C)</f>
        <v>0</v>
      </c>
      <c r="F73" s="258">
        <f t="shared" si="11"/>
        <v>222</v>
      </c>
      <c r="G73" s="274">
        <v>71.38</v>
      </c>
      <c r="H73" s="255">
        <f>SUMIF('AJE LTD'!A:A,'TB LTD 2021'!B73,'AJE LTD'!D:D)</f>
        <v>0</v>
      </c>
      <c r="I73" s="258">
        <f t="shared" si="4"/>
        <v>71.38</v>
      </c>
      <c r="J73" s="212"/>
      <c r="K73" s="274"/>
      <c r="M73" s="248">
        <v>20903</v>
      </c>
      <c r="N73" s="248" t="s">
        <v>18</v>
      </c>
      <c r="O73" s="248">
        <v>446</v>
      </c>
      <c r="P73" s="35">
        <f t="shared" si="10"/>
        <v>292</v>
      </c>
      <c r="Q73">
        <v>200017</v>
      </c>
      <c r="R73">
        <v>0</v>
      </c>
      <c r="S73">
        <f t="shared" si="8"/>
        <v>1094.53</v>
      </c>
      <c r="T73">
        <f t="shared" si="12"/>
        <v>1094.53</v>
      </c>
    </row>
    <row r="74" spans="1:21" hidden="1" x14ac:dyDescent="0.25">
      <c r="A74">
        <v>33</v>
      </c>
      <c r="B74" s="213">
        <v>20906</v>
      </c>
      <c r="C74" t="s">
        <v>792</v>
      </c>
      <c r="D74" s="274">
        <v>-217.8</v>
      </c>
      <c r="E74" s="255">
        <f>SUMIF('AJE LTD'!A:A,'TB LTD 2021'!B74,'AJE LTD'!C:C)</f>
        <v>0</v>
      </c>
      <c r="F74" s="258">
        <f t="shared" si="11"/>
        <v>-217.8</v>
      </c>
      <c r="G74" s="274">
        <v>-70.03</v>
      </c>
      <c r="H74" s="255">
        <f>SUMIF('AJE LTD'!A:A,'TB LTD 2021'!B74,'AJE LTD'!D:D)</f>
        <v>0</v>
      </c>
      <c r="I74" s="258">
        <f t="shared" si="4"/>
        <v>-70.03</v>
      </c>
      <c r="J74" s="212" t="s">
        <v>978</v>
      </c>
      <c r="K74" s="274"/>
      <c r="M74" s="248">
        <v>20904</v>
      </c>
      <c r="N74" s="248" t="s">
        <v>19</v>
      </c>
      <c r="O74" s="248">
        <v>7206.66</v>
      </c>
      <c r="P74" s="35">
        <f t="shared" si="10"/>
        <v>6984.66</v>
      </c>
      <c r="Q74">
        <v>200032</v>
      </c>
      <c r="R74">
        <v>0</v>
      </c>
      <c r="S74">
        <f t="shared" si="8"/>
        <v>8824.9500000000007</v>
      </c>
      <c r="T74">
        <f t="shared" si="12"/>
        <v>8824.9500000000007</v>
      </c>
    </row>
    <row r="75" spans="1:21" hidden="1" x14ac:dyDescent="0.25">
      <c r="A75">
        <v>33</v>
      </c>
      <c r="B75" s="213">
        <v>20908</v>
      </c>
      <c r="C75" t="s">
        <v>793</v>
      </c>
      <c r="D75" s="274">
        <v>105</v>
      </c>
      <c r="E75" s="255">
        <f>SUMIF('AJE LTD'!A:A,'TB LTD 2021'!B75,'AJE LTD'!C:C)</f>
        <v>0</v>
      </c>
      <c r="F75" s="258">
        <f t="shared" si="11"/>
        <v>105</v>
      </c>
      <c r="G75" s="274">
        <v>33.76</v>
      </c>
      <c r="H75" s="255">
        <f>SUMIF('AJE LTD'!A:A,'TB LTD 2021'!B75,'AJE LTD'!D:D)</f>
        <v>0</v>
      </c>
      <c r="I75" s="258">
        <f t="shared" si="4"/>
        <v>33.76</v>
      </c>
      <c r="J75" s="212"/>
      <c r="K75" s="274"/>
      <c r="M75" s="248"/>
      <c r="N75" s="248"/>
      <c r="O75" s="248"/>
      <c r="P75" s="35">
        <f t="shared" si="10"/>
        <v>217.8</v>
      </c>
      <c r="Q75">
        <v>200033</v>
      </c>
      <c r="R75">
        <v>0</v>
      </c>
      <c r="S75">
        <f t="shared" si="8"/>
        <v>0</v>
      </c>
      <c r="T75">
        <f t="shared" si="12"/>
        <v>0</v>
      </c>
    </row>
    <row r="76" spans="1:21" hidden="1" x14ac:dyDescent="0.25">
      <c r="A76">
        <v>33</v>
      </c>
      <c r="B76" s="213">
        <v>20909</v>
      </c>
      <c r="C76" t="s">
        <v>794</v>
      </c>
      <c r="D76" s="274">
        <v>468</v>
      </c>
      <c r="E76" s="255">
        <f>SUMIF('AJE LTD'!A:A,'TB LTD 2021'!B76,'AJE LTD'!C:C)</f>
        <v>0</v>
      </c>
      <c r="F76" s="258">
        <f t="shared" si="11"/>
        <v>468</v>
      </c>
      <c r="G76" s="274">
        <v>150.47999999999999</v>
      </c>
      <c r="H76" s="255">
        <f>SUMIF('AJE LTD'!A:A,'TB LTD 2021'!B76,'AJE LTD'!D:D)</f>
        <v>0</v>
      </c>
      <c r="I76" s="258">
        <f>SUM(G76:H76)</f>
        <v>150.47999999999999</v>
      </c>
      <c r="J76" s="212"/>
      <c r="K76" s="274"/>
      <c r="M76" s="248">
        <v>20998</v>
      </c>
      <c r="N76" s="248" t="s">
        <v>664</v>
      </c>
      <c r="O76" s="248">
        <v>-108732.5</v>
      </c>
      <c r="P76" s="35">
        <f t="shared" si="10"/>
        <v>-108837.5</v>
      </c>
      <c r="Q76">
        <v>21001</v>
      </c>
      <c r="R76">
        <v>100</v>
      </c>
      <c r="S76">
        <f t="shared" si="8"/>
        <v>-1948.68</v>
      </c>
      <c r="T76">
        <f t="shared" si="12"/>
        <v>-2048.6800000000003</v>
      </c>
    </row>
    <row r="77" spans="1:21" hidden="1" x14ac:dyDescent="0.25">
      <c r="A77">
        <v>33</v>
      </c>
      <c r="B77" s="213">
        <v>20919</v>
      </c>
      <c r="C77" t="s">
        <v>795</v>
      </c>
      <c r="D77" s="274">
        <v>90</v>
      </c>
      <c r="E77" s="255">
        <f>SUMIF('AJE LTD'!A:A,'TB LTD 2021'!B77,'AJE LTD'!C:C)</f>
        <v>0</v>
      </c>
      <c r="F77" s="258">
        <f t="shared" si="11"/>
        <v>90</v>
      </c>
      <c r="G77" s="274">
        <v>28.94</v>
      </c>
      <c r="H77" s="255">
        <f>SUMIF('AJE LTD'!A:A,'TB LTD 2021'!B77,'AJE LTD'!D:D)</f>
        <v>0</v>
      </c>
      <c r="I77" s="258">
        <f>SUM(G77:H77)</f>
        <v>28.94</v>
      </c>
      <c r="J77" s="212"/>
      <c r="K77" s="274"/>
      <c r="M77" s="249">
        <v>20999</v>
      </c>
      <c r="N77" s="249" t="s">
        <v>557</v>
      </c>
      <c r="O77" s="249">
        <v>-4918.16</v>
      </c>
      <c r="P77" s="35">
        <f t="shared" si="10"/>
        <v>-5386.16</v>
      </c>
      <c r="Q77">
        <v>20400</v>
      </c>
      <c r="R77">
        <v>24325.360000000001</v>
      </c>
      <c r="S77">
        <f t="shared" si="8"/>
        <v>0</v>
      </c>
      <c r="T77">
        <f t="shared" si="12"/>
        <v>-24325.360000000001</v>
      </c>
    </row>
    <row r="78" spans="1:21" hidden="1" x14ac:dyDescent="0.25">
      <c r="A78">
        <v>33</v>
      </c>
      <c r="B78" s="213">
        <v>20998</v>
      </c>
      <c r="C78" t="s">
        <v>664</v>
      </c>
      <c r="D78" s="274">
        <v>0</v>
      </c>
      <c r="E78" s="255">
        <f>SUMIF('AJE LTD'!A:A,'TB LTD 2021'!B78,'AJE LTD'!C:C)</f>
        <v>0</v>
      </c>
      <c r="F78" s="258">
        <f t="shared" si="11"/>
        <v>0</v>
      </c>
      <c r="G78" s="274">
        <v>0.01</v>
      </c>
      <c r="H78" s="255">
        <f>SUMIF('AJE LTD'!A:A,'TB LTD 2021'!B78,'AJE LTD'!D:D)</f>
        <v>0</v>
      </c>
      <c r="I78" s="258">
        <f t="shared" si="4"/>
        <v>0.01</v>
      </c>
      <c r="J78" s="212"/>
      <c r="K78" s="274"/>
      <c r="M78" s="248">
        <v>25200</v>
      </c>
      <c r="N78" s="248" t="s">
        <v>558</v>
      </c>
      <c r="O78" s="248">
        <v>947270.56</v>
      </c>
      <c r="P78" s="35">
        <f t="shared" si="10"/>
        <v>947180.56</v>
      </c>
      <c r="Q78">
        <v>20405</v>
      </c>
      <c r="R78">
        <v>-31550.95</v>
      </c>
      <c r="S78">
        <f t="shared" si="8"/>
        <v>-14512.55</v>
      </c>
      <c r="T78">
        <f t="shared" si="12"/>
        <v>17038.400000000001</v>
      </c>
    </row>
    <row r="79" spans="1:21" hidden="1" x14ac:dyDescent="0.25">
      <c r="A79">
        <v>33</v>
      </c>
      <c r="B79" s="213">
        <v>20999</v>
      </c>
      <c r="C79" t="s">
        <v>557</v>
      </c>
      <c r="D79" s="274">
        <v>-6457.84</v>
      </c>
      <c r="E79" s="255">
        <f>SUMIF('AJE LTD'!A:A,'TB LTD 2021'!B79,'AJE LTD'!C:C)</f>
        <v>0</v>
      </c>
      <c r="F79" s="258">
        <f t="shared" si="11"/>
        <v>-6457.84</v>
      </c>
      <c r="G79" s="274">
        <v>-2076.58</v>
      </c>
      <c r="H79" s="255">
        <f>SUMIF('AJE LTD'!A:A,'TB LTD 2021'!B79,'AJE LTD'!D:D)</f>
        <v>0</v>
      </c>
      <c r="I79" s="258">
        <f t="shared" si="4"/>
        <v>-2076.58</v>
      </c>
      <c r="J79" s="212" t="s">
        <v>978</v>
      </c>
      <c r="K79" s="274"/>
      <c r="M79" s="248">
        <v>30010</v>
      </c>
      <c r="N79" s="248" t="s">
        <v>20</v>
      </c>
      <c r="O79" s="248">
        <v>111209.62</v>
      </c>
      <c r="P79" s="35">
        <f t="shared" si="10"/>
        <v>111209.62</v>
      </c>
      <c r="Q79">
        <v>20406</v>
      </c>
      <c r="R79">
        <v>31550.95</v>
      </c>
      <c r="S79">
        <f t="shared" si="8"/>
        <v>14512.55</v>
      </c>
      <c r="T79">
        <f t="shared" si="12"/>
        <v>-17038.400000000001</v>
      </c>
    </row>
    <row r="80" spans="1:21" s="335" customFormat="1" hidden="1" x14ac:dyDescent="0.25">
      <c r="A80" s="335">
        <v>36</v>
      </c>
      <c r="B80" s="336">
        <v>20800</v>
      </c>
      <c r="C80" s="335" t="s">
        <v>1047</v>
      </c>
      <c r="D80" s="337">
        <v>-13912398.15</v>
      </c>
      <c r="E80" s="338">
        <f>SUMIF('AJE LTD'!A:A,'TB LTD 2021'!B80,'AJE LTD'!C:C)</f>
        <v>-980234.95000000019</v>
      </c>
      <c r="F80" s="339">
        <f t="shared" si="11"/>
        <v>-14892633.100000001</v>
      </c>
      <c r="G80" s="337">
        <v>-4472830.25</v>
      </c>
      <c r="H80" s="338">
        <f>SUMIF('AJE LTD'!A:A,'TB LTD 2021'!B80,'AJE LTD'!D:D)</f>
        <v>0</v>
      </c>
      <c r="I80" s="339">
        <f t="shared" si="4"/>
        <v>-4472830.25</v>
      </c>
      <c r="J80" s="340"/>
      <c r="K80" s="337"/>
      <c r="M80" s="341">
        <v>30011</v>
      </c>
      <c r="N80" s="341" t="s">
        <v>21</v>
      </c>
      <c r="O80" s="341">
        <v>-11662497.65</v>
      </c>
      <c r="P80" s="342">
        <f t="shared" si="10"/>
        <v>-11656039.810000001</v>
      </c>
      <c r="Q80" s="335">
        <v>30010</v>
      </c>
      <c r="R80" s="335">
        <v>30916.21</v>
      </c>
      <c r="S80" s="335">
        <f t="shared" si="8"/>
        <v>35463.35</v>
      </c>
      <c r="T80" s="335">
        <f t="shared" si="12"/>
        <v>4547.1399999999994</v>
      </c>
    </row>
    <row r="81" spans="1:20" hidden="1" x14ac:dyDescent="0.25">
      <c r="A81">
        <v>44</v>
      </c>
      <c r="B81" s="213">
        <v>30010</v>
      </c>
      <c r="C81" t="s">
        <v>20</v>
      </c>
      <c r="D81" s="274">
        <v>119901.6</v>
      </c>
      <c r="E81" s="255">
        <f>SUMIF('AJE LTD'!A:A,'TB LTD 2021'!B81,'AJE LTD'!C:C)</f>
        <v>-119901.6</v>
      </c>
      <c r="F81" s="258">
        <f t="shared" si="11"/>
        <v>0</v>
      </c>
      <c r="G81" s="274">
        <v>35463.35</v>
      </c>
      <c r="H81" s="255">
        <f>SUMIF('AJE LTD'!A:A,'TB LTD 2021'!B81,'AJE LTD'!D:D)</f>
        <v>-35463.35</v>
      </c>
      <c r="I81" s="258">
        <f t="shared" si="4"/>
        <v>0</v>
      </c>
      <c r="J81" s="212"/>
      <c r="K81" s="274"/>
      <c r="M81" s="248">
        <v>30012</v>
      </c>
      <c r="N81" s="248" t="s">
        <v>22</v>
      </c>
      <c r="O81" s="248">
        <v>-151252.35</v>
      </c>
      <c r="P81" s="35">
        <f t="shared" ref="P81:P108" si="13">O81-D80</f>
        <v>13761145.800000001</v>
      </c>
      <c r="Q81">
        <v>20602</v>
      </c>
      <c r="R81">
        <v>-1350.12</v>
      </c>
      <c r="S81">
        <f t="shared" si="8"/>
        <v>0</v>
      </c>
      <c r="T81">
        <f t="shared" si="12"/>
        <v>1350.12</v>
      </c>
    </row>
    <row r="82" spans="1:20" hidden="1" x14ac:dyDescent="0.25">
      <c r="A82">
        <v>48</v>
      </c>
      <c r="B82" s="213">
        <v>39001</v>
      </c>
      <c r="C82" t="s">
        <v>559</v>
      </c>
      <c r="D82" s="274">
        <v>4010091.22</v>
      </c>
      <c r="E82" s="255">
        <f>SUMIF('AJE LTD'!A:A,'TB LTD 2021'!B82,'AJE LTD'!C:C)</f>
        <v>491566.32000000007</v>
      </c>
      <c r="F82" s="258">
        <f t="shared" si="11"/>
        <v>4501657.54</v>
      </c>
      <c r="G82" s="274">
        <v>1249522.6399999999</v>
      </c>
      <c r="H82" s="255">
        <f>SUMIF('AJE LTD'!A:A,'TB LTD 2021'!B82,'AJE LTD'!D:D)</f>
        <v>0</v>
      </c>
      <c r="I82" s="258">
        <f t="shared" si="4"/>
        <v>1249522.6399999999</v>
      </c>
      <c r="J82" s="212"/>
      <c r="K82" s="274"/>
      <c r="M82" s="248">
        <v>30013</v>
      </c>
      <c r="N82" s="248" t="s">
        <v>23</v>
      </c>
      <c r="O82" s="248">
        <v>-178900</v>
      </c>
      <c r="P82" s="35">
        <f t="shared" si="13"/>
        <v>-298801.59999999998</v>
      </c>
      <c r="Q82">
        <v>20904</v>
      </c>
      <c r="R82">
        <v>2241.5700000000002</v>
      </c>
      <c r="S82">
        <f t="shared" si="8"/>
        <v>0</v>
      </c>
      <c r="T82">
        <f t="shared" si="12"/>
        <v>-2241.5700000000002</v>
      </c>
    </row>
    <row r="83" spans="1:20" hidden="1" x14ac:dyDescent="0.25">
      <c r="A83">
        <v>51</v>
      </c>
      <c r="B83" s="213">
        <v>40005</v>
      </c>
      <c r="C83" t="s">
        <v>665</v>
      </c>
      <c r="D83" s="274">
        <v>-164697.76999999999</v>
      </c>
      <c r="E83" s="255">
        <f>SUMIF('AJE LTD'!A:A,'TB LTD 2021'!B83,'AJE LTD'!C:C)</f>
        <v>0</v>
      </c>
      <c r="F83" s="258">
        <f t="shared" si="11"/>
        <v>-164697.76999999999</v>
      </c>
      <c r="G83" s="274">
        <v>-51514.98</v>
      </c>
      <c r="H83" s="255">
        <f>SUMIF('AJE LTD'!A:A,'TB LTD 2021'!B83,'AJE LTD'!D:D)</f>
        <v>0</v>
      </c>
      <c r="I83" s="258">
        <f t="shared" si="4"/>
        <v>-51514.98</v>
      </c>
      <c r="J83" s="212"/>
      <c r="K83" s="274"/>
      <c r="M83" s="248">
        <v>30014</v>
      </c>
      <c r="N83" s="248" t="s">
        <v>24</v>
      </c>
      <c r="O83" s="248">
        <v>-178900</v>
      </c>
      <c r="P83" s="35">
        <f t="shared" si="13"/>
        <v>-4188991.22</v>
      </c>
      <c r="Q83">
        <v>20905</v>
      </c>
      <c r="R83">
        <v>0</v>
      </c>
      <c r="S83">
        <f t="shared" si="8"/>
        <v>71.38</v>
      </c>
      <c r="T83">
        <f t="shared" si="12"/>
        <v>71.38</v>
      </c>
    </row>
    <row r="84" spans="1:20" hidden="1" x14ac:dyDescent="0.25">
      <c r="A84">
        <v>51</v>
      </c>
      <c r="B84" s="213">
        <v>40006</v>
      </c>
      <c r="C84" t="s">
        <v>666</v>
      </c>
      <c r="D84" s="274">
        <v>164697.76999999999</v>
      </c>
      <c r="E84" s="255">
        <f>SUMIF('AJE LTD'!A:A,'TB LTD 2021'!B84,'AJE LTD'!C:C)</f>
        <v>0</v>
      </c>
      <c r="F84" s="258">
        <f t="shared" si="11"/>
        <v>164697.76999999999</v>
      </c>
      <c r="G84" s="274">
        <v>51514.98</v>
      </c>
      <c r="H84" s="255">
        <f>SUMIF('AJE LTD'!A:A,'TB LTD 2021'!B84,'AJE LTD'!D:D)</f>
        <v>0</v>
      </c>
      <c r="I84" s="258">
        <f t="shared" si="4"/>
        <v>51514.98</v>
      </c>
      <c r="J84" s="212"/>
      <c r="K84" s="274"/>
      <c r="M84" s="248">
        <v>30015</v>
      </c>
      <c r="N84" s="248" t="s">
        <v>25</v>
      </c>
      <c r="O84" s="248">
        <v>-204729.58</v>
      </c>
      <c r="P84" s="35">
        <f t="shared" si="13"/>
        <v>-40031.81</v>
      </c>
      <c r="Q84">
        <v>40007</v>
      </c>
      <c r="R84">
        <v>-3746.91</v>
      </c>
      <c r="S84">
        <f t="shared" si="8"/>
        <v>0</v>
      </c>
      <c r="T84">
        <f t="shared" si="12"/>
        <v>3746.91</v>
      </c>
    </row>
    <row r="85" spans="1:20" hidden="1" x14ac:dyDescent="0.25">
      <c r="A85">
        <v>53</v>
      </c>
      <c r="B85" s="213">
        <v>50101</v>
      </c>
      <c r="C85" t="s">
        <v>618</v>
      </c>
      <c r="D85" s="274">
        <v>1378</v>
      </c>
      <c r="E85" s="255">
        <f>SUMIF('AJE LTD'!A:A,'TB LTD 2021'!B85,'AJE LTD'!C:C)</f>
        <v>0</v>
      </c>
      <c r="F85" s="258">
        <f t="shared" si="11"/>
        <v>1378</v>
      </c>
      <c r="G85" s="274">
        <v>429.28</v>
      </c>
      <c r="H85" s="255">
        <f>SUMIF('AJE LTD'!A:A,'TB LTD 2021'!B85,'AJE LTD'!D:D)</f>
        <v>0</v>
      </c>
      <c r="I85" s="258">
        <f t="shared" si="4"/>
        <v>429.28</v>
      </c>
      <c r="J85" s="212"/>
      <c r="K85" s="274"/>
      <c r="M85" s="248">
        <v>30016</v>
      </c>
      <c r="N85" s="248" t="s">
        <v>26</v>
      </c>
      <c r="O85" s="248">
        <v>-268350</v>
      </c>
      <c r="P85" s="35">
        <f t="shared" si="13"/>
        <v>-433047.77</v>
      </c>
      <c r="Q85">
        <v>50100</v>
      </c>
      <c r="R85">
        <v>9535.09</v>
      </c>
      <c r="S85">
        <f t="shared" si="8"/>
        <v>0</v>
      </c>
      <c r="T85">
        <f t="shared" si="12"/>
        <v>-9535.09</v>
      </c>
    </row>
    <row r="86" spans="1:20" hidden="1" x14ac:dyDescent="0.25">
      <c r="A86">
        <v>53</v>
      </c>
      <c r="B86" s="213">
        <v>50102</v>
      </c>
      <c r="C86" t="s">
        <v>796</v>
      </c>
      <c r="D86" s="274">
        <v>85740.17</v>
      </c>
      <c r="E86" s="255">
        <f>SUMIF('AJE LTD'!A:A,'TB LTD 2021'!B86,'AJE LTD'!C:C)</f>
        <v>0</v>
      </c>
      <c r="F86" s="258">
        <f t="shared" si="11"/>
        <v>85740.17</v>
      </c>
      <c r="G86" s="274">
        <v>26780.28</v>
      </c>
      <c r="H86" s="255">
        <f>SUMIF('AJE LTD'!A:A,'TB LTD 2021'!B86,'AJE LTD'!D:D)</f>
        <v>0</v>
      </c>
      <c r="I86" s="258">
        <f t="shared" si="4"/>
        <v>26780.28</v>
      </c>
      <c r="J86" s="212"/>
      <c r="K86" s="274"/>
      <c r="M86" s="248">
        <v>30017</v>
      </c>
      <c r="N86" s="248" t="s">
        <v>27</v>
      </c>
      <c r="O86" s="248">
        <v>-331970.42</v>
      </c>
      <c r="P86" s="35">
        <f t="shared" si="13"/>
        <v>-333348.42</v>
      </c>
      <c r="Q86">
        <v>50103</v>
      </c>
      <c r="R86">
        <v>1923.45</v>
      </c>
      <c r="S86">
        <f t="shared" si="8"/>
        <v>0</v>
      </c>
      <c r="T86">
        <f t="shared" si="12"/>
        <v>-1923.45</v>
      </c>
    </row>
    <row r="87" spans="1:20" hidden="1" x14ac:dyDescent="0.25">
      <c r="A87">
        <v>53</v>
      </c>
      <c r="B87" s="213">
        <v>50107</v>
      </c>
      <c r="C87" t="s">
        <v>564</v>
      </c>
      <c r="D87" s="274">
        <v>14414.96</v>
      </c>
      <c r="E87" s="255">
        <f>SUMIF('AJE LTD'!A:A,'TB LTD 2021'!B87,'AJE LTD'!C:C)</f>
        <v>0</v>
      </c>
      <c r="F87" s="258">
        <f t="shared" si="11"/>
        <v>14414.96</v>
      </c>
      <c r="G87" s="274">
        <v>4578.32</v>
      </c>
      <c r="H87" s="255">
        <f>SUMIF('AJE LTD'!A:A,'TB LTD 2021'!B87,'AJE LTD'!D:D)</f>
        <v>0</v>
      </c>
      <c r="I87" s="258">
        <f t="shared" si="4"/>
        <v>4578.32</v>
      </c>
      <c r="J87" s="212"/>
      <c r="K87" s="274"/>
      <c r="M87" s="248">
        <v>30018</v>
      </c>
      <c r="N87" s="248" t="s">
        <v>28</v>
      </c>
      <c r="O87" s="248">
        <v>-357800</v>
      </c>
      <c r="P87" s="35">
        <f t="shared" si="13"/>
        <v>-443540.17</v>
      </c>
      <c r="Q87">
        <v>50107</v>
      </c>
      <c r="R87">
        <v>272.91000000000003</v>
      </c>
      <c r="S87">
        <f t="shared" si="8"/>
        <v>4578.32</v>
      </c>
      <c r="T87">
        <f t="shared" si="12"/>
        <v>4305.41</v>
      </c>
    </row>
    <row r="88" spans="1:20" hidden="1" x14ac:dyDescent="0.25">
      <c r="A88">
        <v>53</v>
      </c>
      <c r="B88" s="213">
        <v>50109</v>
      </c>
      <c r="C88" t="s">
        <v>797</v>
      </c>
      <c r="D88" s="274">
        <v>64840.03</v>
      </c>
      <c r="E88" s="255">
        <f>SUMIF('AJE LTD'!A:A,'TB LTD 2021'!B88,'AJE LTD'!C:C)</f>
        <v>0</v>
      </c>
      <c r="F88" s="258">
        <f t="shared" si="11"/>
        <v>64840.03</v>
      </c>
      <c r="G88" s="274">
        <v>19083.3</v>
      </c>
      <c r="H88" s="255">
        <f>SUMIF('AJE LTD'!A:A,'TB LTD 2021'!B88,'AJE LTD'!D:D)</f>
        <v>0</v>
      </c>
      <c r="I88" s="258">
        <f t="shared" si="4"/>
        <v>19083.3</v>
      </c>
      <c r="J88" s="212"/>
      <c r="K88" s="274"/>
      <c r="M88" s="248">
        <v>30019</v>
      </c>
      <c r="N88" s="248" t="s">
        <v>29</v>
      </c>
      <c r="O88" s="248">
        <v>-715600</v>
      </c>
      <c r="P88" s="35">
        <f t="shared" si="13"/>
        <v>-730014.96</v>
      </c>
      <c r="Q88">
        <v>50109</v>
      </c>
      <c r="R88">
        <v>2148.0500000000002</v>
      </c>
      <c r="S88">
        <f t="shared" si="8"/>
        <v>19083.3</v>
      </c>
      <c r="T88">
        <f t="shared" si="12"/>
        <v>16935.25</v>
      </c>
    </row>
    <row r="89" spans="1:20" hidden="1" x14ac:dyDescent="0.25">
      <c r="A89">
        <v>53</v>
      </c>
      <c r="B89" s="213">
        <v>50110</v>
      </c>
      <c r="C89" t="s">
        <v>798</v>
      </c>
      <c r="D89" s="274">
        <v>7710.2</v>
      </c>
      <c r="E89" s="255">
        <f>SUMIF('AJE LTD'!A:A,'TB LTD 2021'!B89,'AJE LTD'!C:C)</f>
        <v>0</v>
      </c>
      <c r="F89" s="258">
        <f t="shared" si="11"/>
        <v>7710.2</v>
      </c>
      <c r="G89" s="274">
        <v>2397.38</v>
      </c>
      <c r="H89" s="255">
        <f>SUMIF('AJE LTD'!A:A,'TB LTD 2021'!B89,'AJE LTD'!D:D)</f>
        <v>0</v>
      </c>
      <c r="I89" s="258">
        <f t="shared" si="4"/>
        <v>2397.38</v>
      </c>
      <c r="J89" s="212"/>
      <c r="K89" s="274"/>
      <c r="M89" s="248">
        <v>30020</v>
      </c>
      <c r="N89" s="248" t="s">
        <v>30</v>
      </c>
      <c r="O89" s="248">
        <v>-286640</v>
      </c>
      <c r="P89" s="35">
        <f t="shared" si="13"/>
        <v>-351480.03</v>
      </c>
      <c r="Q89">
        <v>51000</v>
      </c>
      <c r="R89">
        <v>670329.38</v>
      </c>
      <c r="S89">
        <f t="shared" si="8"/>
        <v>1153882.75</v>
      </c>
      <c r="T89">
        <f t="shared" si="12"/>
        <v>483553.37</v>
      </c>
    </row>
    <row r="90" spans="1:20" hidden="1" x14ac:dyDescent="0.25">
      <c r="A90">
        <v>53</v>
      </c>
      <c r="B90" s="213">
        <v>50112</v>
      </c>
      <c r="C90" t="s">
        <v>799</v>
      </c>
      <c r="D90" s="274">
        <v>673.25</v>
      </c>
      <c r="E90" s="255">
        <f>SUMIF('AJE LTD'!A:A,'TB LTD 2021'!B90,'AJE LTD'!C:C)</f>
        <v>0</v>
      </c>
      <c r="F90" s="258">
        <f t="shared" si="11"/>
        <v>673.25</v>
      </c>
      <c r="G90" s="274">
        <v>205.23</v>
      </c>
      <c r="H90" s="255">
        <f>SUMIF('AJE LTD'!A:A,'TB LTD 2021'!B90,'AJE LTD'!D:D)</f>
        <v>0</v>
      </c>
      <c r="I90" s="258">
        <f t="shared" si="4"/>
        <v>205.23</v>
      </c>
      <c r="J90" s="212"/>
      <c r="K90" s="274"/>
      <c r="M90" s="248">
        <v>30021</v>
      </c>
      <c r="N90" s="248" t="s">
        <v>31</v>
      </c>
      <c r="O90" s="248">
        <v>-1866280</v>
      </c>
      <c r="P90" s="35">
        <f t="shared" si="13"/>
        <v>-1873990.2</v>
      </c>
      <c r="Q90">
        <v>51001</v>
      </c>
      <c r="R90">
        <v>46034.81</v>
      </c>
      <c r="S90">
        <f t="shared" si="8"/>
        <v>143115.98000000001</v>
      </c>
      <c r="T90">
        <f t="shared" si="12"/>
        <v>97081.170000000013</v>
      </c>
    </row>
    <row r="91" spans="1:20" hidden="1" x14ac:dyDescent="0.25">
      <c r="A91">
        <v>53</v>
      </c>
      <c r="B91" s="213">
        <v>50113</v>
      </c>
      <c r="C91" t="s">
        <v>800</v>
      </c>
      <c r="D91" s="274">
        <v>11882.51</v>
      </c>
      <c r="E91" s="255">
        <f>SUMIF('AJE LTD'!A:A,'TB LTD 2021'!B91,'AJE LTD'!C:C)</f>
        <v>0</v>
      </c>
      <c r="F91" s="258">
        <f t="shared" si="11"/>
        <v>11882.51</v>
      </c>
      <c r="G91" s="274">
        <v>3656.14</v>
      </c>
      <c r="H91" s="255">
        <f>SUMIF('AJE LTD'!A:A,'TB LTD 2021'!B91,'AJE LTD'!D:D)</f>
        <v>0</v>
      </c>
      <c r="I91" s="258">
        <f>SUM(G91:H91)</f>
        <v>3656.14</v>
      </c>
      <c r="J91" s="212"/>
      <c r="K91" s="274"/>
      <c r="M91" s="248">
        <v>30022</v>
      </c>
      <c r="N91" s="248" t="s">
        <v>32</v>
      </c>
      <c r="O91" s="248">
        <v>-89451.27</v>
      </c>
      <c r="P91" s="35">
        <f t="shared" si="13"/>
        <v>-90124.52</v>
      </c>
      <c r="Q91">
        <v>51002</v>
      </c>
      <c r="R91">
        <v>39899.480000000003</v>
      </c>
      <c r="S91">
        <f t="shared" si="8"/>
        <v>0</v>
      </c>
      <c r="T91">
        <f t="shared" si="12"/>
        <v>-39899.480000000003</v>
      </c>
    </row>
    <row r="92" spans="1:20" hidden="1" x14ac:dyDescent="0.25">
      <c r="A92">
        <v>53</v>
      </c>
      <c r="B92" s="213">
        <v>50114</v>
      </c>
      <c r="C92" t="s">
        <v>801</v>
      </c>
      <c r="D92" s="274">
        <v>2679.29</v>
      </c>
      <c r="E92" s="255">
        <f>SUMIF('AJE LTD'!A:A,'TB LTD 2021'!B92,'AJE LTD'!C:C)</f>
        <v>0</v>
      </c>
      <c r="F92" s="258">
        <f t="shared" si="11"/>
        <v>2679.29</v>
      </c>
      <c r="G92" s="274">
        <v>839.56</v>
      </c>
      <c r="H92" s="255">
        <f>SUMIF('AJE LTD'!A:A,'TB LTD 2021'!B92,'AJE LTD'!D:D)</f>
        <v>0</v>
      </c>
      <c r="I92" s="258">
        <f>SUM(G92:H92)</f>
        <v>839.56</v>
      </c>
      <c r="J92" s="212"/>
      <c r="K92" s="274"/>
      <c r="M92" s="248">
        <v>30023</v>
      </c>
      <c r="N92" s="248" t="s">
        <v>117</v>
      </c>
      <c r="O92" s="248">
        <v>-240058</v>
      </c>
      <c r="P92" s="35">
        <f t="shared" si="13"/>
        <v>-251940.51</v>
      </c>
      <c r="Q92">
        <v>51003</v>
      </c>
      <c r="R92">
        <v>55237.33</v>
      </c>
      <c r="S92">
        <f t="shared" si="8"/>
        <v>89887.51</v>
      </c>
      <c r="T92">
        <f t="shared" si="12"/>
        <v>34650.179999999993</v>
      </c>
    </row>
    <row r="93" spans="1:20" hidden="1" x14ac:dyDescent="0.25">
      <c r="A93">
        <v>53</v>
      </c>
      <c r="B93" s="213">
        <v>50115</v>
      </c>
      <c r="C93" t="s">
        <v>802</v>
      </c>
      <c r="D93" s="274">
        <v>12452</v>
      </c>
      <c r="E93" s="255">
        <f>SUMIF('AJE LTD'!A:A,'TB LTD 2021'!B93,'AJE LTD'!C:C)</f>
        <v>0</v>
      </c>
      <c r="F93" s="258">
        <f t="shared" si="11"/>
        <v>12452</v>
      </c>
      <c r="G93" s="274">
        <v>4000</v>
      </c>
      <c r="H93" s="255">
        <f>SUMIF('AJE LTD'!A:A,'TB LTD 2021'!B93,'AJE LTD'!D:D)</f>
        <v>0</v>
      </c>
      <c r="I93" s="258">
        <f>SUM(G93:H93)</f>
        <v>4000</v>
      </c>
      <c r="J93" s="212"/>
      <c r="K93" s="274"/>
      <c r="M93" s="248">
        <v>39001</v>
      </c>
      <c r="N93" s="248" t="s">
        <v>559</v>
      </c>
      <c r="O93" s="248">
        <v>3943594.91</v>
      </c>
      <c r="P93" s="35">
        <f t="shared" si="13"/>
        <v>3940915.62</v>
      </c>
      <c r="Q93">
        <v>51004</v>
      </c>
      <c r="R93">
        <v>3401.72</v>
      </c>
      <c r="S93">
        <f t="shared" si="8"/>
        <v>5961.62</v>
      </c>
      <c r="T93">
        <f t="shared" si="12"/>
        <v>2559.9</v>
      </c>
    </row>
    <row r="94" spans="1:20" s="335" customFormat="1" hidden="1" x14ac:dyDescent="0.25">
      <c r="A94" s="335">
        <v>53</v>
      </c>
      <c r="B94" s="336">
        <v>50116</v>
      </c>
      <c r="C94" s="335" t="s">
        <v>803</v>
      </c>
      <c r="D94" s="337">
        <v>146533.87</v>
      </c>
      <c r="E94" s="338">
        <f>SUMIF('AJE LTD'!A:A,'TB LTD 2021'!B94,'AJE LTD'!C:C)</f>
        <v>0</v>
      </c>
      <c r="F94" s="339">
        <f t="shared" si="11"/>
        <v>146533.87</v>
      </c>
      <c r="G94" s="337">
        <v>47117</v>
      </c>
      <c r="H94" s="338">
        <f>SUMIF('AJE LTD'!A:A,'TB LTD 2021'!B94,'AJE LTD'!D:D)</f>
        <v>0</v>
      </c>
      <c r="I94" s="339">
        <f>SUM(G94:H94)</f>
        <v>47117</v>
      </c>
      <c r="J94" s="340"/>
      <c r="K94" s="337"/>
      <c r="M94" s="341">
        <v>40000</v>
      </c>
      <c r="N94" s="341" t="s">
        <v>383</v>
      </c>
      <c r="O94" s="341">
        <v>-10431.92</v>
      </c>
      <c r="P94" s="342">
        <f t="shared" si="13"/>
        <v>-22883.919999999998</v>
      </c>
      <c r="Q94" s="335">
        <v>51005</v>
      </c>
      <c r="R94" s="335">
        <v>25288.28</v>
      </c>
      <c r="S94" s="335">
        <f t="shared" si="8"/>
        <v>33199.33</v>
      </c>
      <c r="T94" s="335">
        <f t="shared" si="12"/>
        <v>7911.0500000000029</v>
      </c>
    </row>
    <row r="95" spans="1:20" hidden="1" x14ac:dyDescent="0.25">
      <c r="A95">
        <v>53</v>
      </c>
      <c r="B95" s="213">
        <v>50500</v>
      </c>
      <c r="C95" t="s">
        <v>804</v>
      </c>
      <c r="D95" s="274">
        <v>4218.74</v>
      </c>
      <c r="E95" s="255">
        <f>SUMIF('AJE LTD'!A:A,'TB LTD 2021'!B95,'AJE LTD'!C:C)</f>
        <v>0</v>
      </c>
      <c r="F95" s="258">
        <f t="shared" si="11"/>
        <v>4218.74</v>
      </c>
      <c r="G95" s="274">
        <v>1318.36</v>
      </c>
      <c r="H95" s="255">
        <f>SUMIF('AJE LTD'!A:A,'TB LTD 2021'!B95,'AJE LTD'!D:D)</f>
        <v>0</v>
      </c>
      <c r="I95" s="258">
        <f t="shared" si="4"/>
        <v>1318.36</v>
      </c>
      <c r="J95" s="212"/>
      <c r="K95" s="274"/>
      <c r="M95" s="248">
        <v>40005</v>
      </c>
      <c r="N95" s="248" t="s">
        <v>665</v>
      </c>
      <c r="O95" s="248">
        <v>-533903.69999999995</v>
      </c>
      <c r="P95" s="35">
        <f t="shared" si="13"/>
        <v>-680437.57</v>
      </c>
      <c r="Q95">
        <v>51097</v>
      </c>
      <c r="R95">
        <v>1235.82</v>
      </c>
      <c r="S95">
        <f t="shared" si="8"/>
        <v>-1475.66</v>
      </c>
      <c r="T95">
        <f t="shared" si="12"/>
        <v>-2711.48</v>
      </c>
    </row>
    <row r="96" spans="1:20" hidden="1" x14ac:dyDescent="0.25">
      <c r="A96">
        <v>53</v>
      </c>
      <c r="B96" s="213">
        <v>51000</v>
      </c>
      <c r="C96" t="s">
        <v>36</v>
      </c>
      <c r="D96" s="274">
        <v>3719791</v>
      </c>
      <c r="E96" s="255">
        <f>SUMIF('AJE LTD'!A:A,'TB LTD 2021'!B96,'AJE LTD'!C:C)</f>
        <v>0</v>
      </c>
      <c r="F96" s="258">
        <f t="shared" si="11"/>
        <v>3719791</v>
      </c>
      <c r="G96" s="274">
        <v>1153882.75</v>
      </c>
      <c r="H96" s="255">
        <f>SUMIF('AJE LTD'!A:A,'TB LTD 2021'!B96,'AJE LTD'!D:D)</f>
        <v>0</v>
      </c>
      <c r="I96" s="258">
        <f>SUM(G96:H96)</f>
        <v>1153882.75</v>
      </c>
      <c r="J96" s="212"/>
      <c r="K96" s="274"/>
      <c r="M96" s="248">
        <v>40006</v>
      </c>
      <c r="N96" s="248" t="s">
        <v>666</v>
      </c>
      <c r="O96" s="248">
        <v>533903.69999999995</v>
      </c>
      <c r="P96" s="35">
        <f t="shared" si="13"/>
        <v>529684.96</v>
      </c>
      <c r="Q96">
        <v>51099</v>
      </c>
      <c r="R96">
        <v>17521.87</v>
      </c>
      <c r="S96">
        <f t="shared" si="8"/>
        <v>0</v>
      </c>
      <c r="T96">
        <f t="shared" si="12"/>
        <v>-17521.87</v>
      </c>
    </row>
    <row r="97" spans="1:20" hidden="1" x14ac:dyDescent="0.25">
      <c r="A97">
        <v>53</v>
      </c>
      <c r="B97" s="213">
        <v>51001</v>
      </c>
      <c r="C97" t="s">
        <v>37</v>
      </c>
      <c r="D97" s="274">
        <v>461081</v>
      </c>
      <c r="E97" s="255">
        <f>SUMIF('AJE LTD'!A:A,'TB LTD 2021'!B97,'AJE LTD'!C:C)</f>
        <v>0</v>
      </c>
      <c r="F97" s="258">
        <f t="shared" si="11"/>
        <v>461081</v>
      </c>
      <c r="G97" s="274">
        <v>143115.98000000001</v>
      </c>
      <c r="H97" s="255">
        <f>SUMIF('AJE LTD'!A:A,'TB LTD 2021'!B97,'AJE LTD'!D:D)</f>
        <v>0</v>
      </c>
      <c r="I97" s="258">
        <f>SUM(G97:H97)</f>
        <v>143115.98000000001</v>
      </c>
      <c r="J97" s="212"/>
      <c r="K97" s="274"/>
      <c r="M97" s="248">
        <v>40007</v>
      </c>
      <c r="N97" s="248" t="s">
        <v>560</v>
      </c>
      <c r="O97" s="248">
        <v>-12642.05</v>
      </c>
      <c r="P97" s="251">
        <f t="shared" si="13"/>
        <v>-3732433.05</v>
      </c>
      <c r="Q97">
        <v>51103</v>
      </c>
      <c r="R97">
        <v>8017.1</v>
      </c>
      <c r="S97">
        <f t="shared" si="8"/>
        <v>0</v>
      </c>
      <c r="T97">
        <f t="shared" si="12"/>
        <v>-8017.1</v>
      </c>
    </row>
    <row r="98" spans="1:20" hidden="1" x14ac:dyDescent="0.25">
      <c r="A98">
        <v>53</v>
      </c>
      <c r="B98" s="213">
        <v>51003</v>
      </c>
      <c r="C98" t="s">
        <v>39</v>
      </c>
      <c r="D98" s="274">
        <v>289485</v>
      </c>
      <c r="E98" s="255">
        <f>SUMIF('AJE LTD'!A:A,'TB LTD 2021'!B98,'AJE LTD'!C:C)</f>
        <v>0</v>
      </c>
      <c r="F98" s="258">
        <f t="shared" si="11"/>
        <v>289485</v>
      </c>
      <c r="G98" s="274">
        <v>89887.51</v>
      </c>
      <c r="H98" s="255">
        <f>SUMIF('AJE LTD'!A:A,'TB LTD 2021'!B98,'AJE LTD'!D:D)</f>
        <v>0</v>
      </c>
      <c r="I98" s="258">
        <f>SUM(G98:H98)</f>
        <v>89887.51</v>
      </c>
      <c r="J98" s="212"/>
      <c r="K98" s="274"/>
      <c r="M98" s="248">
        <v>40100</v>
      </c>
      <c r="N98" s="248" t="s">
        <v>561</v>
      </c>
      <c r="O98" s="248">
        <v>-1106.8900000000001</v>
      </c>
      <c r="P98" s="35">
        <f t="shared" si="13"/>
        <v>-462187.89</v>
      </c>
      <c r="Q98">
        <v>51104</v>
      </c>
      <c r="R98">
        <v>428.98</v>
      </c>
      <c r="S98">
        <f t="shared" si="8"/>
        <v>11180.3</v>
      </c>
      <c r="T98">
        <f t="shared" si="12"/>
        <v>10751.32</v>
      </c>
    </row>
    <row r="99" spans="1:20" hidden="1" x14ac:dyDescent="0.25">
      <c r="A99">
        <v>53</v>
      </c>
      <c r="B99" s="213">
        <v>51004</v>
      </c>
      <c r="C99" t="s">
        <v>40</v>
      </c>
      <c r="D99" s="274">
        <v>19225</v>
      </c>
      <c r="E99" s="255">
        <f>SUMIF('AJE LTD'!A:A,'TB LTD 2021'!B99,'AJE LTD'!C:C)</f>
        <v>0</v>
      </c>
      <c r="F99" s="258">
        <f t="shared" si="11"/>
        <v>19225</v>
      </c>
      <c r="G99" s="274">
        <v>5961.62</v>
      </c>
      <c r="H99" s="255">
        <f>SUMIF('AJE LTD'!A:A,'TB LTD 2021'!B99,'AJE LTD'!D:D)</f>
        <v>0</v>
      </c>
      <c r="I99" s="258">
        <f>SUM(G99:H99)</f>
        <v>5961.62</v>
      </c>
      <c r="J99" s="212"/>
      <c r="K99" s="274"/>
      <c r="M99" s="248">
        <v>40101</v>
      </c>
      <c r="N99" s="248" t="s">
        <v>562</v>
      </c>
      <c r="O99" s="248">
        <v>-364.14</v>
      </c>
      <c r="P99" s="35">
        <f t="shared" si="13"/>
        <v>-289849.14</v>
      </c>
      <c r="Q99">
        <v>51107</v>
      </c>
      <c r="R99">
        <v>1677.33</v>
      </c>
      <c r="S99">
        <f t="shared" si="8"/>
        <v>5825.3</v>
      </c>
      <c r="T99">
        <f t="shared" si="12"/>
        <v>4147.97</v>
      </c>
    </row>
    <row r="100" spans="1:20" hidden="1" x14ac:dyDescent="0.25">
      <c r="A100">
        <v>53</v>
      </c>
      <c r="B100" s="213">
        <v>51005</v>
      </c>
      <c r="C100" t="s">
        <v>41</v>
      </c>
      <c r="D100" s="274">
        <v>106920</v>
      </c>
      <c r="E100" s="255">
        <f>SUMIF('AJE LTD'!A:A,'TB LTD 2021'!B100,'AJE LTD'!C:C)</f>
        <v>0</v>
      </c>
      <c r="F100" s="258">
        <f t="shared" si="11"/>
        <v>106920</v>
      </c>
      <c r="G100" s="274">
        <v>33199.33</v>
      </c>
      <c r="H100" s="255">
        <f>SUMIF('AJE LTD'!A:A,'TB LTD 2021'!B100,'AJE LTD'!D:D)</f>
        <v>0</v>
      </c>
      <c r="I100" s="258">
        <f t="shared" si="4"/>
        <v>33199.33</v>
      </c>
      <c r="J100" s="212"/>
      <c r="K100" s="274"/>
      <c r="M100" s="248"/>
      <c r="N100" s="248"/>
      <c r="O100" s="248"/>
      <c r="P100" s="35">
        <f t="shared" si="13"/>
        <v>-19225</v>
      </c>
      <c r="Q100">
        <v>51108</v>
      </c>
      <c r="R100">
        <v>263.14</v>
      </c>
      <c r="S100">
        <f t="shared" ref="S100:S163" si="14">SUMIF(B:B,Q100,G:G)</f>
        <v>11134.37</v>
      </c>
      <c r="T100">
        <f t="shared" si="12"/>
        <v>10871.230000000001</v>
      </c>
    </row>
    <row r="101" spans="1:20" hidden="1" x14ac:dyDescent="0.25">
      <c r="A101">
        <v>53</v>
      </c>
      <c r="B101" s="213">
        <v>51097</v>
      </c>
      <c r="C101" t="s">
        <v>581</v>
      </c>
      <c r="D101" s="274">
        <v>-4588.1499999999996</v>
      </c>
      <c r="E101" s="255">
        <f>SUMIF('AJE LTD'!A:A,'TB LTD 2021'!B101,'AJE LTD'!C:C)</f>
        <v>0</v>
      </c>
      <c r="F101" s="258">
        <f t="shared" si="11"/>
        <v>-4588.1499999999996</v>
      </c>
      <c r="G101" s="274">
        <v>-1475.66</v>
      </c>
      <c r="H101" s="255">
        <f>SUMIF('AJE LTD'!A:A,'TB LTD 2021'!B101,'AJE LTD'!D:D)</f>
        <v>0</v>
      </c>
      <c r="I101" s="258">
        <f>SUM(G101:H101)</f>
        <v>-1475.66</v>
      </c>
      <c r="J101" s="212"/>
      <c r="K101" s="274"/>
      <c r="M101" s="248">
        <v>50100</v>
      </c>
      <c r="N101" s="248" t="s">
        <v>667</v>
      </c>
      <c r="O101" s="248">
        <v>32295</v>
      </c>
      <c r="P101" s="35">
        <f t="shared" si="13"/>
        <v>-74625</v>
      </c>
      <c r="Q101">
        <v>51199</v>
      </c>
      <c r="R101">
        <v>-11542.21</v>
      </c>
      <c r="S101">
        <f t="shared" si="14"/>
        <v>-32522.27</v>
      </c>
      <c r="T101">
        <f t="shared" si="12"/>
        <v>-20980.06</v>
      </c>
    </row>
    <row r="102" spans="1:20" hidden="1" x14ac:dyDescent="0.25">
      <c r="A102">
        <v>53</v>
      </c>
      <c r="B102" s="213">
        <v>51098</v>
      </c>
      <c r="C102" t="s">
        <v>42</v>
      </c>
      <c r="D102" s="274">
        <v>-5955</v>
      </c>
      <c r="E102" s="255">
        <f>SUMIF('AJE LTD'!A:A,'TB LTD 2021'!B102,'AJE LTD'!C:C)</f>
        <v>0</v>
      </c>
      <c r="F102" s="258">
        <f t="shared" si="11"/>
        <v>-5955</v>
      </c>
      <c r="G102" s="274">
        <v>-1848.8</v>
      </c>
      <c r="H102" s="255">
        <f>SUMIF('AJE LTD'!A:A,'TB LTD 2021'!B102,'AJE LTD'!D:D)</f>
        <v>0</v>
      </c>
      <c r="I102" s="258">
        <f>SUM(G102:H102)</f>
        <v>-1848.8</v>
      </c>
      <c r="J102" s="212"/>
      <c r="K102" s="274"/>
      <c r="M102" s="248">
        <v>50101</v>
      </c>
      <c r="N102" s="248" t="s">
        <v>618</v>
      </c>
      <c r="O102" s="248">
        <v>5052.12</v>
      </c>
      <c r="P102" s="35">
        <f t="shared" si="13"/>
        <v>9640.27</v>
      </c>
      <c r="Q102">
        <v>50019</v>
      </c>
      <c r="R102">
        <v>0</v>
      </c>
      <c r="S102">
        <f t="shared" si="14"/>
        <v>0</v>
      </c>
      <c r="T102">
        <f t="shared" si="12"/>
        <v>0</v>
      </c>
    </row>
    <row r="103" spans="1:20" hidden="1" x14ac:dyDescent="0.25">
      <c r="A103">
        <v>53</v>
      </c>
      <c r="B103" s="213">
        <v>51101</v>
      </c>
      <c r="C103" t="s">
        <v>805</v>
      </c>
      <c r="D103" s="274">
        <v>240</v>
      </c>
      <c r="E103" s="255">
        <f>SUMIF('AJE LTD'!A:A,'TB LTD 2021'!B103,'AJE LTD'!C:C)</f>
        <v>0</v>
      </c>
      <c r="F103" s="258">
        <f t="shared" si="11"/>
        <v>240</v>
      </c>
      <c r="G103" s="274">
        <v>74.33</v>
      </c>
      <c r="H103" s="255">
        <f>SUMIF('AJE LTD'!A:A,'TB LTD 2021'!B103,'AJE LTD'!D:D)</f>
        <v>0</v>
      </c>
      <c r="I103" s="258">
        <f t="shared" si="4"/>
        <v>74.33</v>
      </c>
      <c r="J103" s="212"/>
      <c r="K103" s="274"/>
      <c r="M103" s="248">
        <v>50102</v>
      </c>
      <c r="N103" s="248" t="s">
        <v>563</v>
      </c>
      <c r="O103" s="248">
        <v>27600</v>
      </c>
      <c r="P103" s="35">
        <f t="shared" si="13"/>
        <v>33555</v>
      </c>
      <c r="Q103">
        <v>50101</v>
      </c>
      <c r="R103">
        <v>1507.52</v>
      </c>
      <c r="S103">
        <f t="shared" si="14"/>
        <v>429.28</v>
      </c>
      <c r="T103">
        <f t="shared" si="12"/>
        <v>-1078.24</v>
      </c>
    </row>
    <row r="104" spans="1:20" hidden="1" x14ac:dyDescent="0.25">
      <c r="A104">
        <v>53</v>
      </c>
      <c r="B104" s="213">
        <v>51104</v>
      </c>
      <c r="C104" t="s">
        <v>45</v>
      </c>
      <c r="D104" s="274">
        <v>35898</v>
      </c>
      <c r="E104" s="255">
        <f>SUMIF('AJE LTD'!A:A,'TB LTD 2021'!B104,'AJE LTD'!C:C)</f>
        <v>0</v>
      </c>
      <c r="F104" s="258">
        <f t="shared" si="11"/>
        <v>35898</v>
      </c>
      <c r="G104" s="274">
        <v>11180.3</v>
      </c>
      <c r="H104" s="255">
        <f>SUMIF('AJE LTD'!A:A,'TB LTD 2021'!B104,'AJE LTD'!D:D)</f>
        <v>0</v>
      </c>
      <c r="I104" s="258">
        <f>SUM(G104:H104)</f>
        <v>11180.3</v>
      </c>
      <c r="J104" s="212"/>
      <c r="K104" s="274"/>
      <c r="M104" s="248">
        <v>50103</v>
      </c>
      <c r="N104" s="248" t="s">
        <v>33</v>
      </c>
      <c r="O104" s="248">
        <v>6705.72</v>
      </c>
      <c r="P104" s="35">
        <f t="shared" si="13"/>
        <v>6465.72</v>
      </c>
      <c r="Q104">
        <v>50113</v>
      </c>
      <c r="R104">
        <v>47282.1</v>
      </c>
      <c r="S104">
        <f t="shared" si="14"/>
        <v>3656.14</v>
      </c>
      <c r="T104">
        <f t="shared" si="12"/>
        <v>-43625.96</v>
      </c>
    </row>
    <row r="105" spans="1:20" hidden="1" x14ac:dyDescent="0.25">
      <c r="A105">
        <v>53</v>
      </c>
      <c r="B105" s="213">
        <v>51106</v>
      </c>
      <c r="C105" t="s">
        <v>583</v>
      </c>
      <c r="D105" s="274">
        <v>14080</v>
      </c>
      <c r="E105" s="255">
        <f>SUMIF('AJE LTD'!A:A,'TB LTD 2021'!B105,'AJE LTD'!C:C)</f>
        <v>0</v>
      </c>
      <c r="F105" s="258">
        <f t="shared" si="11"/>
        <v>14080</v>
      </c>
      <c r="G105" s="274">
        <v>4307.99</v>
      </c>
      <c r="H105" s="255">
        <f>SUMIF('AJE LTD'!A:A,'TB LTD 2021'!B105,'AJE LTD'!D:D)</f>
        <v>0</v>
      </c>
      <c r="I105" s="258">
        <f t="shared" si="4"/>
        <v>4307.99</v>
      </c>
      <c r="J105" s="212"/>
      <c r="K105" s="274"/>
      <c r="M105" s="249">
        <v>50107</v>
      </c>
      <c r="N105" s="249" t="s">
        <v>564</v>
      </c>
      <c r="O105" s="249">
        <v>917.25</v>
      </c>
      <c r="P105" s="35">
        <f t="shared" si="13"/>
        <v>-34980.75</v>
      </c>
      <c r="Q105">
        <v>50115</v>
      </c>
      <c r="R105">
        <v>38044.050000000003</v>
      </c>
      <c r="S105">
        <f t="shared" si="14"/>
        <v>4000</v>
      </c>
      <c r="T105">
        <f t="shared" si="12"/>
        <v>-34044.050000000003</v>
      </c>
    </row>
    <row r="106" spans="1:20" hidden="1" x14ac:dyDescent="0.25">
      <c r="A106">
        <v>53</v>
      </c>
      <c r="B106" s="213">
        <v>51107</v>
      </c>
      <c r="C106" t="s">
        <v>46</v>
      </c>
      <c r="D106" s="274">
        <v>18777</v>
      </c>
      <c r="E106" s="255">
        <f>SUMIF('AJE LTD'!A:A,'TB LTD 2021'!B106,'AJE LTD'!C:C)</f>
        <v>0</v>
      </c>
      <c r="F106" s="258">
        <f t="shared" si="11"/>
        <v>18777</v>
      </c>
      <c r="G106" s="274">
        <v>5825.3</v>
      </c>
      <c r="H106" s="255">
        <f>SUMIF('AJE LTD'!A:A,'TB LTD 2021'!B106,'AJE LTD'!D:D)</f>
        <v>0</v>
      </c>
      <c r="I106" s="258">
        <f>SUM(G106:H106)</f>
        <v>5825.3</v>
      </c>
      <c r="J106" s="212"/>
      <c r="K106" s="274"/>
      <c r="M106" s="248">
        <v>50109</v>
      </c>
      <c r="N106" s="248" t="s">
        <v>34</v>
      </c>
      <c r="O106" s="248">
        <v>7476.16</v>
      </c>
      <c r="P106" s="35">
        <f t="shared" si="13"/>
        <v>-6603.84</v>
      </c>
      <c r="Q106">
        <v>50116</v>
      </c>
      <c r="R106">
        <v>10139.99</v>
      </c>
      <c r="S106">
        <f t="shared" si="14"/>
        <v>47117</v>
      </c>
      <c r="T106">
        <f t="shared" si="12"/>
        <v>36977.01</v>
      </c>
    </row>
    <row r="107" spans="1:20" hidden="1" x14ac:dyDescent="0.25">
      <c r="A107">
        <v>53</v>
      </c>
      <c r="B107" s="213">
        <v>51108</v>
      </c>
      <c r="C107" t="s">
        <v>47</v>
      </c>
      <c r="D107" s="274">
        <v>35695</v>
      </c>
      <c r="E107" s="255">
        <f>SUMIF('AJE LTD'!A:A,'TB LTD 2021'!B107,'AJE LTD'!C:C)</f>
        <v>0</v>
      </c>
      <c r="F107" s="258">
        <f t="shared" si="11"/>
        <v>35695</v>
      </c>
      <c r="G107" s="274">
        <v>11134.37</v>
      </c>
      <c r="H107" s="255">
        <f>SUMIF('AJE LTD'!A:A,'TB LTD 2021'!B107,'AJE LTD'!D:D)</f>
        <v>0</v>
      </c>
      <c r="I107" s="258">
        <f>SUM(G107:H107)</f>
        <v>11134.37</v>
      </c>
      <c r="J107" s="212"/>
      <c r="K107" s="274"/>
      <c r="M107" s="248">
        <v>50110</v>
      </c>
      <c r="N107" s="248" t="s">
        <v>35</v>
      </c>
      <c r="O107" s="248">
        <v>-57550</v>
      </c>
      <c r="P107" s="35">
        <f t="shared" si="13"/>
        <v>-76327</v>
      </c>
      <c r="Q107">
        <v>50118</v>
      </c>
      <c r="R107">
        <v>133892.6</v>
      </c>
      <c r="S107">
        <f t="shared" si="14"/>
        <v>0</v>
      </c>
      <c r="T107">
        <f t="shared" si="12"/>
        <v>-133892.6</v>
      </c>
    </row>
    <row r="108" spans="1:20" hidden="1" x14ac:dyDescent="0.25">
      <c r="A108">
        <v>53</v>
      </c>
      <c r="B108" s="213">
        <v>51199</v>
      </c>
      <c r="C108" t="s">
        <v>48</v>
      </c>
      <c r="D108" s="274">
        <v>-104690</v>
      </c>
      <c r="E108" s="255">
        <f>SUMIF('AJE LTD'!A:A,'TB LTD 2021'!B108,'AJE LTD'!C:C)</f>
        <v>0</v>
      </c>
      <c r="F108" s="258">
        <f t="shared" si="11"/>
        <v>-104690</v>
      </c>
      <c r="G108" s="274">
        <v>-32522.27</v>
      </c>
      <c r="H108" s="255">
        <f>SUMIF('AJE LTD'!A:A,'TB LTD 2021'!B108,'AJE LTD'!D:D)</f>
        <v>0</v>
      </c>
      <c r="I108" s="258">
        <f t="shared" ref="I108:I122" si="15">SUM(G108:H108)</f>
        <v>-32522.27</v>
      </c>
      <c r="J108" s="212"/>
      <c r="K108" s="274"/>
      <c r="M108" s="248"/>
      <c r="N108" s="248"/>
      <c r="O108" s="248"/>
      <c r="P108" s="35">
        <f t="shared" si="13"/>
        <v>-35695</v>
      </c>
      <c r="Q108">
        <v>50119</v>
      </c>
      <c r="R108">
        <v>0</v>
      </c>
      <c r="S108">
        <f t="shared" si="14"/>
        <v>0</v>
      </c>
      <c r="T108">
        <f t="shared" si="12"/>
        <v>0</v>
      </c>
    </row>
    <row r="109" spans="1:20" hidden="1" x14ac:dyDescent="0.25">
      <c r="A109">
        <v>54</v>
      </c>
      <c r="B109" s="213">
        <v>60002</v>
      </c>
      <c r="C109" t="s">
        <v>806</v>
      </c>
      <c r="D109" s="274">
        <v>46431.15</v>
      </c>
      <c r="E109" s="255">
        <f>SUMIF('AJE LTD'!A:A,'TB LTD 2021'!B109,'AJE LTD'!C:C)</f>
        <v>0</v>
      </c>
      <c r="F109" s="258">
        <f t="shared" si="11"/>
        <v>46431.15</v>
      </c>
      <c r="G109" s="274">
        <v>14237.97</v>
      </c>
      <c r="H109" s="255">
        <f>SUMIF('AJE LTD'!A:A,'TB LTD 2021'!B109,'AJE LTD'!D:D)</f>
        <v>0</v>
      </c>
      <c r="I109" s="258">
        <f t="shared" si="15"/>
        <v>14237.97</v>
      </c>
      <c r="J109" s="212"/>
      <c r="K109" s="274"/>
      <c r="M109" s="248">
        <v>50113</v>
      </c>
      <c r="N109" s="248" t="s">
        <v>565</v>
      </c>
      <c r="O109" s="248">
        <v>161771.38</v>
      </c>
      <c r="P109" s="35" t="e">
        <f>O109-#REF!</f>
        <v>#REF!</v>
      </c>
      <c r="Q109">
        <v>50121</v>
      </c>
      <c r="R109">
        <v>1330</v>
      </c>
      <c r="S109">
        <f t="shared" si="14"/>
        <v>0</v>
      </c>
      <c r="T109">
        <f t="shared" si="12"/>
        <v>-1330</v>
      </c>
    </row>
    <row r="110" spans="1:20" hidden="1" x14ac:dyDescent="0.25">
      <c r="A110">
        <v>54</v>
      </c>
      <c r="B110" s="213">
        <v>60003</v>
      </c>
      <c r="C110" t="s">
        <v>807</v>
      </c>
      <c r="D110" s="274">
        <v>31072.83</v>
      </c>
      <c r="E110" s="255">
        <f>SUMIF('AJE LTD'!A:A,'TB LTD 2021'!B110,'AJE LTD'!C:C)</f>
        <v>0</v>
      </c>
      <c r="F110" s="258">
        <f t="shared" si="11"/>
        <v>31072.83</v>
      </c>
      <c r="G110" s="274">
        <v>9610.15</v>
      </c>
      <c r="H110" s="255">
        <f>SUMIF('AJE LTD'!A:A,'TB LTD 2021'!B110,'AJE LTD'!D:D)</f>
        <v>0</v>
      </c>
      <c r="I110" s="258">
        <f t="shared" si="15"/>
        <v>9610.15</v>
      </c>
      <c r="J110" s="212"/>
      <c r="K110" s="274"/>
      <c r="M110" s="248">
        <v>50115</v>
      </c>
      <c r="N110" s="248" t="s">
        <v>566</v>
      </c>
      <c r="O110" s="248">
        <v>133584</v>
      </c>
      <c r="P110" s="35" t="e">
        <f>O110-#REF!</f>
        <v>#REF!</v>
      </c>
      <c r="Q110">
        <v>50122</v>
      </c>
      <c r="R110">
        <v>19500</v>
      </c>
      <c r="S110">
        <f t="shared" si="14"/>
        <v>0</v>
      </c>
      <c r="T110">
        <f t="shared" si="12"/>
        <v>-19500</v>
      </c>
    </row>
    <row r="111" spans="1:20" hidden="1" x14ac:dyDescent="0.25">
      <c r="A111">
        <v>53</v>
      </c>
      <c r="B111" s="213">
        <v>60004</v>
      </c>
      <c r="C111" t="s">
        <v>808</v>
      </c>
      <c r="D111" s="274">
        <v>2053.0300000000002</v>
      </c>
      <c r="E111" s="255">
        <f>SUMIF('AJE LTD'!A:A,'TB LTD 2021'!B111,'AJE LTD'!C:C)</f>
        <v>0</v>
      </c>
      <c r="F111" s="258">
        <f t="shared" si="11"/>
        <v>2053.0300000000002</v>
      </c>
      <c r="G111" s="274">
        <v>629.28</v>
      </c>
      <c r="H111" s="255">
        <f>SUMIF('AJE LTD'!A:A,'TB LTD 2021'!B111,'AJE LTD'!D:D)</f>
        <v>0</v>
      </c>
      <c r="I111" s="258">
        <f t="shared" si="15"/>
        <v>629.28</v>
      </c>
      <c r="J111" s="212"/>
      <c r="K111" s="274"/>
      <c r="M111" s="248">
        <v>50116</v>
      </c>
      <c r="N111" s="248" t="s">
        <v>567</v>
      </c>
      <c r="O111" s="248">
        <v>36000</v>
      </c>
      <c r="P111" s="35" t="e">
        <f>O111-#REF!</f>
        <v>#REF!</v>
      </c>
      <c r="Q111">
        <v>60001</v>
      </c>
      <c r="R111">
        <v>0</v>
      </c>
      <c r="S111">
        <f t="shared" si="14"/>
        <v>0</v>
      </c>
      <c r="T111">
        <f t="shared" si="12"/>
        <v>0</v>
      </c>
    </row>
    <row r="112" spans="1:20" hidden="1" x14ac:dyDescent="0.25">
      <c r="A112">
        <v>54</v>
      </c>
      <c r="B112" s="213">
        <v>60005</v>
      </c>
      <c r="C112" t="s">
        <v>809</v>
      </c>
      <c r="D112" s="274">
        <v>1500</v>
      </c>
      <c r="E112" s="255">
        <f>SUMIF('AJE LTD'!A:A,'TB LTD 2021'!B112,'AJE LTD'!C:C)</f>
        <v>0</v>
      </c>
      <c r="F112" s="258">
        <f t="shared" si="11"/>
        <v>1500</v>
      </c>
      <c r="G112" s="274">
        <v>482.32</v>
      </c>
      <c r="H112" s="255">
        <f>SUMIF('AJE LTD'!A:A,'TB LTD 2021'!B112,'AJE LTD'!D:D)</f>
        <v>0</v>
      </c>
      <c r="I112" s="258">
        <f t="shared" si="15"/>
        <v>482.32</v>
      </c>
      <c r="J112" s="212"/>
      <c r="K112" s="274"/>
      <c r="M112" s="248">
        <v>50118</v>
      </c>
      <c r="N112" s="248" t="s">
        <v>568</v>
      </c>
      <c r="O112" s="248">
        <v>449822.08</v>
      </c>
      <c r="P112" s="35">
        <f t="shared" ref="P112:P143" si="16">O112-D108</f>
        <v>554512.08000000007</v>
      </c>
      <c r="Q112">
        <v>70005</v>
      </c>
      <c r="R112">
        <v>912.52</v>
      </c>
      <c r="S112">
        <f t="shared" si="14"/>
        <v>0</v>
      </c>
      <c r="T112">
        <f t="shared" si="12"/>
        <v>-912.52</v>
      </c>
    </row>
    <row r="113" spans="1:20" hidden="1" x14ac:dyDescent="0.25">
      <c r="A113">
        <v>55</v>
      </c>
      <c r="B113" s="213">
        <v>60006</v>
      </c>
      <c r="C113" t="s">
        <v>810</v>
      </c>
      <c r="D113" s="274">
        <v>215190.5</v>
      </c>
      <c r="E113" s="255">
        <f>SUMIF('AJE LTD'!A:A,'TB LTD 2021'!B113,'AJE LTD'!C:C)</f>
        <v>0</v>
      </c>
      <c r="F113" s="258">
        <f t="shared" si="11"/>
        <v>215190.5</v>
      </c>
      <c r="G113" s="274">
        <v>66520.2</v>
      </c>
      <c r="H113" s="255">
        <f>SUMIF('AJE LTD'!A:A,'TB LTD 2021'!B113,'AJE LTD'!D:D)</f>
        <v>0</v>
      </c>
      <c r="I113" s="258">
        <f t="shared" si="15"/>
        <v>66520.2</v>
      </c>
      <c r="J113" s="212"/>
      <c r="K113" s="274"/>
      <c r="M113" s="248">
        <v>50120</v>
      </c>
      <c r="N113" s="248" t="s">
        <v>569</v>
      </c>
      <c r="O113" s="248">
        <v>390222.38</v>
      </c>
      <c r="P113" s="35">
        <f t="shared" si="16"/>
        <v>343791.23</v>
      </c>
      <c r="Q113">
        <v>70007</v>
      </c>
      <c r="R113">
        <v>449.26</v>
      </c>
      <c r="S113">
        <f t="shared" si="14"/>
        <v>394.75</v>
      </c>
      <c r="T113">
        <f t="shared" si="12"/>
        <v>-54.509999999999991</v>
      </c>
    </row>
    <row r="114" spans="1:20" hidden="1" x14ac:dyDescent="0.25">
      <c r="A114">
        <v>54</v>
      </c>
      <c r="B114" s="213">
        <v>61000</v>
      </c>
      <c r="C114" t="s">
        <v>811</v>
      </c>
      <c r="D114" s="274">
        <v>326040</v>
      </c>
      <c r="E114" s="255">
        <f>SUMIF('AJE LTD'!A:A,'TB LTD 2021'!B114,'AJE LTD'!C:C)</f>
        <v>0</v>
      </c>
      <c r="F114" s="258">
        <f t="shared" si="11"/>
        <v>326040</v>
      </c>
      <c r="G114" s="274">
        <v>100171.53</v>
      </c>
      <c r="H114" s="255">
        <f>SUMIF('AJE LTD'!A:A,'TB LTD 2021'!B114,'AJE LTD'!D:D)</f>
        <v>0</v>
      </c>
      <c r="I114" s="258">
        <f t="shared" si="15"/>
        <v>100171.53</v>
      </c>
      <c r="J114" s="212"/>
      <c r="K114" s="274"/>
      <c r="M114" s="248">
        <v>50121</v>
      </c>
      <c r="N114" s="248" t="s">
        <v>570</v>
      </c>
      <c r="O114" s="248">
        <v>4543.28</v>
      </c>
      <c r="P114" s="35">
        <f t="shared" si="16"/>
        <v>-26529.550000000003</v>
      </c>
      <c r="Q114">
        <v>70008</v>
      </c>
      <c r="R114">
        <v>3264.45</v>
      </c>
      <c r="S114">
        <f t="shared" si="14"/>
        <v>3806.82</v>
      </c>
      <c r="T114">
        <f t="shared" si="12"/>
        <v>542.37000000000035</v>
      </c>
    </row>
    <row r="115" spans="1:20" hidden="1" x14ac:dyDescent="0.25">
      <c r="A115">
        <v>54</v>
      </c>
      <c r="B115" s="213">
        <v>61001</v>
      </c>
      <c r="C115" t="s">
        <v>812</v>
      </c>
      <c r="D115" s="274">
        <v>19941</v>
      </c>
      <c r="E115" s="255">
        <f>SUMIF('AJE LTD'!A:A,'TB LTD 2021'!B115,'AJE LTD'!C:C)</f>
        <v>0</v>
      </c>
      <c r="F115" s="258">
        <f t="shared" si="11"/>
        <v>19941</v>
      </c>
      <c r="G115" s="274">
        <v>6120.72</v>
      </c>
      <c r="H115" s="255">
        <f>SUMIF('AJE LTD'!A:A,'TB LTD 2021'!B115,'AJE LTD'!D:D)</f>
        <v>0</v>
      </c>
      <c r="I115" s="258">
        <f t="shared" si="15"/>
        <v>6120.72</v>
      </c>
      <c r="J115" s="212"/>
      <c r="K115" s="274"/>
      <c r="M115" s="248">
        <v>50122</v>
      </c>
      <c r="N115" s="248" t="s">
        <v>571</v>
      </c>
      <c r="O115" s="248">
        <v>67905.5</v>
      </c>
      <c r="P115" s="35">
        <f t="shared" si="16"/>
        <v>65852.47</v>
      </c>
      <c r="Q115">
        <v>70011</v>
      </c>
      <c r="R115">
        <v>37269.51</v>
      </c>
      <c r="S115">
        <f t="shared" si="14"/>
        <v>60343.81</v>
      </c>
      <c r="T115">
        <f t="shared" si="12"/>
        <v>23074.299999999996</v>
      </c>
    </row>
    <row r="116" spans="1:20" hidden="1" x14ac:dyDescent="0.25">
      <c r="A116">
        <v>54</v>
      </c>
      <c r="B116" s="213">
        <v>61002</v>
      </c>
      <c r="C116" t="s">
        <v>813</v>
      </c>
      <c r="D116" s="274">
        <v>17940</v>
      </c>
      <c r="E116" s="255">
        <f>SUMIF('AJE LTD'!A:A,'TB LTD 2021'!B116,'AJE LTD'!C:C)</f>
        <v>0</v>
      </c>
      <c r="F116" s="258">
        <f t="shared" si="11"/>
        <v>17940</v>
      </c>
      <c r="G116" s="274">
        <v>5506.35</v>
      </c>
      <c r="H116" s="255">
        <f>SUMIF('AJE LTD'!A:A,'TB LTD 2021'!B116,'AJE LTD'!D:D)</f>
        <v>0</v>
      </c>
      <c r="I116" s="258">
        <f t="shared" si="15"/>
        <v>5506.35</v>
      </c>
      <c r="J116" s="212"/>
      <c r="K116" s="274"/>
      <c r="M116" s="248">
        <v>50123</v>
      </c>
      <c r="N116" s="248" t="s">
        <v>572</v>
      </c>
      <c r="O116" s="248">
        <v>492.01</v>
      </c>
      <c r="P116" s="35">
        <f t="shared" si="16"/>
        <v>-1007.99</v>
      </c>
      <c r="Q116">
        <v>70016</v>
      </c>
      <c r="R116">
        <v>1148.8</v>
      </c>
      <c r="S116">
        <f t="shared" si="14"/>
        <v>10334.39</v>
      </c>
      <c r="T116">
        <f t="shared" si="12"/>
        <v>9185.59</v>
      </c>
    </row>
    <row r="117" spans="1:20" hidden="1" x14ac:dyDescent="0.25">
      <c r="A117">
        <v>54</v>
      </c>
      <c r="B117" s="213">
        <v>61003</v>
      </c>
      <c r="C117" t="s">
        <v>814</v>
      </c>
      <c r="D117" s="274">
        <v>22991</v>
      </c>
      <c r="E117" s="255">
        <f>SUMIF('AJE LTD'!A:A,'TB LTD 2021'!B117,'AJE LTD'!C:C)</f>
        <v>0</v>
      </c>
      <c r="F117" s="258">
        <f t="shared" si="11"/>
        <v>22991</v>
      </c>
      <c r="G117" s="274">
        <v>7056.67</v>
      </c>
      <c r="H117" s="255">
        <f>SUMIF('AJE LTD'!A:A,'TB LTD 2021'!B117,'AJE LTD'!D:D)</f>
        <v>0</v>
      </c>
      <c r="I117" s="258">
        <f t="shared" si="15"/>
        <v>7056.67</v>
      </c>
      <c r="J117" s="212"/>
      <c r="K117" s="274"/>
      <c r="M117" s="248">
        <v>50124</v>
      </c>
      <c r="N117" s="248" t="s">
        <v>573</v>
      </c>
      <c r="O117" s="248">
        <v>2160.4299999999998</v>
      </c>
      <c r="P117" s="35">
        <f t="shared" si="16"/>
        <v>-213030.07</v>
      </c>
      <c r="Q117">
        <v>70019</v>
      </c>
      <c r="R117">
        <v>26.87</v>
      </c>
      <c r="S117">
        <f t="shared" si="14"/>
        <v>2105.56</v>
      </c>
      <c r="T117">
        <f t="shared" si="12"/>
        <v>2078.69</v>
      </c>
    </row>
    <row r="118" spans="1:20" hidden="1" x14ac:dyDescent="0.25">
      <c r="A118">
        <v>54</v>
      </c>
      <c r="B118" s="213">
        <v>61005</v>
      </c>
      <c r="C118" t="s">
        <v>815</v>
      </c>
      <c r="D118" s="274">
        <v>10602</v>
      </c>
      <c r="E118" s="255">
        <f>SUMIF('AJE LTD'!A:A,'TB LTD 2021'!B118,'AJE LTD'!C:C)</f>
        <v>0</v>
      </c>
      <c r="F118" s="258">
        <f t="shared" si="11"/>
        <v>10602</v>
      </c>
      <c r="G118" s="274">
        <v>3253.21</v>
      </c>
      <c r="H118" s="255">
        <f>SUMIF('AJE LTD'!A:A,'TB LTD 2021'!B118,'AJE LTD'!D:D)</f>
        <v>0</v>
      </c>
      <c r="I118" s="258">
        <f t="shared" si="15"/>
        <v>3253.21</v>
      </c>
      <c r="J118" s="212"/>
      <c r="K118" s="274"/>
      <c r="M118" s="248">
        <v>50125</v>
      </c>
      <c r="N118" s="248" t="s">
        <v>574</v>
      </c>
      <c r="O118" s="248">
        <v>8290.67</v>
      </c>
      <c r="P118" s="35">
        <f t="shared" si="16"/>
        <v>-317749.33</v>
      </c>
      <c r="Q118">
        <v>70021</v>
      </c>
      <c r="R118">
        <v>16029.01</v>
      </c>
      <c r="S118">
        <f t="shared" si="14"/>
        <v>33421.410000000003</v>
      </c>
      <c r="T118">
        <f t="shared" si="12"/>
        <v>17392.400000000001</v>
      </c>
    </row>
    <row r="119" spans="1:20" hidden="1" x14ac:dyDescent="0.25">
      <c r="A119">
        <v>54</v>
      </c>
      <c r="B119" s="213">
        <v>61097</v>
      </c>
      <c r="C119" t="s">
        <v>816</v>
      </c>
      <c r="D119" s="274">
        <v>-1004.53</v>
      </c>
      <c r="E119" s="255">
        <f>SUMIF('AJE LTD'!A:A,'TB LTD 2021'!B119,'AJE LTD'!C:C)</f>
        <v>0</v>
      </c>
      <c r="F119" s="258">
        <f t="shared" si="11"/>
        <v>-1004.53</v>
      </c>
      <c r="G119" s="274">
        <v>-322.33</v>
      </c>
      <c r="H119" s="255">
        <f>SUMIF('AJE LTD'!A:A,'TB LTD 2021'!B119,'AJE LTD'!D:D)</f>
        <v>0</v>
      </c>
      <c r="I119" s="258">
        <f t="shared" si="15"/>
        <v>-322.33</v>
      </c>
      <c r="J119" s="212"/>
      <c r="K119" s="274"/>
      <c r="M119" s="248">
        <v>50126</v>
      </c>
      <c r="N119" s="248" t="s">
        <v>575</v>
      </c>
      <c r="O119" s="248">
        <v>1074.1500000000001</v>
      </c>
      <c r="P119" s="35">
        <f t="shared" si="16"/>
        <v>-18866.849999999999</v>
      </c>
      <c r="Q119">
        <v>70022</v>
      </c>
      <c r="R119">
        <v>2219</v>
      </c>
      <c r="S119">
        <f t="shared" si="14"/>
        <v>4418.1000000000004</v>
      </c>
      <c r="T119">
        <f t="shared" si="12"/>
        <v>2199.1000000000004</v>
      </c>
    </row>
    <row r="120" spans="1:20" hidden="1" x14ac:dyDescent="0.25">
      <c r="A120">
        <v>54</v>
      </c>
      <c r="B120" s="213">
        <v>61104</v>
      </c>
      <c r="C120" t="s">
        <v>817</v>
      </c>
      <c r="D120" s="274">
        <v>135</v>
      </c>
      <c r="E120" s="255">
        <f>SUMIF('AJE LTD'!A:A,'TB LTD 2021'!B120,'AJE LTD'!C:C)</f>
        <v>0</v>
      </c>
      <c r="F120" s="258">
        <f t="shared" si="11"/>
        <v>135</v>
      </c>
      <c r="G120" s="274">
        <v>41.81</v>
      </c>
      <c r="H120" s="255">
        <f>SUMIF('AJE LTD'!A:A,'TB LTD 2021'!B120,'AJE LTD'!D:D)</f>
        <v>0</v>
      </c>
      <c r="I120" s="258">
        <f t="shared" si="15"/>
        <v>41.81</v>
      </c>
      <c r="J120" s="212"/>
      <c r="K120" s="274"/>
      <c r="M120" s="248">
        <v>50127</v>
      </c>
      <c r="N120" s="248" t="s">
        <v>576</v>
      </c>
      <c r="O120" s="248">
        <v>503.33</v>
      </c>
      <c r="P120" s="35">
        <f t="shared" si="16"/>
        <v>-17436.669999999998</v>
      </c>
      <c r="Q120">
        <v>70024</v>
      </c>
      <c r="R120">
        <v>59789.81</v>
      </c>
      <c r="S120">
        <f t="shared" si="14"/>
        <v>47611.26</v>
      </c>
      <c r="T120">
        <f t="shared" si="12"/>
        <v>-12178.549999999996</v>
      </c>
    </row>
    <row r="121" spans="1:20" hidden="1" x14ac:dyDescent="0.25">
      <c r="A121">
        <v>54</v>
      </c>
      <c r="B121" s="213">
        <v>61106</v>
      </c>
      <c r="C121" t="s">
        <v>818</v>
      </c>
      <c r="D121" s="274">
        <v>1685</v>
      </c>
      <c r="E121" s="255">
        <f>SUMIF('AJE LTD'!A:A,'TB LTD 2021'!B121,'AJE LTD'!C:C)</f>
        <v>0</v>
      </c>
      <c r="F121" s="258">
        <f t="shared" si="11"/>
        <v>1685</v>
      </c>
      <c r="G121" s="274">
        <v>514.03</v>
      </c>
      <c r="H121" s="255">
        <f>SUMIF('AJE LTD'!A:A,'TB LTD 2021'!B121,'AJE LTD'!D:D)</f>
        <v>0</v>
      </c>
      <c r="I121" s="258">
        <f t="shared" si="15"/>
        <v>514.03</v>
      </c>
      <c r="J121" s="212"/>
      <c r="K121" s="274"/>
      <c r="M121" s="248">
        <v>50130</v>
      </c>
      <c r="N121" s="248" t="s">
        <v>577</v>
      </c>
      <c r="O121" s="248">
        <v>7798.5</v>
      </c>
      <c r="P121" s="35">
        <f t="shared" si="16"/>
        <v>-15192.5</v>
      </c>
      <c r="Q121">
        <v>70031</v>
      </c>
      <c r="R121">
        <v>3903.3599999999997</v>
      </c>
      <c r="S121">
        <f t="shared" si="14"/>
        <v>4412.32</v>
      </c>
      <c r="T121">
        <f t="shared" si="12"/>
        <v>508.96000000000004</v>
      </c>
    </row>
    <row r="122" spans="1:20" hidden="1" x14ac:dyDescent="0.25">
      <c r="A122">
        <v>54</v>
      </c>
      <c r="B122" s="213">
        <v>61199</v>
      </c>
      <c r="C122" t="s">
        <v>819</v>
      </c>
      <c r="D122" s="274">
        <v>-1820</v>
      </c>
      <c r="E122" s="255">
        <f>SUMIF('AJE LTD'!A:A,'TB LTD 2021'!B122,'AJE LTD'!C:C)</f>
        <v>0</v>
      </c>
      <c r="F122" s="258">
        <f t="shared" si="11"/>
        <v>-1820</v>
      </c>
      <c r="G122" s="274">
        <v>-555.84</v>
      </c>
      <c r="H122" s="255">
        <f>SUMIF('AJE LTD'!A:A,'TB LTD 2021'!B122,'AJE LTD'!D:D)</f>
        <v>0</v>
      </c>
      <c r="I122" s="258">
        <f t="shared" si="15"/>
        <v>-555.84</v>
      </c>
      <c r="J122" s="212"/>
      <c r="K122" s="274"/>
      <c r="M122" s="248">
        <v>50131</v>
      </c>
      <c r="N122" s="248" t="s">
        <v>578</v>
      </c>
      <c r="O122" s="248">
        <v>1650</v>
      </c>
      <c r="P122" s="35">
        <f t="shared" si="16"/>
        <v>-8952</v>
      </c>
      <c r="Q122">
        <v>70034</v>
      </c>
      <c r="R122">
        <v>0</v>
      </c>
      <c r="S122">
        <f t="shared" si="14"/>
        <v>1867.9</v>
      </c>
      <c r="T122">
        <f t="shared" si="12"/>
        <v>1867.9</v>
      </c>
    </row>
    <row r="123" spans="1:20" hidden="1" x14ac:dyDescent="0.25">
      <c r="A123">
        <v>54</v>
      </c>
      <c r="B123" s="213">
        <v>65000</v>
      </c>
      <c r="C123" t="s">
        <v>820</v>
      </c>
      <c r="D123" s="274">
        <v>61083</v>
      </c>
      <c r="E123" s="255">
        <f>SUMIF('AJE LTD'!A:A,'TB LTD 2021'!B123,'AJE LTD'!C:C)</f>
        <v>0</v>
      </c>
      <c r="F123" s="258">
        <f t="shared" si="11"/>
        <v>61083</v>
      </c>
      <c r="G123" s="274">
        <v>19562.63</v>
      </c>
      <c r="H123" s="255">
        <f>SUMIF('AJE LTD'!A:A,'TB LTD 2021'!B123,'AJE LTD'!D:D)</f>
        <v>0</v>
      </c>
      <c r="I123" s="258">
        <f t="shared" ref="I123:I130" si="17">SUM(G123:H123)</f>
        <v>19562.63</v>
      </c>
      <c r="J123" s="212"/>
      <c r="K123" s="274"/>
      <c r="M123" s="248">
        <v>50132</v>
      </c>
      <c r="N123" s="248" t="s">
        <v>579</v>
      </c>
      <c r="O123" s="248">
        <v>238481.5</v>
      </c>
      <c r="P123" s="35">
        <f t="shared" si="16"/>
        <v>239486.03</v>
      </c>
      <c r="Q123">
        <v>70035</v>
      </c>
      <c r="R123">
        <v>82.3</v>
      </c>
      <c r="S123">
        <f t="shared" si="14"/>
        <v>201.21</v>
      </c>
      <c r="T123">
        <f t="shared" si="12"/>
        <v>118.91000000000001</v>
      </c>
    </row>
    <row r="124" spans="1:20" hidden="1" x14ac:dyDescent="0.25">
      <c r="A124">
        <v>54</v>
      </c>
      <c r="B124" s="213">
        <v>65001</v>
      </c>
      <c r="C124" t="s">
        <v>821</v>
      </c>
      <c r="D124" s="274">
        <v>3957</v>
      </c>
      <c r="E124" s="255">
        <f>SUMIF('AJE LTD'!A:A,'TB LTD 2021'!B124,'AJE LTD'!C:C)</f>
        <v>0</v>
      </c>
      <c r="F124" s="258">
        <f t="shared" si="11"/>
        <v>3957</v>
      </c>
      <c r="G124" s="274">
        <v>1267.76</v>
      </c>
      <c r="H124" s="255">
        <f>SUMIF('AJE LTD'!A:A,'TB LTD 2021'!B124,'AJE LTD'!D:D)</f>
        <v>0</v>
      </c>
      <c r="I124" s="258">
        <f t="shared" si="17"/>
        <v>1267.76</v>
      </c>
      <c r="J124" s="212"/>
      <c r="K124" s="274"/>
      <c r="M124" s="248">
        <v>50135</v>
      </c>
      <c r="N124" s="248" t="s">
        <v>668</v>
      </c>
      <c r="O124" s="248">
        <v>597.95000000000005</v>
      </c>
      <c r="P124" s="35">
        <f t="shared" si="16"/>
        <v>462.95000000000005</v>
      </c>
      <c r="Q124">
        <v>71000</v>
      </c>
      <c r="R124">
        <v>137752.78999999998</v>
      </c>
      <c r="S124">
        <f t="shared" si="14"/>
        <v>171520.49</v>
      </c>
      <c r="T124">
        <f t="shared" si="12"/>
        <v>33767.700000000012</v>
      </c>
    </row>
    <row r="125" spans="1:20" hidden="1" x14ac:dyDescent="0.25">
      <c r="A125">
        <v>54</v>
      </c>
      <c r="B125" s="213">
        <v>65002</v>
      </c>
      <c r="C125" t="s">
        <v>822</v>
      </c>
      <c r="D125" s="274">
        <v>3604</v>
      </c>
      <c r="E125" s="255">
        <f>SUMIF('AJE LTD'!A:A,'TB LTD 2021'!B125,'AJE LTD'!C:C)</f>
        <v>0</v>
      </c>
      <c r="F125" s="258">
        <f t="shared" si="11"/>
        <v>3604</v>
      </c>
      <c r="G125" s="274">
        <v>1158.8399999999999</v>
      </c>
      <c r="H125" s="255">
        <f>SUMIF('AJE LTD'!A:A,'TB LTD 2021'!B125,'AJE LTD'!D:D)</f>
        <v>0</v>
      </c>
      <c r="I125" s="258">
        <f t="shared" si="17"/>
        <v>1158.8399999999999</v>
      </c>
      <c r="J125" s="212"/>
      <c r="K125" s="274"/>
      <c r="M125" s="248">
        <v>50136</v>
      </c>
      <c r="N125" s="248" t="s">
        <v>580</v>
      </c>
      <c r="O125" s="248">
        <v>3441</v>
      </c>
      <c r="P125" s="35">
        <f t="shared" si="16"/>
        <v>1756</v>
      </c>
      <c r="Q125">
        <v>71001</v>
      </c>
      <c r="R125">
        <v>8922.6299999999992</v>
      </c>
      <c r="S125">
        <f t="shared" si="14"/>
        <v>11602.28</v>
      </c>
      <c r="T125">
        <f t="shared" si="12"/>
        <v>2679.6500000000015</v>
      </c>
    </row>
    <row r="126" spans="1:20" hidden="1" x14ac:dyDescent="0.25">
      <c r="A126">
        <v>54</v>
      </c>
      <c r="B126" s="213">
        <v>65003</v>
      </c>
      <c r="C126" t="s">
        <v>823</v>
      </c>
      <c r="D126" s="274">
        <v>4941</v>
      </c>
      <c r="E126" s="255">
        <f>SUMIF('AJE LTD'!A:A,'TB LTD 2021'!B126,'AJE LTD'!C:C)</f>
        <v>0</v>
      </c>
      <c r="F126" s="258">
        <f t="shared" si="11"/>
        <v>4941</v>
      </c>
      <c r="G126" s="274">
        <v>1588.75</v>
      </c>
      <c r="H126" s="255">
        <f>SUMIF('AJE LTD'!A:A,'TB LTD 2021'!B126,'AJE LTD'!D:D)</f>
        <v>0</v>
      </c>
      <c r="I126" s="258">
        <f t="shared" si="17"/>
        <v>1588.75</v>
      </c>
      <c r="J126" s="212"/>
      <c r="K126" s="274"/>
      <c r="M126" s="248">
        <v>51000</v>
      </c>
      <c r="N126" s="248" t="s">
        <v>36</v>
      </c>
      <c r="O126" s="248">
        <v>2328229</v>
      </c>
      <c r="P126" s="35">
        <f t="shared" si="16"/>
        <v>2330049</v>
      </c>
      <c r="Q126">
        <v>71002</v>
      </c>
      <c r="R126">
        <v>6516.52</v>
      </c>
      <c r="S126">
        <f t="shared" si="14"/>
        <v>8536.9599999999991</v>
      </c>
      <c r="T126">
        <f t="shared" si="12"/>
        <v>2020.4399999999987</v>
      </c>
    </row>
    <row r="127" spans="1:20" hidden="1" x14ac:dyDescent="0.25">
      <c r="A127">
        <v>54</v>
      </c>
      <c r="B127" s="213">
        <v>65004</v>
      </c>
      <c r="C127" t="s">
        <v>824</v>
      </c>
      <c r="D127" s="274">
        <v>251</v>
      </c>
      <c r="E127" s="255">
        <f>SUMIF('AJE LTD'!A:A,'TB LTD 2021'!B127,'AJE LTD'!C:C)</f>
        <v>0</v>
      </c>
      <c r="F127" s="258">
        <f t="shared" si="11"/>
        <v>251</v>
      </c>
      <c r="G127" s="274">
        <v>80.709999999999994</v>
      </c>
      <c r="H127" s="255">
        <f>SUMIF('AJE LTD'!A:A,'TB LTD 2021'!B127,'AJE LTD'!D:D)</f>
        <v>0</v>
      </c>
      <c r="I127" s="258">
        <f t="shared" si="17"/>
        <v>80.709999999999994</v>
      </c>
      <c r="J127" s="212"/>
      <c r="K127" s="274"/>
      <c r="M127" s="248">
        <v>51001</v>
      </c>
      <c r="N127" s="248" t="s">
        <v>37</v>
      </c>
      <c r="O127" s="248">
        <v>157313</v>
      </c>
      <c r="P127" s="35">
        <f t="shared" si="16"/>
        <v>96230</v>
      </c>
      <c r="Q127">
        <v>71003</v>
      </c>
      <c r="R127">
        <v>10431.85</v>
      </c>
      <c r="S127">
        <f t="shared" si="14"/>
        <v>13526.16</v>
      </c>
      <c r="T127">
        <f t="shared" si="12"/>
        <v>3094.3099999999995</v>
      </c>
    </row>
    <row r="128" spans="1:20" hidden="1" x14ac:dyDescent="0.25">
      <c r="A128">
        <v>54</v>
      </c>
      <c r="B128" s="213">
        <v>65005</v>
      </c>
      <c r="C128" t="s">
        <v>825</v>
      </c>
      <c r="D128" s="274">
        <v>2252</v>
      </c>
      <c r="E128" s="255">
        <f>SUMIF('AJE LTD'!A:A,'TB LTD 2021'!B128,'AJE LTD'!C:C)</f>
        <v>0</v>
      </c>
      <c r="F128" s="258">
        <f t="shared" ref="F128:F190" si="18">SUM(D128:E128)</f>
        <v>2252</v>
      </c>
      <c r="G128" s="274">
        <v>724.12</v>
      </c>
      <c r="H128" s="255">
        <f>SUMIF('AJE LTD'!A:A,'TB LTD 2021'!B128,'AJE LTD'!D:D)</f>
        <v>0</v>
      </c>
      <c r="I128" s="258">
        <f t="shared" si="17"/>
        <v>724.12</v>
      </c>
      <c r="J128" s="212"/>
      <c r="K128" s="274"/>
      <c r="M128" s="248">
        <v>51002</v>
      </c>
      <c r="N128" s="248" t="s">
        <v>38</v>
      </c>
      <c r="O128" s="248">
        <v>136341</v>
      </c>
      <c r="P128" s="35">
        <f t="shared" si="16"/>
        <v>132384</v>
      </c>
      <c r="Q128">
        <v>71004</v>
      </c>
      <c r="R128">
        <v>1622.22</v>
      </c>
      <c r="S128">
        <f t="shared" si="14"/>
        <v>3370.39</v>
      </c>
      <c r="T128">
        <f t="shared" si="12"/>
        <v>1748.1699999999998</v>
      </c>
    </row>
    <row r="129" spans="1:20" hidden="1" x14ac:dyDescent="0.25">
      <c r="A129" s="283">
        <v>51</v>
      </c>
      <c r="B129" s="284">
        <v>65006</v>
      </c>
      <c r="C129" s="283" t="s">
        <v>826</v>
      </c>
      <c r="D129" s="274">
        <v>1244872.7</v>
      </c>
      <c r="E129" s="255">
        <f>SUMIF('AJE LTD'!A:A,'TB LTD 2021'!B129,'AJE LTD'!C:C)</f>
        <v>34355.631085721398</v>
      </c>
      <c r="F129" s="258">
        <f t="shared" si="18"/>
        <v>1279228.3310857213</v>
      </c>
      <c r="G129" s="274">
        <v>392958.09</v>
      </c>
      <c r="H129" s="255">
        <f>SUMIF('AJE LTD'!A:A,'TB LTD 2021'!B129,'AJE LTD'!D:D)</f>
        <v>11046.826715666044</v>
      </c>
      <c r="I129" s="258">
        <f t="shared" si="17"/>
        <v>404004.91671566607</v>
      </c>
      <c r="J129" s="212"/>
      <c r="K129" s="328"/>
      <c r="M129" s="248">
        <v>51003</v>
      </c>
      <c r="N129" s="248" t="s">
        <v>39</v>
      </c>
      <c r="O129" s="248">
        <v>188740</v>
      </c>
      <c r="P129" s="35">
        <f t="shared" si="16"/>
        <v>185136</v>
      </c>
      <c r="Q129">
        <v>71005</v>
      </c>
      <c r="R129">
        <v>4126.9799999999996</v>
      </c>
      <c r="S129">
        <f t="shared" si="14"/>
        <v>7112.65</v>
      </c>
      <c r="T129">
        <f t="shared" si="12"/>
        <v>2985.67</v>
      </c>
    </row>
    <row r="130" spans="1:20" hidden="1" x14ac:dyDescent="0.25">
      <c r="A130">
        <v>54</v>
      </c>
      <c r="B130" s="213">
        <v>65102</v>
      </c>
      <c r="C130" t="s">
        <v>827</v>
      </c>
      <c r="D130" s="274">
        <v>697</v>
      </c>
      <c r="E130" s="255">
        <f>SUMIF('AJE LTD'!A:A,'TB LTD 2021'!B130,'AJE LTD'!C:C)</f>
        <v>0</v>
      </c>
      <c r="F130" s="258">
        <f t="shared" si="18"/>
        <v>697</v>
      </c>
      <c r="G130" s="274">
        <v>224.12</v>
      </c>
      <c r="H130" s="255">
        <f>SUMIF('AJE LTD'!A:A,'TB LTD 2021'!B130,'AJE LTD'!D:D)</f>
        <v>0</v>
      </c>
      <c r="I130" s="258">
        <f t="shared" si="17"/>
        <v>224.12</v>
      </c>
      <c r="J130" s="212"/>
      <c r="K130" s="274"/>
      <c r="M130" s="248">
        <v>51004</v>
      </c>
      <c r="N130" s="248" t="s">
        <v>40</v>
      </c>
      <c r="O130" s="248">
        <v>11608</v>
      </c>
      <c r="P130" s="35">
        <f t="shared" si="16"/>
        <v>6667</v>
      </c>
      <c r="Q130">
        <v>71099</v>
      </c>
      <c r="R130">
        <v>5521.38</v>
      </c>
      <c r="S130">
        <f t="shared" si="14"/>
        <v>0</v>
      </c>
      <c r="T130">
        <f t="shared" si="12"/>
        <v>-5521.38</v>
      </c>
    </row>
    <row r="131" spans="1:20" hidden="1" x14ac:dyDescent="0.25">
      <c r="A131">
        <v>54</v>
      </c>
      <c r="B131" s="213">
        <v>65104</v>
      </c>
      <c r="C131" t="s">
        <v>828</v>
      </c>
      <c r="D131" s="274">
        <v>993</v>
      </c>
      <c r="E131" s="255">
        <f>SUMIF('AJE LTD'!A:A,'TB LTD 2021'!B131,'AJE LTD'!C:C)</f>
        <v>0</v>
      </c>
      <c r="F131" s="258">
        <f t="shared" si="18"/>
        <v>993</v>
      </c>
      <c r="G131" s="274">
        <v>319.29000000000002</v>
      </c>
      <c r="H131" s="255">
        <f>SUMIF('AJE LTD'!A:A,'TB LTD 2021'!B131,'AJE LTD'!D:D)</f>
        <v>0</v>
      </c>
      <c r="I131" s="258">
        <f t="shared" ref="I131:I137" si="19">SUM(G131:H131)</f>
        <v>319.29000000000002</v>
      </c>
      <c r="J131" s="212"/>
      <c r="K131" s="274"/>
      <c r="M131" s="248">
        <v>51005</v>
      </c>
      <c r="N131" s="248" t="s">
        <v>41</v>
      </c>
      <c r="O131" s="248">
        <v>86284</v>
      </c>
      <c r="P131" s="35">
        <f t="shared" si="16"/>
        <v>86033</v>
      </c>
      <c r="Q131">
        <v>71103</v>
      </c>
      <c r="R131">
        <v>970.91</v>
      </c>
      <c r="S131">
        <f t="shared" si="14"/>
        <v>0</v>
      </c>
      <c r="T131">
        <f t="shared" ref="T131:T194" si="20">S131-R131</f>
        <v>-970.91</v>
      </c>
    </row>
    <row r="132" spans="1:20" hidden="1" x14ac:dyDescent="0.25">
      <c r="A132">
        <v>54</v>
      </c>
      <c r="B132" s="213">
        <v>65107</v>
      </c>
      <c r="C132" t="s">
        <v>829</v>
      </c>
      <c r="D132" s="274">
        <v>251</v>
      </c>
      <c r="E132" s="255">
        <f>SUMIF('AJE LTD'!A:A,'TB LTD 2021'!B132,'AJE LTD'!C:C)</f>
        <v>0</v>
      </c>
      <c r="F132" s="258">
        <f t="shared" si="18"/>
        <v>251</v>
      </c>
      <c r="G132" s="274">
        <v>80.709999999999994</v>
      </c>
      <c r="H132" s="255">
        <f>SUMIF('AJE LTD'!A:A,'TB LTD 2021'!B132,'AJE LTD'!D:D)</f>
        <v>0</v>
      </c>
      <c r="I132" s="258">
        <f t="shared" si="19"/>
        <v>80.709999999999994</v>
      </c>
      <c r="J132" s="212"/>
      <c r="K132" s="274"/>
      <c r="M132" s="249">
        <v>51097</v>
      </c>
      <c r="N132" s="249" t="s">
        <v>581</v>
      </c>
      <c r="O132" s="249">
        <v>3973.16</v>
      </c>
      <c r="P132" s="35">
        <f t="shared" si="16"/>
        <v>1721.1599999999999</v>
      </c>
      <c r="Q132">
        <v>71104</v>
      </c>
      <c r="R132">
        <v>0</v>
      </c>
      <c r="S132">
        <f t="shared" si="14"/>
        <v>0</v>
      </c>
      <c r="T132">
        <f t="shared" si="20"/>
        <v>0</v>
      </c>
    </row>
    <row r="133" spans="1:20" hidden="1" x14ac:dyDescent="0.25">
      <c r="A133">
        <v>54</v>
      </c>
      <c r="B133" s="213">
        <v>65108</v>
      </c>
      <c r="C133" t="s">
        <v>830</v>
      </c>
      <c r="D133" s="274">
        <v>1102</v>
      </c>
      <c r="E133" s="255">
        <f>SUMIF('AJE LTD'!A:A,'TB LTD 2021'!B133,'AJE LTD'!C:C)</f>
        <v>0</v>
      </c>
      <c r="F133" s="258">
        <f t="shared" si="18"/>
        <v>1102</v>
      </c>
      <c r="G133" s="274">
        <v>354.34</v>
      </c>
      <c r="H133" s="255">
        <f>SUMIF('AJE LTD'!A:A,'TB LTD 2021'!B133,'AJE LTD'!D:D)</f>
        <v>0</v>
      </c>
      <c r="I133" s="258">
        <f t="shared" si="19"/>
        <v>354.34</v>
      </c>
      <c r="J133" s="212"/>
      <c r="K133" s="274"/>
      <c r="M133" s="248">
        <v>51098</v>
      </c>
      <c r="N133" s="248" t="s">
        <v>42</v>
      </c>
      <c r="O133" s="248">
        <v>-1905</v>
      </c>
      <c r="P133" s="35">
        <f t="shared" si="16"/>
        <v>-1246777.7</v>
      </c>
      <c r="Q133">
        <v>71107</v>
      </c>
      <c r="R133">
        <v>1206.54</v>
      </c>
      <c r="S133">
        <f t="shared" si="14"/>
        <v>1254.8</v>
      </c>
      <c r="T133">
        <f t="shared" si="20"/>
        <v>48.259999999999991</v>
      </c>
    </row>
    <row r="134" spans="1:20" hidden="1" x14ac:dyDescent="0.25">
      <c r="A134">
        <v>54</v>
      </c>
      <c r="B134" s="213">
        <v>65199</v>
      </c>
      <c r="C134" t="s">
        <v>831</v>
      </c>
      <c r="D134" s="274">
        <v>-3043</v>
      </c>
      <c r="E134" s="255">
        <f>SUMIF('AJE LTD'!A:A,'TB LTD 2021'!B134,'AJE LTD'!C:C)</f>
        <v>0</v>
      </c>
      <c r="F134" s="258">
        <f t="shared" si="18"/>
        <v>-3043</v>
      </c>
      <c r="G134" s="274">
        <v>-978.46</v>
      </c>
      <c r="H134" s="255">
        <f>SUMIF('AJE LTD'!A:A,'TB LTD 2021'!B134,'AJE LTD'!D:D)</f>
        <v>0</v>
      </c>
      <c r="I134" s="258">
        <f t="shared" si="19"/>
        <v>-978.46</v>
      </c>
      <c r="J134" s="212"/>
      <c r="K134" s="274"/>
      <c r="M134" s="248">
        <v>51099</v>
      </c>
      <c r="N134" s="248" t="s">
        <v>43</v>
      </c>
      <c r="O134" s="248">
        <v>55094.75</v>
      </c>
      <c r="P134" s="35">
        <f t="shared" si="16"/>
        <v>54397.75</v>
      </c>
      <c r="Q134">
        <v>71109</v>
      </c>
      <c r="R134">
        <v>242.88</v>
      </c>
      <c r="S134">
        <f t="shared" si="14"/>
        <v>0</v>
      </c>
      <c r="T134">
        <f t="shared" si="20"/>
        <v>-242.88</v>
      </c>
    </row>
    <row r="135" spans="1:20" hidden="1" x14ac:dyDescent="0.25">
      <c r="A135">
        <v>54</v>
      </c>
      <c r="B135" s="213">
        <v>66000</v>
      </c>
      <c r="C135" t="s">
        <v>832</v>
      </c>
      <c r="D135" s="274">
        <v>76852</v>
      </c>
      <c r="E135" s="255">
        <f>SUMIF('AJE LTD'!A:A,'TB LTD 2021'!B135,'AJE LTD'!C:C)</f>
        <v>0</v>
      </c>
      <c r="F135" s="258">
        <f t="shared" si="18"/>
        <v>76852</v>
      </c>
      <c r="G135" s="274">
        <v>24575.66</v>
      </c>
      <c r="H135" s="255">
        <f>SUMIF('AJE LTD'!A:A,'TB LTD 2021'!B135,'AJE LTD'!D:D)</f>
        <v>0</v>
      </c>
      <c r="I135" s="258">
        <f t="shared" si="19"/>
        <v>24575.66</v>
      </c>
      <c r="J135" s="212"/>
      <c r="K135" s="274"/>
      <c r="M135" s="248">
        <v>51102</v>
      </c>
      <c r="N135" s="248" t="s">
        <v>582</v>
      </c>
      <c r="O135" s="248">
        <v>415</v>
      </c>
      <c r="P135" s="35">
        <f t="shared" si="16"/>
        <v>-578</v>
      </c>
      <c r="Q135">
        <v>71199</v>
      </c>
      <c r="R135">
        <v>-2569.88</v>
      </c>
      <c r="S135">
        <f t="shared" si="14"/>
        <v>-2180.6</v>
      </c>
      <c r="T135">
        <f t="shared" si="20"/>
        <v>389.2800000000002</v>
      </c>
    </row>
    <row r="136" spans="1:20" hidden="1" x14ac:dyDescent="0.25">
      <c r="A136">
        <v>54</v>
      </c>
      <c r="B136" s="213">
        <v>66001</v>
      </c>
      <c r="C136" t="s">
        <v>833</v>
      </c>
      <c r="D136" s="274">
        <v>4781</v>
      </c>
      <c r="E136" s="255">
        <f>SUMIF('AJE LTD'!A:A,'TB LTD 2021'!B136,'AJE LTD'!C:C)</f>
        <v>0</v>
      </c>
      <c r="F136" s="258">
        <f t="shared" si="18"/>
        <v>4781</v>
      </c>
      <c r="G136" s="274">
        <v>1528.35</v>
      </c>
      <c r="H136" s="255">
        <f>SUMIF('AJE LTD'!A:A,'TB LTD 2021'!B136,'AJE LTD'!D:D)</f>
        <v>0</v>
      </c>
      <c r="I136" s="258">
        <f t="shared" si="19"/>
        <v>1528.35</v>
      </c>
      <c r="J136" s="212"/>
      <c r="K136" s="274"/>
      <c r="M136" s="248">
        <v>51103</v>
      </c>
      <c r="N136" s="248" t="s">
        <v>44</v>
      </c>
      <c r="O136" s="248">
        <v>27204</v>
      </c>
      <c r="P136" s="35">
        <f t="shared" si="16"/>
        <v>26953</v>
      </c>
      <c r="Q136">
        <v>74000</v>
      </c>
      <c r="R136">
        <v>5309.65</v>
      </c>
      <c r="S136">
        <f t="shared" si="14"/>
        <v>12127.58</v>
      </c>
      <c r="T136">
        <f t="shared" si="20"/>
        <v>6817.93</v>
      </c>
    </row>
    <row r="137" spans="1:20" hidden="1" x14ac:dyDescent="0.25">
      <c r="A137">
        <v>54</v>
      </c>
      <c r="B137" s="213">
        <v>66002</v>
      </c>
      <c r="C137" t="s">
        <v>834</v>
      </c>
      <c r="D137" s="274">
        <v>4875</v>
      </c>
      <c r="E137" s="255">
        <f>SUMIF('AJE LTD'!A:A,'TB LTD 2021'!B137,'AJE LTD'!C:C)</f>
        <v>0</v>
      </c>
      <c r="F137" s="258">
        <f t="shared" si="18"/>
        <v>4875</v>
      </c>
      <c r="G137" s="274">
        <v>1567.52</v>
      </c>
      <c r="H137" s="255">
        <f>SUMIF('AJE LTD'!A:A,'TB LTD 2021'!B137,'AJE LTD'!D:D)</f>
        <v>0</v>
      </c>
      <c r="I137" s="258">
        <f t="shared" si="19"/>
        <v>1567.52</v>
      </c>
      <c r="J137" s="212"/>
      <c r="K137" s="274"/>
      <c r="M137" s="248">
        <v>51104</v>
      </c>
      <c r="N137" s="248" t="s">
        <v>45</v>
      </c>
      <c r="O137" s="248">
        <v>1455</v>
      </c>
      <c r="P137" s="35">
        <f t="shared" si="16"/>
        <v>353</v>
      </c>
      <c r="Q137">
        <v>90000</v>
      </c>
      <c r="R137">
        <v>14548.05</v>
      </c>
      <c r="S137">
        <f t="shared" si="14"/>
        <v>2824.93</v>
      </c>
      <c r="T137">
        <f t="shared" si="20"/>
        <v>-11723.119999999999</v>
      </c>
    </row>
    <row r="138" spans="1:20" hidden="1" x14ac:dyDescent="0.25">
      <c r="A138">
        <v>54</v>
      </c>
      <c r="B138" s="213">
        <v>66003</v>
      </c>
      <c r="C138" t="s">
        <v>835</v>
      </c>
      <c r="D138" s="274">
        <v>6248</v>
      </c>
      <c r="E138" s="255">
        <f>SUMIF('AJE LTD'!A:A,'TB LTD 2021'!B138,'AJE LTD'!C:C)</f>
        <v>0</v>
      </c>
      <c r="F138" s="258">
        <f t="shared" si="18"/>
        <v>6248</v>
      </c>
      <c r="G138" s="274">
        <v>2009</v>
      </c>
      <c r="H138" s="255">
        <f>SUMIF('AJE LTD'!A:A,'TB LTD 2021'!B138,'AJE LTD'!D:D)</f>
        <v>0</v>
      </c>
      <c r="I138" s="258">
        <f>SUM(G138:H138)</f>
        <v>2009</v>
      </c>
      <c r="J138" s="212"/>
      <c r="K138" s="274"/>
      <c r="M138" s="248">
        <v>51106</v>
      </c>
      <c r="N138" s="248" t="s">
        <v>583</v>
      </c>
      <c r="O138" s="248">
        <v>3570</v>
      </c>
      <c r="P138" s="35">
        <f t="shared" si="16"/>
        <v>6613</v>
      </c>
      <c r="Q138">
        <v>90001</v>
      </c>
      <c r="R138">
        <v>-11770.44</v>
      </c>
      <c r="S138">
        <f t="shared" si="14"/>
        <v>0</v>
      </c>
      <c r="T138">
        <f t="shared" si="20"/>
        <v>11770.44</v>
      </c>
    </row>
    <row r="139" spans="1:20" hidden="1" x14ac:dyDescent="0.25">
      <c r="A139">
        <v>54</v>
      </c>
      <c r="B139" s="213">
        <v>66005</v>
      </c>
      <c r="C139" t="s">
        <v>836</v>
      </c>
      <c r="D139" s="274">
        <v>2356</v>
      </c>
      <c r="E139" s="255">
        <f>SUMIF('AJE LTD'!A:A,'TB LTD 2021'!B139,'AJE LTD'!C:C)</f>
        <v>0</v>
      </c>
      <c r="F139" s="258">
        <f t="shared" si="18"/>
        <v>2356</v>
      </c>
      <c r="G139" s="274">
        <v>757.56</v>
      </c>
      <c r="H139" s="255">
        <f>SUMIF('AJE LTD'!A:A,'TB LTD 2021'!B139,'AJE LTD'!D:D)</f>
        <v>0</v>
      </c>
      <c r="I139" s="258">
        <f>SUM(G139:H139)</f>
        <v>757.56</v>
      </c>
      <c r="J139" s="212"/>
      <c r="K139" s="274"/>
      <c r="M139" s="248">
        <v>51107</v>
      </c>
      <c r="N139" s="248" t="s">
        <v>46</v>
      </c>
      <c r="O139" s="248">
        <v>5745</v>
      </c>
      <c r="P139" s="35">
        <f t="shared" si="16"/>
        <v>-71107</v>
      </c>
      <c r="Q139">
        <v>90002</v>
      </c>
      <c r="R139">
        <v>-36622.85</v>
      </c>
      <c r="S139">
        <f t="shared" si="14"/>
        <v>-26389.03</v>
      </c>
      <c r="T139">
        <f t="shared" si="20"/>
        <v>10233.82</v>
      </c>
    </row>
    <row r="140" spans="1:20" hidden="1" x14ac:dyDescent="0.25">
      <c r="A140">
        <v>54</v>
      </c>
      <c r="B140" s="213">
        <v>66102</v>
      </c>
      <c r="C140" t="s">
        <v>837</v>
      </c>
      <c r="D140" s="274">
        <v>565</v>
      </c>
      <c r="E140" s="255">
        <f>SUMIF('AJE LTD'!A:A,'TB LTD 2021'!B140,'AJE LTD'!C:C)</f>
        <v>0</v>
      </c>
      <c r="F140" s="258">
        <f t="shared" si="18"/>
        <v>565</v>
      </c>
      <c r="G140" s="274">
        <v>181.67</v>
      </c>
      <c r="H140" s="255">
        <f>SUMIF('AJE LTD'!A:A,'TB LTD 2021'!B140,'AJE LTD'!D:D)</f>
        <v>0</v>
      </c>
      <c r="I140" s="258">
        <f>SUM(G140:H140)</f>
        <v>181.67</v>
      </c>
      <c r="J140" s="212"/>
      <c r="K140" s="274"/>
      <c r="M140" s="248">
        <v>51108</v>
      </c>
      <c r="N140" s="248" t="s">
        <v>47</v>
      </c>
      <c r="O140" s="248">
        <v>907</v>
      </c>
      <c r="P140" s="35">
        <f t="shared" si="16"/>
        <v>-3874</v>
      </c>
      <c r="Q140">
        <v>99999</v>
      </c>
      <c r="R140">
        <v>-7.03</v>
      </c>
      <c r="S140">
        <f t="shared" si="14"/>
        <v>49.25</v>
      </c>
      <c r="T140">
        <f t="shared" si="20"/>
        <v>56.28</v>
      </c>
    </row>
    <row r="141" spans="1:20" hidden="1" x14ac:dyDescent="0.25">
      <c r="A141">
        <v>54</v>
      </c>
      <c r="B141" s="213">
        <v>66104</v>
      </c>
      <c r="C141" t="s">
        <v>838</v>
      </c>
      <c r="D141" s="274">
        <v>1868</v>
      </c>
      <c r="E141" s="255">
        <f>SUMIF('AJE LTD'!A:A,'TB LTD 2021'!B141,'AJE LTD'!C:C)</f>
        <v>0</v>
      </c>
      <c r="F141" s="258">
        <f t="shared" si="18"/>
        <v>1868</v>
      </c>
      <c r="G141" s="274">
        <v>600.64</v>
      </c>
      <c r="H141" s="255">
        <f>SUMIF('AJE LTD'!A:A,'TB LTD 2021'!B141,'AJE LTD'!D:D)</f>
        <v>0</v>
      </c>
      <c r="I141" s="258">
        <f>SUM(G141:H141)</f>
        <v>600.64</v>
      </c>
      <c r="J141" s="212"/>
      <c r="K141" s="274"/>
      <c r="M141" s="248">
        <v>51199</v>
      </c>
      <c r="N141" s="248" t="s">
        <v>48</v>
      </c>
      <c r="O141" s="248">
        <v>-39296</v>
      </c>
      <c r="P141" s="35">
        <f t="shared" si="16"/>
        <v>-44171</v>
      </c>
      <c r="Q141" t="s">
        <v>112</v>
      </c>
      <c r="R141">
        <v>0</v>
      </c>
      <c r="S141">
        <f t="shared" si="14"/>
        <v>0</v>
      </c>
      <c r="T141">
        <f t="shared" si="20"/>
        <v>0</v>
      </c>
    </row>
    <row r="142" spans="1:20" hidden="1" x14ac:dyDescent="0.25">
      <c r="A142">
        <v>54</v>
      </c>
      <c r="B142" s="213">
        <v>66108</v>
      </c>
      <c r="C142" t="s">
        <v>839</v>
      </c>
      <c r="D142" s="274">
        <v>1827</v>
      </c>
      <c r="E142" s="255">
        <f>SUMIF('AJE LTD'!A:A,'TB LTD 2021'!B142,'AJE LTD'!C:C)</f>
        <v>0</v>
      </c>
      <c r="F142" s="258">
        <f t="shared" si="18"/>
        <v>1827</v>
      </c>
      <c r="G142" s="274">
        <v>587.46</v>
      </c>
      <c r="H142" s="255">
        <f>SUMIF('AJE LTD'!A:A,'TB LTD 2021'!B142,'AJE LTD'!D:D)</f>
        <v>0</v>
      </c>
      <c r="I142" s="258">
        <f t="shared" ref="I142:I147" si="21">SUM(G142:H142)</f>
        <v>587.46</v>
      </c>
      <c r="J142" s="212"/>
      <c r="K142" s="274"/>
      <c r="M142" s="248">
        <v>59001</v>
      </c>
      <c r="N142" s="248" t="s">
        <v>584</v>
      </c>
      <c r="O142" s="248">
        <v>700</v>
      </c>
      <c r="P142" s="35">
        <f t="shared" si="16"/>
        <v>-5548</v>
      </c>
      <c r="Q142" t="s">
        <v>113</v>
      </c>
      <c r="R142">
        <v>0</v>
      </c>
      <c r="S142">
        <f t="shared" si="14"/>
        <v>0</v>
      </c>
      <c r="T142">
        <f t="shared" si="20"/>
        <v>0</v>
      </c>
    </row>
    <row r="143" spans="1:20" hidden="1" x14ac:dyDescent="0.25">
      <c r="A143">
        <v>54</v>
      </c>
      <c r="B143" s="213">
        <v>66199</v>
      </c>
      <c r="C143" t="s">
        <v>840</v>
      </c>
      <c r="D143" s="274">
        <v>-4260</v>
      </c>
      <c r="E143" s="255">
        <f>SUMIF('AJE LTD'!A:A,'TB LTD 2021'!B143,'AJE LTD'!C:C)</f>
        <v>0</v>
      </c>
      <c r="F143" s="258">
        <f t="shared" si="18"/>
        <v>-4260</v>
      </c>
      <c r="G143" s="274">
        <v>-1369.77</v>
      </c>
      <c r="H143" s="255">
        <f>SUMIF('AJE LTD'!A:A,'TB LTD 2021'!B143,'AJE LTD'!D:D)</f>
        <v>0</v>
      </c>
      <c r="I143" s="258">
        <f t="shared" si="21"/>
        <v>-1369.77</v>
      </c>
      <c r="J143" s="212"/>
      <c r="K143" s="274"/>
      <c r="M143" s="248">
        <v>59002</v>
      </c>
      <c r="N143" s="248" t="s">
        <v>585</v>
      </c>
      <c r="O143" s="248">
        <v>6768</v>
      </c>
      <c r="P143" s="35">
        <f t="shared" si="16"/>
        <v>4412</v>
      </c>
      <c r="Q143">
        <v>51098</v>
      </c>
      <c r="R143">
        <v>-551.53</v>
      </c>
      <c r="S143">
        <f t="shared" si="14"/>
        <v>-1848.8</v>
      </c>
      <c r="T143">
        <f t="shared" si="20"/>
        <v>-1297.27</v>
      </c>
    </row>
    <row r="144" spans="1:20" hidden="1" x14ac:dyDescent="0.25">
      <c r="A144">
        <v>54</v>
      </c>
      <c r="B144" s="213">
        <v>67001</v>
      </c>
      <c r="C144" t="s">
        <v>841</v>
      </c>
      <c r="D144" s="274">
        <v>7565</v>
      </c>
      <c r="E144" s="255">
        <f>SUMIF('AJE LTD'!A:A,'TB LTD 2021'!B144,'AJE LTD'!C:C)</f>
        <v>0</v>
      </c>
      <c r="F144" s="258">
        <f t="shared" si="18"/>
        <v>7565</v>
      </c>
      <c r="G144" s="274">
        <v>2349.92</v>
      </c>
      <c r="H144" s="255">
        <f>SUMIF('AJE LTD'!A:A,'TB LTD 2021'!B144,'AJE LTD'!D:D)</f>
        <v>0</v>
      </c>
      <c r="I144" s="258">
        <f t="shared" si="21"/>
        <v>2349.92</v>
      </c>
      <c r="J144" s="212"/>
      <c r="K144" s="274"/>
      <c r="M144" s="248"/>
      <c r="N144" s="248"/>
      <c r="O144" s="248"/>
      <c r="P144" s="35">
        <f t="shared" ref="P144:P175" si="22">O144-D140</f>
        <v>-565</v>
      </c>
      <c r="Q144">
        <v>60002</v>
      </c>
      <c r="R144">
        <v>5966.09</v>
      </c>
      <c r="S144">
        <f t="shared" si="14"/>
        <v>14237.97</v>
      </c>
      <c r="T144">
        <f t="shared" si="20"/>
        <v>8271.8799999999992</v>
      </c>
    </row>
    <row r="145" spans="1:20" hidden="1" x14ac:dyDescent="0.25">
      <c r="A145">
        <v>55</v>
      </c>
      <c r="B145" s="213">
        <v>70001</v>
      </c>
      <c r="C145" t="s">
        <v>842</v>
      </c>
      <c r="D145" s="274">
        <v>3063</v>
      </c>
      <c r="E145" s="255">
        <f>SUMIF('AJE LTD'!A:A,'TB LTD 2021'!B145,'AJE LTD'!C:C)</f>
        <v>0</v>
      </c>
      <c r="F145" s="258">
        <f t="shared" si="18"/>
        <v>3063</v>
      </c>
      <c r="G145" s="274">
        <v>984.57</v>
      </c>
      <c r="H145" s="255">
        <f>SUMIF('AJE LTD'!A:A,'TB LTD 2021'!B145,'AJE LTD'!D:D)</f>
        <v>0</v>
      </c>
      <c r="I145" s="258">
        <f t="shared" si="21"/>
        <v>984.57</v>
      </c>
      <c r="J145" s="212"/>
      <c r="K145" s="274"/>
      <c r="M145" s="248">
        <v>60002</v>
      </c>
      <c r="N145" s="248" t="s">
        <v>49</v>
      </c>
      <c r="O145" s="248">
        <v>1824.94</v>
      </c>
      <c r="P145" s="35">
        <f t="shared" si="22"/>
        <v>-43.059999999999945</v>
      </c>
      <c r="Q145">
        <v>60004</v>
      </c>
      <c r="R145">
        <v>1300</v>
      </c>
      <c r="S145">
        <f t="shared" si="14"/>
        <v>629.28</v>
      </c>
      <c r="T145">
        <f t="shared" si="20"/>
        <v>-670.72</v>
      </c>
    </row>
    <row r="146" spans="1:20" hidden="1" x14ac:dyDescent="0.25">
      <c r="A146">
        <v>55</v>
      </c>
      <c r="B146" s="213">
        <v>70002</v>
      </c>
      <c r="C146" t="s">
        <v>843</v>
      </c>
      <c r="D146" s="274">
        <v>39230.61</v>
      </c>
      <c r="E146" s="255">
        <f>SUMIF('AJE LTD'!A:A,'TB LTD 2021'!B146,'AJE LTD'!C:C)</f>
        <v>0</v>
      </c>
      <c r="F146" s="258">
        <f t="shared" si="18"/>
        <v>39230.61</v>
      </c>
      <c r="G146" s="274">
        <v>12300.98</v>
      </c>
      <c r="H146" s="255">
        <f>SUMIF('AJE LTD'!A:A,'TB LTD 2021'!B146,'AJE LTD'!D:D)</f>
        <v>0</v>
      </c>
      <c r="I146" s="258">
        <f t="shared" si="21"/>
        <v>12300.98</v>
      </c>
      <c r="J146" s="212"/>
      <c r="K146" s="274"/>
      <c r="M146" s="248">
        <v>60004</v>
      </c>
      <c r="N146" s="248" t="s">
        <v>120</v>
      </c>
      <c r="O146" s="248">
        <v>4510.7</v>
      </c>
      <c r="P146" s="35">
        <f t="shared" si="22"/>
        <v>2683.7</v>
      </c>
      <c r="Q146">
        <v>60006</v>
      </c>
      <c r="R146">
        <v>12500</v>
      </c>
      <c r="S146">
        <f t="shared" si="14"/>
        <v>66520.2</v>
      </c>
      <c r="T146">
        <f t="shared" si="20"/>
        <v>54020.2</v>
      </c>
    </row>
    <row r="147" spans="1:20" hidden="1" x14ac:dyDescent="0.25">
      <c r="A147">
        <v>55</v>
      </c>
      <c r="B147" s="213">
        <v>70006</v>
      </c>
      <c r="C147" t="s">
        <v>844</v>
      </c>
      <c r="D147" s="274">
        <v>400</v>
      </c>
      <c r="E147" s="255">
        <f>SUMIF('AJE LTD'!A:A,'TB LTD 2021'!B147,'AJE LTD'!C:C)</f>
        <v>0</v>
      </c>
      <c r="F147" s="258">
        <f t="shared" si="18"/>
        <v>400</v>
      </c>
      <c r="G147" s="274">
        <v>123.84</v>
      </c>
      <c r="H147" s="255">
        <f>SUMIF('AJE LTD'!A:A,'TB LTD 2021'!B147,'AJE LTD'!D:D)</f>
        <v>0</v>
      </c>
      <c r="I147" s="258">
        <f t="shared" si="21"/>
        <v>123.84</v>
      </c>
      <c r="J147" s="212"/>
      <c r="K147" s="274"/>
      <c r="M147" s="248">
        <v>60006</v>
      </c>
      <c r="N147" s="248" t="s">
        <v>586</v>
      </c>
      <c r="O147" s="248">
        <v>43745</v>
      </c>
      <c r="P147" s="35">
        <f t="shared" si="22"/>
        <v>48005</v>
      </c>
      <c r="Q147">
        <v>60008</v>
      </c>
      <c r="R147">
        <v>22294.74</v>
      </c>
      <c r="S147">
        <f t="shared" si="14"/>
        <v>0</v>
      </c>
      <c r="T147">
        <f t="shared" si="20"/>
        <v>-22294.74</v>
      </c>
    </row>
    <row r="148" spans="1:20" hidden="1" x14ac:dyDescent="0.25">
      <c r="A148">
        <v>55</v>
      </c>
      <c r="B148" s="213">
        <v>70007</v>
      </c>
      <c r="C148" t="s">
        <v>52</v>
      </c>
      <c r="D148" s="274">
        <v>1319.42</v>
      </c>
      <c r="E148" s="255">
        <f>SUMIF('AJE LTD'!A:A,'TB LTD 2021'!B148,'AJE LTD'!C:C)</f>
        <v>0</v>
      </c>
      <c r="F148" s="258">
        <f t="shared" si="18"/>
        <v>1319.42</v>
      </c>
      <c r="G148" s="274">
        <v>394.75</v>
      </c>
      <c r="H148" s="255">
        <f>SUMIF('AJE LTD'!A:A,'TB LTD 2021'!B148,'AJE LTD'!D:D)</f>
        <v>0</v>
      </c>
      <c r="I148" s="258">
        <f t="shared" ref="I148:I166" si="23">SUM(G148:H148)</f>
        <v>394.75</v>
      </c>
      <c r="J148" s="212"/>
      <c r="K148" s="274"/>
      <c r="M148" s="248">
        <v>60008</v>
      </c>
      <c r="N148" s="248" t="s">
        <v>587</v>
      </c>
      <c r="O148" s="248">
        <v>76181.789999999994</v>
      </c>
      <c r="P148" s="35">
        <f t="shared" si="22"/>
        <v>68616.789999999994</v>
      </c>
      <c r="Q148">
        <v>60009</v>
      </c>
      <c r="R148">
        <v>3629.24</v>
      </c>
      <c r="S148">
        <f t="shared" si="14"/>
        <v>0</v>
      </c>
      <c r="T148">
        <f t="shared" si="20"/>
        <v>-3629.24</v>
      </c>
    </row>
    <row r="149" spans="1:20" hidden="1" x14ac:dyDescent="0.25">
      <c r="A149">
        <v>55</v>
      </c>
      <c r="B149" s="213">
        <v>70008</v>
      </c>
      <c r="C149" t="s">
        <v>670</v>
      </c>
      <c r="D149" s="274">
        <v>12696.36</v>
      </c>
      <c r="E149" s="255">
        <f>SUMIF('AJE LTD'!A:A,'TB LTD 2021'!B149,'AJE LTD'!C:C)</f>
        <v>0</v>
      </c>
      <c r="F149" s="258">
        <f t="shared" si="18"/>
        <v>12696.36</v>
      </c>
      <c r="G149" s="274">
        <v>3806.82</v>
      </c>
      <c r="H149" s="255">
        <f>SUMIF('AJE LTD'!A:A,'TB LTD 2021'!B149,'AJE LTD'!D:D)</f>
        <v>0</v>
      </c>
      <c r="I149" s="258">
        <f t="shared" si="23"/>
        <v>3806.82</v>
      </c>
      <c r="J149" s="212"/>
      <c r="K149" s="274"/>
      <c r="M149" s="248">
        <v>60009</v>
      </c>
      <c r="N149" s="248" t="s">
        <v>669</v>
      </c>
      <c r="O149" s="248">
        <v>12938.23</v>
      </c>
      <c r="P149" s="35">
        <f t="shared" si="22"/>
        <v>9875.23</v>
      </c>
      <c r="Q149">
        <v>70027</v>
      </c>
      <c r="R149">
        <v>331.68</v>
      </c>
      <c r="S149">
        <f t="shared" si="14"/>
        <v>466.38</v>
      </c>
      <c r="T149">
        <f t="shared" si="20"/>
        <v>134.69999999999999</v>
      </c>
    </row>
    <row r="150" spans="1:20" ht="15.75" hidden="1" customHeight="1" x14ac:dyDescent="0.25">
      <c r="A150">
        <v>55</v>
      </c>
      <c r="B150" s="213">
        <v>70010</v>
      </c>
      <c r="C150" t="s">
        <v>845</v>
      </c>
      <c r="D150" s="274">
        <v>18983</v>
      </c>
      <c r="E150" s="255">
        <f>SUMIF('AJE LTD'!A:A,'TB LTD 2021'!B150,'AJE LTD'!C:C)</f>
        <v>0</v>
      </c>
      <c r="F150" s="258">
        <f t="shared" si="18"/>
        <v>18983</v>
      </c>
      <c r="G150" s="274">
        <v>5821.41</v>
      </c>
      <c r="H150" s="255">
        <f>SUMIF('AJE LTD'!A:A,'TB LTD 2021'!B150,'AJE LTD'!D:D)</f>
        <v>0</v>
      </c>
      <c r="I150" s="258">
        <f t="shared" si="23"/>
        <v>5821.41</v>
      </c>
      <c r="J150" s="212"/>
      <c r="K150" s="274"/>
      <c r="M150" s="248">
        <v>60010</v>
      </c>
      <c r="N150" s="248" t="s">
        <v>588</v>
      </c>
      <c r="O150" s="248">
        <v>13332.46</v>
      </c>
      <c r="P150" s="35">
        <f t="shared" si="22"/>
        <v>-25898.15</v>
      </c>
      <c r="Q150">
        <v>70038</v>
      </c>
      <c r="R150">
        <v>21</v>
      </c>
      <c r="S150">
        <f t="shared" si="14"/>
        <v>0</v>
      </c>
      <c r="T150">
        <f t="shared" si="20"/>
        <v>-21</v>
      </c>
    </row>
    <row r="151" spans="1:20" hidden="1" x14ac:dyDescent="0.25">
      <c r="A151">
        <v>55</v>
      </c>
      <c r="B151" s="213">
        <v>70011</v>
      </c>
      <c r="C151" t="s">
        <v>672</v>
      </c>
      <c r="D151" s="274">
        <v>194210.24</v>
      </c>
      <c r="E151" s="255">
        <f>SUMIF('AJE LTD'!A:A,'TB LTD 2021'!B151,'AJE LTD'!C:C)</f>
        <v>0</v>
      </c>
      <c r="F151" s="258">
        <f t="shared" si="18"/>
        <v>194210.24</v>
      </c>
      <c r="G151" s="274">
        <v>60343.81</v>
      </c>
      <c r="H151" s="255">
        <f>SUMIF('AJE LTD'!A:A,'TB LTD 2021'!B151,'AJE LTD'!D:D)</f>
        <v>0</v>
      </c>
      <c r="I151" s="258">
        <f t="shared" si="23"/>
        <v>60343.81</v>
      </c>
      <c r="J151" s="212"/>
      <c r="K151" s="274"/>
      <c r="M151" s="248">
        <v>60011</v>
      </c>
      <c r="N151" s="248" t="s">
        <v>589</v>
      </c>
      <c r="O151" s="248">
        <v>39980.54</v>
      </c>
      <c r="P151" s="35">
        <f t="shared" si="22"/>
        <v>39580.54</v>
      </c>
      <c r="Q151">
        <v>70040</v>
      </c>
      <c r="R151">
        <v>11259.365178849144</v>
      </c>
      <c r="S151">
        <f t="shared" si="14"/>
        <v>1863.06</v>
      </c>
      <c r="T151">
        <f t="shared" si="20"/>
        <v>-9396.3051788491448</v>
      </c>
    </row>
    <row r="152" spans="1:20" hidden="1" x14ac:dyDescent="0.25">
      <c r="A152">
        <v>55</v>
      </c>
      <c r="B152" s="213">
        <v>70012</v>
      </c>
      <c r="C152" t="s">
        <v>709</v>
      </c>
      <c r="D152" s="274">
        <v>5429.96</v>
      </c>
      <c r="E152" s="255">
        <f>SUMIF('AJE LTD'!A:A,'TB LTD 2021'!B152,'AJE LTD'!C:C)</f>
        <v>0</v>
      </c>
      <c r="F152" s="258">
        <f t="shared" si="18"/>
        <v>5429.96</v>
      </c>
      <c r="G152" s="274">
        <v>1707.64</v>
      </c>
      <c r="H152" s="255">
        <f>SUMIF('AJE LTD'!A:A,'TB LTD 2021'!B152,'AJE LTD'!D:D)</f>
        <v>0</v>
      </c>
      <c r="I152" s="258">
        <f t="shared" si="23"/>
        <v>1707.64</v>
      </c>
      <c r="J152" s="212"/>
      <c r="K152" s="274"/>
      <c r="M152" s="248">
        <v>60013</v>
      </c>
      <c r="N152" s="248" t="s">
        <v>590</v>
      </c>
      <c r="O152" s="248">
        <v>11203.81</v>
      </c>
      <c r="P152" s="35">
        <f t="shared" si="22"/>
        <v>9884.39</v>
      </c>
      <c r="Q152">
        <v>70041</v>
      </c>
      <c r="R152">
        <v>6131.02</v>
      </c>
      <c r="S152">
        <f t="shared" si="14"/>
        <v>1659.8</v>
      </c>
      <c r="T152">
        <f t="shared" si="20"/>
        <v>-4471.22</v>
      </c>
    </row>
    <row r="153" spans="1:20" hidden="1" x14ac:dyDescent="0.25">
      <c r="A153">
        <v>55</v>
      </c>
      <c r="B153" s="213">
        <v>70013</v>
      </c>
      <c r="C153" t="s">
        <v>673</v>
      </c>
      <c r="D153" s="274">
        <v>5402</v>
      </c>
      <c r="E153" s="255">
        <f>SUMIF('AJE LTD'!A:A,'TB LTD 2021'!B153,'AJE LTD'!C:C)</f>
        <v>0</v>
      </c>
      <c r="F153" s="258">
        <f t="shared" si="18"/>
        <v>5402</v>
      </c>
      <c r="G153" s="274">
        <v>1690.96</v>
      </c>
      <c r="H153" s="255">
        <f>SUMIF('AJE LTD'!A:A,'TB LTD 2021'!B153,'AJE LTD'!D:D)</f>
        <v>0</v>
      </c>
      <c r="I153" s="258">
        <f t="shared" si="23"/>
        <v>1690.96</v>
      </c>
      <c r="J153" s="212"/>
      <c r="K153" s="274"/>
      <c r="M153" s="248">
        <v>60015</v>
      </c>
      <c r="N153" s="248" t="s">
        <v>591</v>
      </c>
      <c r="O153" s="248">
        <v>4181.3999999999996</v>
      </c>
      <c r="P153" s="35">
        <f t="shared" si="22"/>
        <v>-8514.9600000000009</v>
      </c>
      <c r="Q153">
        <v>71096</v>
      </c>
      <c r="R153">
        <v>293.93</v>
      </c>
      <c r="S153">
        <f t="shared" si="14"/>
        <v>0</v>
      </c>
      <c r="T153">
        <f t="shared" si="20"/>
        <v>-293.93</v>
      </c>
    </row>
    <row r="154" spans="1:20" hidden="1" x14ac:dyDescent="0.25">
      <c r="A154">
        <v>55</v>
      </c>
      <c r="B154" s="213">
        <v>70014</v>
      </c>
      <c r="C154" t="s">
        <v>712</v>
      </c>
      <c r="D154" s="274">
        <v>140.30000000000001</v>
      </c>
      <c r="E154" s="255">
        <f>SUMIF('AJE LTD'!A:A,'TB LTD 2021'!B154,'AJE LTD'!C:C)</f>
        <v>0</v>
      </c>
      <c r="F154" s="258">
        <f t="shared" si="18"/>
        <v>140.30000000000001</v>
      </c>
      <c r="G154" s="274">
        <v>43.31</v>
      </c>
      <c r="H154" s="255">
        <f>SUMIF('AJE LTD'!A:A,'TB LTD 2021'!B154,'AJE LTD'!D:D)</f>
        <v>0</v>
      </c>
      <c r="I154" s="258">
        <f t="shared" si="23"/>
        <v>43.31</v>
      </c>
      <c r="J154" s="212"/>
      <c r="K154" s="274"/>
      <c r="M154" s="248">
        <v>60016</v>
      </c>
      <c r="N154" s="248" t="s">
        <v>592</v>
      </c>
      <c r="O154" s="248">
        <v>579.37</v>
      </c>
      <c r="P154" s="35">
        <f t="shared" si="22"/>
        <v>-18403.63</v>
      </c>
      <c r="Q154">
        <v>71097</v>
      </c>
      <c r="R154">
        <v>0</v>
      </c>
      <c r="S154">
        <f t="shared" si="14"/>
        <v>-304.33999999999997</v>
      </c>
      <c r="T154">
        <f t="shared" si="20"/>
        <v>-304.33999999999997</v>
      </c>
    </row>
    <row r="155" spans="1:20" hidden="1" x14ac:dyDescent="0.25">
      <c r="A155">
        <v>55</v>
      </c>
      <c r="B155" s="213">
        <v>70015</v>
      </c>
      <c r="C155" t="s">
        <v>714</v>
      </c>
      <c r="D155" s="274">
        <v>1799.39</v>
      </c>
      <c r="E155" s="255">
        <f>SUMIF('AJE LTD'!A:A,'TB LTD 2021'!B155,'AJE LTD'!C:C)</f>
        <v>0</v>
      </c>
      <c r="F155" s="258">
        <f t="shared" si="18"/>
        <v>1799.39</v>
      </c>
      <c r="G155" s="274">
        <v>555.29999999999995</v>
      </c>
      <c r="H155" s="255">
        <f>SUMIF('AJE LTD'!A:A,'TB LTD 2021'!B155,'AJE LTD'!D:D)</f>
        <v>0</v>
      </c>
      <c r="I155" s="258">
        <f t="shared" si="23"/>
        <v>555.29999999999995</v>
      </c>
      <c r="J155" s="212"/>
      <c r="K155" s="274"/>
      <c r="M155" s="248">
        <v>60017</v>
      </c>
      <c r="N155" s="248" t="s">
        <v>593</v>
      </c>
      <c r="O155" s="248">
        <v>17089.2</v>
      </c>
      <c r="P155" s="35">
        <f t="shared" si="22"/>
        <v>-177121.03999999998</v>
      </c>
      <c r="Q155">
        <v>73007</v>
      </c>
      <c r="R155">
        <v>5696.33</v>
      </c>
      <c r="S155">
        <f t="shared" si="14"/>
        <v>0</v>
      </c>
      <c r="T155">
        <f t="shared" si="20"/>
        <v>-5696.33</v>
      </c>
    </row>
    <row r="156" spans="1:20" hidden="1" x14ac:dyDescent="0.25">
      <c r="A156">
        <v>55</v>
      </c>
      <c r="B156" s="213">
        <v>70016</v>
      </c>
      <c r="C156" t="s">
        <v>458</v>
      </c>
      <c r="D156" s="274">
        <v>33448.699999999997</v>
      </c>
      <c r="E156" s="255">
        <f>SUMIF('AJE LTD'!A:A,'TB LTD 2021'!B156,'AJE LTD'!C:C)</f>
        <v>0</v>
      </c>
      <c r="F156" s="258">
        <f t="shared" si="18"/>
        <v>33448.699999999997</v>
      </c>
      <c r="G156" s="274">
        <v>10334.39</v>
      </c>
      <c r="H156" s="255">
        <f>SUMIF('AJE LTD'!A:A,'TB LTD 2021'!B156,'AJE LTD'!D:D)</f>
        <v>0</v>
      </c>
      <c r="I156" s="258">
        <f t="shared" si="23"/>
        <v>10334.39</v>
      </c>
      <c r="J156" s="212"/>
      <c r="K156" s="274"/>
      <c r="M156" s="248">
        <v>60019</v>
      </c>
      <c r="N156" s="248" t="s">
        <v>594</v>
      </c>
      <c r="O156" s="248">
        <v>770.57</v>
      </c>
      <c r="P156" s="35">
        <f t="shared" si="22"/>
        <v>-4659.3900000000003</v>
      </c>
      <c r="Q156">
        <v>60003</v>
      </c>
      <c r="R156">
        <v>0</v>
      </c>
      <c r="S156">
        <f t="shared" si="14"/>
        <v>9610.15</v>
      </c>
      <c r="T156">
        <f t="shared" si="20"/>
        <v>9610.15</v>
      </c>
    </row>
    <row r="157" spans="1:20" hidden="1" x14ac:dyDescent="0.25">
      <c r="A157">
        <v>55</v>
      </c>
      <c r="B157" s="213">
        <v>70017</v>
      </c>
      <c r="C157" t="s">
        <v>717</v>
      </c>
      <c r="D157" s="274">
        <v>7388.66</v>
      </c>
      <c r="E157" s="255">
        <f>SUMIF('AJE LTD'!A:A,'TB LTD 2021'!B157,'AJE LTD'!C:C)</f>
        <v>0</v>
      </c>
      <c r="F157" s="258">
        <f t="shared" si="18"/>
        <v>7388.66</v>
      </c>
      <c r="G157" s="274">
        <v>2304.5100000000002</v>
      </c>
      <c r="H157" s="255">
        <f>SUMIF('AJE LTD'!A:A,'TB LTD 2021'!B157,'AJE LTD'!D:D)</f>
        <v>0</v>
      </c>
      <c r="I157" s="258">
        <f t="shared" si="23"/>
        <v>2304.5100000000002</v>
      </c>
      <c r="J157" s="212"/>
      <c r="K157" s="274"/>
      <c r="M157" s="248">
        <v>60020</v>
      </c>
      <c r="N157" s="248" t="s">
        <v>595</v>
      </c>
      <c r="O157" s="248">
        <v>484.17</v>
      </c>
      <c r="P157" s="35">
        <f t="shared" si="22"/>
        <v>-4917.83</v>
      </c>
      <c r="Q157">
        <v>70000</v>
      </c>
      <c r="R157">
        <v>0</v>
      </c>
      <c r="S157">
        <f t="shared" si="14"/>
        <v>0</v>
      </c>
      <c r="T157">
        <f t="shared" si="20"/>
        <v>0</v>
      </c>
    </row>
    <row r="158" spans="1:20" hidden="1" x14ac:dyDescent="0.25">
      <c r="A158">
        <v>55</v>
      </c>
      <c r="B158" s="213">
        <v>70018</v>
      </c>
      <c r="C158" t="s">
        <v>719</v>
      </c>
      <c r="D158" s="274">
        <v>40937.870000000003</v>
      </c>
      <c r="E158" s="255">
        <f>SUMIF('AJE LTD'!A:A,'TB LTD 2021'!B158,'AJE LTD'!C:C)</f>
        <v>0</v>
      </c>
      <c r="F158" s="258">
        <f t="shared" si="18"/>
        <v>40937.870000000003</v>
      </c>
      <c r="G158" s="274">
        <v>12758.21</v>
      </c>
      <c r="H158" s="255">
        <f>SUMIF('AJE LTD'!A:A,'TB LTD 2021'!B158,'AJE LTD'!D:D)</f>
        <v>0</v>
      </c>
      <c r="I158" s="258">
        <f t="shared" si="23"/>
        <v>12758.21</v>
      </c>
      <c r="J158" s="212"/>
      <c r="K158" s="274"/>
      <c r="M158" s="248">
        <v>60021</v>
      </c>
      <c r="N158" s="248" t="s">
        <v>596</v>
      </c>
      <c r="O158" s="248">
        <v>13189.87</v>
      </c>
      <c r="P158" s="35">
        <f t="shared" si="22"/>
        <v>13049.570000000002</v>
      </c>
      <c r="Q158">
        <v>70002</v>
      </c>
      <c r="R158">
        <v>0</v>
      </c>
      <c r="S158">
        <f t="shared" si="14"/>
        <v>12300.98</v>
      </c>
      <c r="T158">
        <f t="shared" si="20"/>
        <v>12300.98</v>
      </c>
    </row>
    <row r="159" spans="1:20" hidden="1" x14ac:dyDescent="0.25">
      <c r="A159">
        <v>55</v>
      </c>
      <c r="B159" s="213">
        <v>70019</v>
      </c>
      <c r="C159" t="s">
        <v>674</v>
      </c>
      <c r="D159" s="274">
        <v>6739.14</v>
      </c>
      <c r="E159" s="255">
        <f>SUMIF('AJE LTD'!A:A,'TB LTD 2021'!B159,'AJE LTD'!C:C)</f>
        <v>0</v>
      </c>
      <c r="F159" s="258">
        <f t="shared" si="18"/>
        <v>6739.14</v>
      </c>
      <c r="G159" s="274">
        <v>2105.56</v>
      </c>
      <c r="H159" s="255">
        <f>SUMIF('AJE LTD'!A:A,'TB LTD 2021'!B159,'AJE LTD'!D:D)</f>
        <v>0</v>
      </c>
      <c r="I159" s="258">
        <f t="shared" si="23"/>
        <v>2105.56</v>
      </c>
      <c r="J159" s="212"/>
      <c r="K159" s="274"/>
      <c r="M159" s="248">
        <v>60022</v>
      </c>
      <c r="N159" s="248" t="s">
        <v>597</v>
      </c>
      <c r="O159" s="248">
        <v>117717.66</v>
      </c>
      <c r="P159" s="35">
        <f t="shared" si="22"/>
        <v>115918.27</v>
      </c>
      <c r="Q159">
        <v>70013</v>
      </c>
      <c r="R159">
        <v>1194.69</v>
      </c>
      <c r="S159">
        <f t="shared" si="14"/>
        <v>1690.96</v>
      </c>
      <c r="T159">
        <f t="shared" si="20"/>
        <v>496.27</v>
      </c>
    </row>
    <row r="160" spans="1:20" hidden="1" x14ac:dyDescent="0.25">
      <c r="A160">
        <v>55</v>
      </c>
      <c r="B160" s="213">
        <v>70020</v>
      </c>
      <c r="C160" t="s">
        <v>721</v>
      </c>
      <c r="D160" s="274">
        <v>2744.33</v>
      </c>
      <c r="E160" s="255">
        <f>SUMIF('AJE LTD'!A:A,'TB LTD 2021'!B160,'AJE LTD'!C:C)</f>
        <v>0</v>
      </c>
      <c r="F160" s="258">
        <f t="shared" si="18"/>
        <v>2744.33</v>
      </c>
      <c r="G160" s="274">
        <v>847.26</v>
      </c>
      <c r="H160" s="255">
        <f>SUMIF('AJE LTD'!A:A,'TB LTD 2021'!B160,'AJE LTD'!D:D)</f>
        <v>0</v>
      </c>
      <c r="I160" s="258">
        <f t="shared" si="23"/>
        <v>847.26</v>
      </c>
      <c r="J160" s="212"/>
      <c r="K160" s="274"/>
      <c r="M160" s="248">
        <v>60023</v>
      </c>
      <c r="N160" s="248" t="s">
        <v>598</v>
      </c>
      <c r="O160" s="248">
        <v>16305.65</v>
      </c>
      <c r="P160" s="35">
        <f t="shared" si="22"/>
        <v>-17143.049999999996</v>
      </c>
      <c r="Q160">
        <v>70023</v>
      </c>
      <c r="R160">
        <v>1975.05</v>
      </c>
      <c r="S160">
        <f t="shared" si="14"/>
        <v>10794.75</v>
      </c>
      <c r="T160">
        <f t="shared" si="20"/>
        <v>8819.7000000000007</v>
      </c>
    </row>
    <row r="161" spans="1:20" hidden="1" x14ac:dyDescent="0.25">
      <c r="A161">
        <v>55</v>
      </c>
      <c r="B161" s="213">
        <v>70021</v>
      </c>
      <c r="C161" t="s">
        <v>675</v>
      </c>
      <c r="D161" s="274">
        <v>107386.98</v>
      </c>
      <c r="E161" s="255">
        <f>SUMIF('AJE LTD'!A:A,'TB LTD 2021'!B161,'AJE LTD'!C:C)</f>
        <v>0</v>
      </c>
      <c r="F161" s="258">
        <f t="shared" si="18"/>
        <v>107386.98</v>
      </c>
      <c r="G161" s="274">
        <v>33421.410000000003</v>
      </c>
      <c r="H161" s="255">
        <f>SUMIF('AJE LTD'!A:A,'TB LTD 2021'!B161,'AJE LTD'!D:D)</f>
        <v>0</v>
      </c>
      <c r="I161" s="258">
        <f t="shared" si="23"/>
        <v>33421.410000000003</v>
      </c>
      <c r="J161" s="212"/>
      <c r="K161" s="274"/>
      <c r="M161" s="248">
        <v>60024</v>
      </c>
      <c r="N161" s="248" t="s">
        <v>599</v>
      </c>
      <c r="O161" s="248">
        <v>6049.75</v>
      </c>
      <c r="P161" s="35">
        <f t="shared" si="22"/>
        <v>-1338.9099999999999</v>
      </c>
      <c r="Q161">
        <v>70028</v>
      </c>
      <c r="R161">
        <v>610.33000000000004</v>
      </c>
      <c r="S161">
        <f t="shared" si="14"/>
        <v>2445.41</v>
      </c>
      <c r="T161">
        <f t="shared" si="20"/>
        <v>1835.08</v>
      </c>
    </row>
    <row r="162" spans="1:20" hidden="1" x14ac:dyDescent="0.25">
      <c r="A162">
        <v>55</v>
      </c>
      <c r="B162" s="213">
        <v>70022</v>
      </c>
      <c r="C162" t="s">
        <v>676</v>
      </c>
      <c r="D162" s="274">
        <v>14007.22</v>
      </c>
      <c r="E162" s="255">
        <f>SUMIF('AJE LTD'!A:A,'TB LTD 2021'!B162,'AJE LTD'!C:C)</f>
        <v>0</v>
      </c>
      <c r="F162" s="258">
        <f t="shared" si="18"/>
        <v>14007.22</v>
      </c>
      <c r="G162" s="274">
        <v>4418.1000000000004</v>
      </c>
      <c r="H162" s="255">
        <f>SUMIF('AJE LTD'!A:A,'TB LTD 2021'!B162,'AJE LTD'!D:D)</f>
        <v>0</v>
      </c>
      <c r="I162" s="258">
        <f t="shared" si="23"/>
        <v>4418.1000000000004</v>
      </c>
      <c r="J162" s="212"/>
      <c r="K162" s="274"/>
      <c r="M162" s="248">
        <v>60025</v>
      </c>
      <c r="N162" s="248" t="s">
        <v>600</v>
      </c>
      <c r="O162" s="248">
        <v>20118</v>
      </c>
      <c r="P162" s="35">
        <f t="shared" si="22"/>
        <v>-20819.870000000003</v>
      </c>
      <c r="Q162">
        <v>70029</v>
      </c>
      <c r="R162">
        <v>6739.54</v>
      </c>
      <c r="S162">
        <f t="shared" si="14"/>
        <v>0</v>
      </c>
      <c r="T162">
        <f t="shared" si="20"/>
        <v>-6739.54</v>
      </c>
    </row>
    <row r="163" spans="1:20" hidden="1" x14ac:dyDescent="0.25">
      <c r="A163">
        <v>55</v>
      </c>
      <c r="B163" s="213">
        <v>70023</v>
      </c>
      <c r="C163" t="s">
        <v>677</v>
      </c>
      <c r="D163" s="274">
        <v>34142.339999999997</v>
      </c>
      <c r="E163" s="255">
        <f>SUMIF('AJE LTD'!A:A,'TB LTD 2021'!B163,'AJE LTD'!C:C)</f>
        <v>0</v>
      </c>
      <c r="F163" s="258">
        <f t="shared" si="18"/>
        <v>34142.339999999997</v>
      </c>
      <c r="G163" s="274">
        <v>10794.75</v>
      </c>
      <c r="H163" s="255">
        <f>SUMIF('AJE LTD'!A:A,'TB LTD 2021'!B163,'AJE LTD'!D:D)</f>
        <v>0</v>
      </c>
      <c r="I163" s="258">
        <f t="shared" si="23"/>
        <v>10794.75</v>
      </c>
      <c r="J163" s="212"/>
      <c r="K163" s="274"/>
      <c r="M163" s="249">
        <v>60026</v>
      </c>
      <c r="N163" s="249" t="s">
        <v>601</v>
      </c>
      <c r="O163" s="249">
        <v>3010.88</v>
      </c>
      <c r="P163" s="35">
        <f t="shared" si="22"/>
        <v>-3728.26</v>
      </c>
      <c r="Q163">
        <v>70037</v>
      </c>
      <c r="R163">
        <v>1404.67</v>
      </c>
      <c r="S163">
        <f t="shared" si="14"/>
        <v>704.06</v>
      </c>
      <c r="T163">
        <f t="shared" si="20"/>
        <v>-700.61000000000013</v>
      </c>
    </row>
    <row r="164" spans="1:20" hidden="1" x14ac:dyDescent="0.25">
      <c r="A164">
        <v>55</v>
      </c>
      <c r="B164" s="213">
        <v>70024</v>
      </c>
      <c r="C164" t="s">
        <v>678</v>
      </c>
      <c r="D164" s="274">
        <v>153811.01</v>
      </c>
      <c r="E164" s="255">
        <f>SUMIF('AJE LTD'!A:A,'TB LTD 2021'!B164,'AJE LTD'!C:C)</f>
        <v>0</v>
      </c>
      <c r="F164" s="258">
        <f t="shared" si="18"/>
        <v>153811.01</v>
      </c>
      <c r="G164" s="274">
        <v>47611.26</v>
      </c>
      <c r="H164" s="255">
        <f>SUMIF('AJE LTD'!A:A,'TB LTD 2021'!B164,'AJE LTD'!D:D)</f>
        <v>0</v>
      </c>
      <c r="I164" s="258">
        <f t="shared" si="23"/>
        <v>47611.26</v>
      </c>
      <c r="J164" s="212"/>
      <c r="K164" s="274"/>
      <c r="M164" s="248">
        <v>60027</v>
      </c>
      <c r="N164" s="248" t="s">
        <v>602</v>
      </c>
      <c r="O164" s="248">
        <v>20685</v>
      </c>
      <c r="P164" s="35">
        <f t="shared" si="22"/>
        <v>17940.669999999998</v>
      </c>
      <c r="Q164">
        <v>73001</v>
      </c>
      <c r="R164">
        <v>0</v>
      </c>
      <c r="S164">
        <f t="shared" ref="S164:S227" si="24">SUMIF(B:B,Q164,G:G)</f>
        <v>0</v>
      </c>
      <c r="T164">
        <f t="shared" si="20"/>
        <v>0</v>
      </c>
    </row>
    <row r="165" spans="1:20" hidden="1" x14ac:dyDescent="0.25">
      <c r="A165">
        <v>55</v>
      </c>
      <c r="B165" s="213">
        <v>70026</v>
      </c>
      <c r="C165" t="s">
        <v>606</v>
      </c>
      <c r="D165" s="274">
        <v>17994.02</v>
      </c>
      <c r="E165" s="255">
        <f>SUMIF('AJE LTD'!A:A,'TB LTD 2021'!B165,'AJE LTD'!C:C)</f>
        <v>0</v>
      </c>
      <c r="F165" s="258">
        <f t="shared" si="18"/>
        <v>17994.02</v>
      </c>
      <c r="G165" s="274">
        <v>5603.86</v>
      </c>
      <c r="H165" s="255">
        <f>SUMIF('AJE LTD'!A:A,'TB LTD 2021'!B165,'AJE LTD'!D:D)</f>
        <v>0</v>
      </c>
      <c r="I165" s="258">
        <f t="shared" si="23"/>
        <v>5603.86</v>
      </c>
      <c r="J165" s="212"/>
      <c r="K165" s="274"/>
      <c r="M165" s="248">
        <v>60028</v>
      </c>
      <c r="N165" s="248" t="s">
        <v>603</v>
      </c>
      <c r="O165" s="248">
        <v>37200</v>
      </c>
      <c r="P165" s="35">
        <f t="shared" si="22"/>
        <v>-70186.98</v>
      </c>
      <c r="Q165">
        <v>73002</v>
      </c>
      <c r="R165">
        <v>0</v>
      </c>
      <c r="S165">
        <f t="shared" si="24"/>
        <v>0</v>
      </c>
      <c r="T165">
        <f t="shared" si="20"/>
        <v>0</v>
      </c>
    </row>
    <row r="166" spans="1:20" hidden="1" x14ac:dyDescent="0.25">
      <c r="A166">
        <v>55</v>
      </c>
      <c r="B166" s="213">
        <v>70027</v>
      </c>
      <c r="C166" t="s">
        <v>605</v>
      </c>
      <c r="D166" s="274">
        <v>1505</v>
      </c>
      <c r="E166" s="255">
        <f>SUMIF('AJE LTD'!A:A,'TB LTD 2021'!B166,'AJE LTD'!C:C)</f>
        <v>0</v>
      </c>
      <c r="F166" s="258">
        <f t="shared" si="18"/>
        <v>1505</v>
      </c>
      <c r="G166" s="274">
        <v>466.38</v>
      </c>
      <c r="H166" s="255">
        <f>SUMIF('AJE LTD'!A:A,'TB LTD 2021'!B166,'AJE LTD'!D:D)</f>
        <v>0</v>
      </c>
      <c r="I166" s="258">
        <f t="shared" si="23"/>
        <v>466.38</v>
      </c>
      <c r="J166" s="212"/>
      <c r="K166" s="274"/>
      <c r="M166" s="249">
        <v>60030</v>
      </c>
      <c r="N166" s="249" t="s">
        <v>604</v>
      </c>
      <c r="O166" s="249">
        <v>35966.35</v>
      </c>
      <c r="P166" s="35">
        <f t="shared" si="22"/>
        <v>21959.129999999997</v>
      </c>
      <c r="Q166">
        <v>73005</v>
      </c>
      <c r="R166">
        <v>0</v>
      </c>
      <c r="S166">
        <f t="shared" si="24"/>
        <v>0</v>
      </c>
      <c r="T166">
        <f t="shared" si="20"/>
        <v>0</v>
      </c>
    </row>
    <row r="167" spans="1:20" hidden="1" x14ac:dyDescent="0.25">
      <c r="A167">
        <v>55</v>
      </c>
      <c r="B167" s="213">
        <v>70028</v>
      </c>
      <c r="C167" t="s">
        <v>53</v>
      </c>
      <c r="D167" s="274">
        <v>7814.9</v>
      </c>
      <c r="E167" s="255">
        <f>SUMIF('AJE LTD'!A:A,'TB LTD 2021'!B167,'AJE LTD'!C:C)</f>
        <v>0</v>
      </c>
      <c r="F167" s="258">
        <f t="shared" si="18"/>
        <v>7814.9</v>
      </c>
      <c r="G167" s="274">
        <v>2445.41</v>
      </c>
      <c r="H167" s="255">
        <f>SUMIF('AJE LTD'!A:A,'TB LTD 2021'!B167,'AJE LTD'!D:D)</f>
        <v>0</v>
      </c>
      <c r="I167" s="258">
        <f t="shared" ref="I167:I193" si="25">SUM(G167:H167)</f>
        <v>2445.41</v>
      </c>
      <c r="J167" s="212"/>
      <c r="K167" s="274"/>
      <c r="M167" s="249"/>
      <c r="N167" s="249"/>
      <c r="O167" s="249"/>
      <c r="P167" s="35">
        <f t="shared" si="22"/>
        <v>-34142.339999999997</v>
      </c>
      <c r="Q167">
        <v>74002</v>
      </c>
      <c r="R167">
        <v>54.52</v>
      </c>
      <c r="S167">
        <f t="shared" si="24"/>
        <v>709.68</v>
      </c>
      <c r="T167">
        <f t="shared" si="20"/>
        <v>655.16</v>
      </c>
    </row>
    <row r="168" spans="1:20" hidden="1" x14ac:dyDescent="0.25">
      <c r="A168">
        <v>55</v>
      </c>
      <c r="B168" s="213">
        <v>70031</v>
      </c>
      <c r="C168" t="s">
        <v>679</v>
      </c>
      <c r="D168" s="274">
        <v>14159.8</v>
      </c>
      <c r="E168" s="255">
        <f>SUMIF('AJE LTD'!A:A,'TB LTD 2021'!B168,'AJE LTD'!C:C)</f>
        <v>0</v>
      </c>
      <c r="F168" s="258">
        <f t="shared" si="18"/>
        <v>14159.8</v>
      </c>
      <c r="G168" s="274">
        <v>4412.32</v>
      </c>
      <c r="H168" s="255">
        <f>SUMIF('AJE LTD'!A:A,'TB LTD 2021'!B168,'AJE LTD'!D:D)</f>
        <v>0</v>
      </c>
      <c r="I168" s="258">
        <f t="shared" si="25"/>
        <v>4412.32</v>
      </c>
      <c r="J168" s="212"/>
      <c r="K168" s="274"/>
      <c r="M168" s="249"/>
      <c r="N168" s="249"/>
      <c r="O168" s="249"/>
      <c r="P168" s="35">
        <f t="shared" si="22"/>
        <v>-153811.01</v>
      </c>
      <c r="Q168">
        <v>90006</v>
      </c>
      <c r="R168">
        <v>101.85</v>
      </c>
      <c r="S168">
        <f t="shared" si="24"/>
        <v>460.86</v>
      </c>
      <c r="T168">
        <f t="shared" si="20"/>
        <v>359.01</v>
      </c>
    </row>
    <row r="169" spans="1:20" hidden="1" x14ac:dyDescent="0.25">
      <c r="A169">
        <v>55</v>
      </c>
      <c r="B169" s="213">
        <v>70033</v>
      </c>
      <c r="C169" t="s">
        <v>725</v>
      </c>
      <c r="D169" s="274">
        <v>33923.870000000003</v>
      </c>
      <c r="E169" s="255">
        <f>SUMIF('AJE LTD'!A:A,'TB LTD 2021'!B169,'AJE LTD'!C:C)</f>
        <v>0</v>
      </c>
      <c r="F169" s="258">
        <f t="shared" si="18"/>
        <v>33923.870000000003</v>
      </c>
      <c r="G169" s="274">
        <v>10483.5</v>
      </c>
      <c r="H169" s="255">
        <f>SUMIF('AJE LTD'!A:A,'TB LTD 2021'!B169,'AJE LTD'!D:D)</f>
        <v>0</v>
      </c>
      <c r="I169" s="258">
        <f t="shared" si="25"/>
        <v>10483.5</v>
      </c>
      <c r="J169" s="212"/>
      <c r="K169" s="274"/>
      <c r="M169" s="249"/>
      <c r="N169" s="249"/>
      <c r="O169" s="249"/>
      <c r="P169" s="35">
        <f t="shared" si="22"/>
        <v>-17994.02</v>
      </c>
      <c r="Q169" t="s">
        <v>118</v>
      </c>
      <c r="R169">
        <v>0</v>
      </c>
      <c r="S169">
        <f t="shared" si="24"/>
        <v>0</v>
      </c>
      <c r="T169">
        <f t="shared" si="20"/>
        <v>0</v>
      </c>
    </row>
    <row r="170" spans="1:20" hidden="1" x14ac:dyDescent="0.25">
      <c r="A170">
        <v>55</v>
      </c>
      <c r="B170" s="213">
        <v>70034</v>
      </c>
      <c r="C170" t="s">
        <v>846</v>
      </c>
      <c r="D170" s="274">
        <v>5925.71</v>
      </c>
      <c r="E170" s="255">
        <f>SUMIF('AJE LTD'!A:A,'TB LTD 2021'!B170,'AJE LTD'!C:C)</f>
        <v>0</v>
      </c>
      <c r="F170" s="258">
        <f t="shared" si="18"/>
        <v>5925.71</v>
      </c>
      <c r="G170" s="274">
        <v>1867.9</v>
      </c>
      <c r="H170" s="255">
        <f>SUMIF('AJE LTD'!A:A,'TB LTD 2021'!B170,'AJE LTD'!D:D)</f>
        <v>0</v>
      </c>
      <c r="I170" s="258">
        <f t="shared" si="25"/>
        <v>1867.9</v>
      </c>
      <c r="J170" s="212"/>
      <c r="K170" s="274"/>
      <c r="M170" s="249"/>
      <c r="N170" s="249"/>
      <c r="O170" s="249"/>
      <c r="P170" s="35">
        <f t="shared" si="22"/>
        <v>-1505</v>
      </c>
      <c r="Q170">
        <v>10002</v>
      </c>
      <c r="R170">
        <v>0</v>
      </c>
      <c r="S170">
        <f t="shared" si="24"/>
        <v>0</v>
      </c>
      <c r="T170">
        <f t="shared" si="20"/>
        <v>0</v>
      </c>
    </row>
    <row r="171" spans="1:20" hidden="1" x14ac:dyDescent="0.25">
      <c r="A171">
        <v>55</v>
      </c>
      <c r="B171" s="213">
        <v>70035</v>
      </c>
      <c r="C171" t="s">
        <v>847</v>
      </c>
      <c r="D171" s="274">
        <v>661.8</v>
      </c>
      <c r="E171" s="255">
        <f>SUMIF('AJE LTD'!A:A,'TB LTD 2021'!B171,'AJE LTD'!C:C)</f>
        <v>0</v>
      </c>
      <c r="F171" s="258">
        <f t="shared" si="18"/>
        <v>661.8</v>
      </c>
      <c r="G171" s="274">
        <v>201.21</v>
      </c>
      <c r="H171" s="255">
        <f>SUMIF('AJE LTD'!A:A,'TB LTD 2021'!B171,'AJE LTD'!D:D)</f>
        <v>0</v>
      </c>
      <c r="I171" s="258">
        <f t="shared" si="25"/>
        <v>201.21</v>
      </c>
      <c r="J171" s="212"/>
      <c r="K171" s="274"/>
      <c r="M171" s="249"/>
      <c r="N171" s="249"/>
      <c r="O171" s="249"/>
      <c r="P171" s="35">
        <f t="shared" si="22"/>
        <v>-7814.9</v>
      </c>
      <c r="Q171">
        <v>10500</v>
      </c>
      <c r="R171">
        <v>559.88</v>
      </c>
      <c r="S171">
        <f t="shared" si="24"/>
        <v>0</v>
      </c>
      <c r="T171">
        <f t="shared" si="20"/>
        <v>-559.88</v>
      </c>
    </row>
    <row r="172" spans="1:20" hidden="1" x14ac:dyDescent="0.25">
      <c r="A172">
        <v>55</v>
      </c>
      <c r="B172" s="213">
        <v>70036</v>
      </c>
      <c r="C172" t="s">
        <v>848</v>
      </c>
      <c r="D172" s="274">
        <v>8640.75</v>
      </c>
      <c r="E172" s="255">
        <f>SUMIF('AJE LTD'!A:A,'TB LTD 2021'!B172,'AJE LTD'!C:C)</f>
        <v>0</v>
      </c>
      <c r="F172" s="258">
        <f t="shared" si="18"/>
        <v>8640.75</v>
      </c>
      <c r="G172" s="274">
        <v>2690.76</v>
      </c>
      <c r="H172" s="255">
        <f>SUMIF('AJE LTD'!A:A,'TB LTD 2021'!B172,'AJE LTD'!D:D)</f>
        <v>0</v>
      </c>
      <c r="I172" s="258">
        <f t="shared" si="25"/>
        <v>2690.76</v>
      </c>
      <c r="J172" s="212"/>
      <c r="K172" s="274"/>
      <c r="M172" s="249"/>
      <c r="N172" s="249"/>
      <c r="O172" s="249"/>
      <c r="P172" s="35">
        <f t="shared" si="22"/>
        <v>-14159.8</v>
      </c>
      <c r="Q172">
        <v>200018</v>
      </c>
      <c r="R172">
        <v>103.89</v>
      </c>
      <c r="S172">
        <f t="shared" si="24"/>
        <v>0</v>
      </c>
      <c r="T172">
        <f t="shared" si="20"/>
        <v>-103.89</v>
      </c>
    </row>
    <row r="173" spans="1:20" hidden="1" x14ac:dyDescent="0.25">
      <c r="A173">
        <v>55</v>
      </c>
      <c r="B173" s="213">
        <v>70037</v>
      </c>
      <c r="C173" t="s">
        <v>849</v>
      </c>
      <c r="D173" s="274">
        <v>2322</v>
      </c>
      <c r="E173" s="255">
        <f>SUMIF('AJE LTD'!A:A,'TB LTD 2021'!B173,'AJE LTD'!C:C)</f>
        <v>0</v>
      </c>
      <c r="F173" s="258">
        <f t="shared" si="18"/>
        <v>2322</v>
      </c>
      <c r="G173" s="274">
        <v>704.06</v>
      </c>
      <c r="H173" s="255">
        <f>SUMIF('AJE LTD'!A:A,'TB LTD 2021'!B173,'AJE LTD'!D:D)</f>
        <v>0</v>
      </c>
      <c r="I173" s="258">
        <f t="shared" si="25"/>
        <v>704.06</v>
      </c>
      <c r="J173" s="212"/>
      <c r="K173" s="274"/>
      <c r="M173" s="249"/>
      <c r="N173" s="249"/>
      <c r="O173" s="249"/>
      <c r="P173" s="35">
        <f t="shared" si="22"/>
        <v>-33923.870000000003</v>
      </c>
      <c r="Q173">
        <v>200046</v>
      </c>
      <c r="R173">
        <v>-80.87</v>
      </c>
      <c r="S173">
        <f t="shared" si="24"/>
        <v>16040.81</v>
      </c>
      <c r="T173">
        <f t="shared" si="20"/>
        <v>16121.68</v>
      </c>
    </row>
    <row r="174" spans="1:20" hidden="1" x14ac:dyDescent="0.25">
      <c r="A174">
        <v>55</v>
      </c>
      <c r="B174" s="213">
        <v>70039</v>
      </c>
      <c r="C174" t="s">
        <v>850</v>
      </c>
      <c r="D174" s="274">
        <v>33228.410000000003</v>
      </c>
      <c r="E174" s="255">
        <f>SUMIF('AJE LTD'!A:A,'TB LTD 2021'!B174,'AJE LTD'!C:C)</f>
        <v>0</v>
      </c>
      <c r="F174" s="258">
        <f t="shared" si="18"/>
        <v>33228.410000000003</v>
      </c>
      <c r="G174" s="274">
        <v>9984.11</v>
      </c>
      <c r="H174" s="255">
        <f>SUMIF('AJE LTD'!A:A,'TB LTD 2021'!B174,'AJE LTD'!D:D)</f>
        <v>0</v>
      </c>
      <c r="I174" s="258">
        <f t="shared" si="25"/>
        <v>9984.11</v>
      </c>
      <c r="J174" s="212"/>
      <c r="K174" s="274"/>
      <c r="M174" s="249"/>
      <c r="N174" s="249"/>
      <c r="O174" s="249"/>
      <c r="P174" s="35">
        <f t="shared" si="22"/>
        <v>-5925.71</v>
      </c>
      <c r="Q174">
        <v>200038</v>
      </c>
      <c r="R174">
        <v>0</v>
      </c>
      <c r="S174">
        <f t="shared" si="24"/>
        <v>0</v>
      </c>
      <c r="T174">
        <f t="shared" si="20"/>
        <v>0</v>
      </c>
    </row>
    <row r="175" spans="1:20" hidden="1" x14ac:dyDescent="0.25">
      <c r="A175">
        <v>55</v>
      </c>
      <c r="B175" s="213">
        <v>70040</v>
      </c>
      <c r="C175" t="s">
        <v>851</v>
      </c>
      <c r="D175" s="274">
        <v>6192.83</v>
      </c>
      <c r="E175" s="255">
        <f>SUMIF('AJE LTD'!A:A,'TB LTD 2021'!B175,'AJE LTD'!C:C)</f>
        <v>0</v>
      </c>
      <c r="F175" s="258">
        <f t="shared" si="18"/>
        <v>6192.83</v>
      </c>
      <c r="G175" s="274">
        <v>1863.06</v>
      </c>
      <c r="H175" s="255">
        <f>SUMIF('AJE LTD'!A:A,'TB LTD 2021'!B175,'AJE LTD'!D:D)</f>
        <v>0</v>
      </c>
      <c r="I175" s="258">
        <f t="shared" si="25"/>
        <v>1863.06</v>
      </c>
      <c r="J175" s="212"/>
      <c r="K175" s="274"/>
      <c r="M175" s="249"/>
      <c r="N175" s="249"/>
      <c r="O175" s="249"/>
      <c r="P175" s="35">
        <f t="shared" si="22"/>
        <v>-661.8</v>
      </c>
      <c r="Q175">
        <v>200041</v>
      </c>
      <c r="R175">
        <v>0</v>
      </c>
      <c r="S175">
        <f t="shared" si="24"/>
        <v>0</v>
      </c>
      <c r="T175">
        <f t="shared" si="20"/>
        <v>0</v>
      </c>
    </row>
    <row r="176" spans="1:20" hidden="1" x14ac:dyDescent="0.25">
      <c r="A176">
        <v>55</v>
      </c>
      <c r="B176" s="213">
        <v>70041</v>
      </c>
      <c r="C176" t="s">
        <v>852</v>
      </c>
      <c r="D176" s="274">
        <v>5418.15</v>
      </c>
      <c r="E176" s="255">
        <f>SUMIF('AJE LTD'!A:A,'TB LTD 2021'!B176,'AJE LTD'!C:C)</f>
        <v>0</v>
      </c>
      <c r="F176" s="258">
        <f t="shared" si="18"/>
        <v>5418.15</v>
      </c>
      <c r="G176" s="274">
        <v>1659.8</v>
      </c>
      <c r="H176" s="255">
        <f>SUMIF('AJE LTD'!A:A,'TB LTD 2021'!B176,'AJE LTD'!D:D)</f>
        <v>0</v>
      </c>
      <c r="I176" s="258">
        <f t="shared" si="25"/>
        <v>1659.8</v>
      </c>
      <c r="J176" s="212"/>
      <c r="K176" s="274"/>
      <c r="M176" s="249"/>
      <c r="N176" s="249"/>
      <c r="O176" s="249"/>
      <c r="P176" s="35">
        <f t="shared" ref="P176:P207" si="26">O176-D172</f>
        <v>-8640.75</v>
      </c>
      <c r="Q176">
        <v>40000</v>
      </c>
      <c r="R176">
        <v>-3097.82</v>
      </c>
      <c r="S176">
        <f t="shared" si="24"/>
        <v>0</v>
      </c>
      <c r="T176">
        <f t="shared" si="20"/>
        <v>3097.82</v>
      </c>
    </row>
    <row r="177" spans="1:20" hidden="1" x14ac:dyDescent="0.25">
      <c r="A177">
        <v>55</v>
      </c>
      <c r="B177" s="213">
        <v>70042</v>
      </c>
      <c r="C177" t="s">
        <v>853</v>
      </c>
      <c r="D177" s="274">
        <v>14890.66</v>
      </c>
      <c r="E177" s="255">
        <f>SUMIF('AJE LTD'!A:A,'TB LTD 2021'!B177,'AJE LTD'!C:C)</f>
        <v>0</v>
      </c>
      <c r="F177" s="258">
        <f t="shared" si="18"/>
        <v>14890.66</v>
      </c>
      <c r="G177" s="274">
        <v>4590.8500000000004</v>
      </c>
      <c r="H177" s="255">
        <f>SUMIF('AJE LTD'!A:A,'TB LTD 2021'!B177,'AJE LTD'!D:D)</f>
        <v>0</v>
      </c>
      <c r="I177" s="258">
        <f t="shared" si="25"/>
        <v>4590.8500000000004</v>
      </c>
      <c r="J177" s="212"/>
      <c r="K177" s="274"/>
      <c r="M177" s="248">
        <v>70003</v>
      </c>
      <c r="N177" s="248" t="s">
        <v>50</v>
      </c>
      <c r="O177" s="248">
        <v>7932</v>
      </c>
      <c r="P177" s="35">
        <f t="shared" si="26"/>
        <v>5610</v>
      </c>
      <c r="Q177">
        <v>40005</v>
      </c>
      <c r="R177">
        <v>-161111.39000000001</v>
      </c>
      <c r="S177">
        <f t="shared" si="24"/>
        <v>-51514.98</v>
      </c>
      <c r="T177">
        <f t="shared" si="20"/>
        <v>109596.41</v>
      </c>
    </row>
    <row r="178" spans="1:20" hidden="1" x14ac:dyDescent="0.25">
      <c r="A178">
        <v>55</v>
      </c>
      <c r="B178" s="213">
        <v>70043</v>
      </c>
      <c r="C178" t="s">
        <v>854</v>
      </c>
      <c r="D178" s="274">
        <v>115.43</v>
      </c>
      <c r="E178" s="255">
        <f>SUMIF('AJE LTD'!A:A,'TB LTD 2021'!B178,'AJE LTD'!C:C)</f>
        <v>0</v>
      </c>
      <c r="F178" s="258">
        <f t="shared" si="18"/>
        <v>115.43</v>
      </c>
      <c r="G178" s="274">
        <v>34.979999999999997</v>
      </c>
      <c r="H178" s="255">
        <f>SUMIF('AJE LTD'!A:A,'TB LTD 2021'!B178,'AJE LTD'!D:D)</f>
        <v>0</v>
      </c>
      <c r="I178" s="258">
        <f t="shared" si="25"/>
        <v>34.979999999999997</v>
      </c>
      <c r="J178" s="212"/>
      <c r="K178" s="274"/>
      <c r="M178" s="248">
        <v>70005</v>
      </c>
      <c r="N178" s="248" t="s">
        <v>51</v>
      </c>
      <c r="O178" s="248">
        <v>3147.5</v>
      </c>
      <c r="P178" s="35">
        <f t="shared" si="26"/>
        <v>-30080.910000000003</v>
      </c>
      <c r="Q178">
        <v>40006</v>
      </c>
      <c r="R178">
        <v>161111.39000000001</v>
      </c>
      <c r="S178">
        <f t="shared" si="24"/>
        <v>51514.98</v>
      </c>
      <c r="T178">
        <f t="shared" si="20"/>
        <v>-109596.41</v>
      </c>
    </row>
    <row r="179" spans="1:20" hidden="1" x14ac:dyDescent="0.25">
      <c r="A179">
        <v>55</v>
      </c>
      <c r="B179" s="213">
        <v>70044</v>
      </c>
      <c r="C179" t="s">
        <v>855</v>
      </c>
      <c r="D179" s="274">
        <v>454.24</v>
      </c>
      <c r="E179" s="255">
        <f>SUMIF('AJE LTD'!A:A,'TB LTD 2021'!B179,'AJE LTD'!C:C)</f>
        <v>0</v>
      </c>
      <c r="F179" s="258">
        <f t="shared" si="18"/>
        <v>454.24</v>
      </c>
      <c r="G179" s="274">
        <v>140.41</v>
      </c>
      <c r="H179" s="255">
        <f>SUMIF('AJE LTD'!A:A,'TB LTD 2021'!B179,'AJE LTD'!D:D)</f>
        <v>0</v>
      </c>
      <c r="I179" s="258">
        <f t="shared" si="25"/>
        <v>140.41</v>
      </c>
      <c r="J179" s="212"/>
      <c r="K179" s="274"/>
      <c r="M179" s="248">
        <v>70007</v>
      </c>
      <c r="N179" s="248" t="s">
        <v>52</v>
      </c>
      <c r="O179" s="248">
        <v>1587.52</v>
      </c>
      <c r="P179" s="35">
        <f t="shared" si="26"/>
        <v>-4605.3099999999995</v>
      </c>
      <c r="Q179">
        <v>50112</v>
      </c>
      <c r="R179">
        <v>0</v>
      </c>
      <c r="S179">
        <f t="shared" si="24"/>
        <v>205.23</v>
      </c>
      <c r="T179">
        <f t="shared" si="20"/>
        <v>205.23</v>
      </c>
    </row>
    <row r="180" spans="1:20" hidden="1" x14ac:dyDescent="0.25">
      <c r="A180">
        <v>55</v>
      </c>
      <c r="B180" s="213">
        <v>70045</v>
      </c>
      <c r="C180" t="s">
        <v>856</v>
      </c>
      <c r="D180" s="274">
        <v>1134.24</v>
      </c>
      <c r="E180" s="255">
        <f>SUMIF('AJE LTD'!A:A,'TB LTD 2021'!B180,'AJE LTD'!C:C)</f>
        <v>0</v>
      </c>
      <c r="F180" s="258">
        <f t="shared" si="18"/>
        <v>1134.24</v>
      </c>
      <c r="G180" s="274">
        <v>343</v>
      </c>
      <c r="H180" s="255">
        <f>SUMIF('AJE LTD'!A:A,'TB LTD 2021'!B180,'AJE LTD'!D:D)</f>
        <v>0</v>
      </c>
      <c r="I180" s="258">
        <f t="shared" si="25"/>
        <v>343</v>
      </c>
      <c r="J180" s="212"/>
      <c r="K180" s="274"/>
      <c r="M180" s="248">
        <v>70008</v>
      </c>
      <c r="N180" s="248" t="s">
        <v>670</v>
      </c>
      <c r="O180" s="248">
        <v>11705.43</v>
      </c>
      <c r="P180" s="35">
        <f t="shared" si="26"/>
        <v>6287.2800000000007</v>
      </c>
      <c r="Q180">
        <v>70003</v>
      </c>
      <c r="R180">
        <v>2269.69</v>
      </c>
      <c r="S180">
        <f t="shared" si="24"/>
        <v>0</v>
      </c>
      <c r="T180">
        <f t="shared" si="20"/>
        <v>-2269.69</v>
      </c>
    </row>
    <row r="181" spans="1:20" s="335" customFormat="1" hidden="1" x14ac:dyDescent="0.25">
      <c r="A181" s="335">
        <v>55</v>
      </c>
      <c r="B181" s="336">
        <v>70046</v>
      </c>
      <c r="C181" s="335" t="s">
        <v>857</v>
      </c>
      <c r="D181" s="337">
        <v>16523.52</v>
      </c>
      <c r="E181" s="338">
        <f>SUMIF('AJE LTD'!A:A,'TB LTD 2021'!B181,'AJE LTD'!C:C)</f>
        <v>0</v>
      </c>
      <c r="F181" s="339">
        <f t="shared" si="18"/>
        <v>16523.52</v>
      </c>
      <c r="G181" s="337">
        <v>5158.76</v>
      </c>
      <c r="H181" s="338">
        <f>SUMIF('AJE LTD'!A:A,'TB LTD 2021'!B181,'AJE LTD'!D:D)</f>
        <v>0</v>
      </c>
      <c r="I181" s="339">
        <f t="shared" si="25"/>
        <v>5158.76</v>
      </c>
      <c r="J181" s="340"/>
      <c r="K181" s="337"/>
      <c r="M181" s="341">
        <v>70010</v>
      </c>
      <c r="N181" s="341" t="s">
        <v>671</v>
      </c>
      <c r="O181" s="341">
        <v>562.25</v>
      </c>
      <c r="P181" s="342">
        <f t="shared" si="26"/>
        <v>-14328.41</v>
      </c>
      <c r="Q181" s="335">
        <v>70010</v>
      </c>
      <c r="R181" s="335">
        <v>168.91</v>
      </c>
      <c r="S181" s="335">
        <f t="shared" si="24"/>
        <v>5821.41</v>
      </c>
      <c r="T181" s="335">
        <f t="shared" si="20"/>
        <v>5652.5</v>
      </c>
    </row>
    <row r="182" spans="1:20" hidden="1" x14ac:dyDescent="0.25">
      <c r="A182">
        <v>55</v>
      </c>
      <c r="B182" s="213">
        <v>70047</v>
      </c>
      <c r="C182" t="s">
        <v>858</v>
      </c>
      <c r="D182" s="274">
        <v>534.65</v>
      </c>
      <c r="E182" s="255">
        <f>SUMIF('AJE LTD'!A:A,'TB LTD 2021'!B182,'AJE LTD'!C:C)</f>
        <v>0</v>
      </c>
      <c r="F182" s="258">
        <f t="shared" si="18"/>
        <v>534.65</v>
      </c>
      <c r="G182" s="274">
        <v>165</v>
      </c>
      <c r="H182" s="255">
        <f>SUMIF('AJE LTD'!A:A,'TB LTD 2021'!B182,'AJE LTD'!D:D)</f>
        <v>0</v>
      </c>
      <c r="I182" s="258">
        <f t="shared" si="25"/>
        <v>165</v>
      </c>
      <c r="J182" s="212"/>
      <c r="K182" s="274"/>
      <c r="M182" s="248">
        <v>70011</v>
      </c>
      <c r="N182" s="248" t="s">
        <v>672</v>
      </c>
      <c r="O182" s="248">
        <v>129016.05</v>
      </c>
      <c r="P182" s="35">
        <f t="shared" si="26"/>
        <v>128900.62000000001</v>
      </c>
      <c r="Q182">
        <v>73006</v>
      </c>
      <c r="R182">
        <v>0</v>
      </c>
      <c r="S182">
        <f t="shared" si="24"/>
        <v>0</v>
      </c>
      <c r="T182">
        <f t="shared" si="20"/>
        <v>0</v>
      </c>
    </row>
    <row r="183" spans="1:20" hidden="1" x14ac:dyDescent="0.25">
      <c r="A183">
        <v>55</v>
      </c>
      <c r="B183" s="213">
        <v>70048</v>
      </c>
      <c r="C183" t="s">
        <v>859</v>
      </c>
      <c r="D183" s="274">
        <v>194</v>
      </c>
      <c r="E183" s="255">
        <f>SUMIF('AJE LTD'!A:A,'TB LTD 2021'!B183,'AJE LTD'!C:C)</f>
        <v>0</v>
      </c>
      <c r="F183" s="258">
        <f t="shared" si="18"/>
        <v>194</v>
      </c>
      <c r="G183" s="274">
        <v>59.9</v>
      </c>
      <c r="H183" s="255">
        <f>SUMIF('AJE LTD'!A:A,'TB LTD 2021'!B183,'AJE LTD'!D:D)</f>
        <v>0</v>
      </c>
      <c r="I183" s="258">
        <f t="shared" si="25"/>
        <v>59.9</v>
      </c>
      <c r="J183" s="212"/>
      <c r="K183" s="274"/>
      <c r="M183" s="248">
        <v>70013</v>
      </c>
      <c r="N183" s="248" t="s">
        <v>673</v>
      </c>
      <c r="O183" s="248">
        <v>4110.51</v>
      </c>
      <c r="P183" s="35">
        <f t="shared" si="26"/>
        <v>3656.2700000000004</v>
      </c>
      <c r="Q183">
        <v>90007</v>
      </c>
      <c r="R183">
        <v>127.24</v>
      </c>
      <c r="S183">
        <f t="shared" si="24"/>
        <v>0</v>
      </c>
      <c r="T183">
        <f t="shared" si="20"/>
        <v>-127.24</v>
      </c>
    </row>
    <row r="184" spans="1:20" hidden="1" x14ac:dyDescent="0.25">
      <c r="A184">
        <v>55</v>
      </c>
      <c r="B184" s="213">
        <v>70049</v>
      </c>
      <c r="C184" t="s">
        <v>860</v>
      </c>
      <c r="D184" s="274">
        <v>8216.2000000000007</v>
      </c>
      <c r="E184" s="255">
        <f>SUMIF('AJE LTD'!A:A,'TB LTD 2021'!B184,'AJE LTD'!C:C)</f>
        <v>0</v>
      </c>
      <c r="F184" s="258">
        <f t="shared" si="18"/>
        <v>8216.2000000000007</v>
      </c>
      <c r="G184" s="274">
        <v>2572.16</v>
      </c>
      <c r="H184" s="255">
        <f>SUMIF('AJE LTD'!A:A,'TB LTD 2021'!B184,'AJE LTD'!D:D)</f>
        <v>0</v>
      </c>
      <c r="I184" s="258">
        <f t="shared" si="25"/>
        <v>2572.16</v>
      </c>
      <c r="J184" s="212"/>
      <c r="K184" s="274"/>
      <c r="M184" s="248">
        <v>70016</v>
      </c>
      <c r="N184" s="248" t="s">
        <v>458</v>
      </c>
      <c r="O184" s="248">
        <v>3967.87</v>
      </c>
      <c r="P184" s="35">
        <f t="shared" si="26"/>
        <v>2833.63</v>
      </c>
      <c r="Q184" t="s">
        <v>685</v>
      </c>
      <c r="R184">
        <v>0</v>
      </c>
      <c r="S184">
        <f t="shared" si="24"/>
        <v>0</v>
      </c>
      <c r="T184">
        <f t="shared" si="20"/>
        <v>0</v>
      </c>
    </row>
    <row r="185" spans="1:20" hidden="1" x14ac:dyDescent="0.25">
      <c r="A185">
        <v>55</v>
      </c>
      <c r="B185" s="213">
        <v>80201</v>
      </c>
      <c r="C185" t="s">
        <v>861</v>
      </c>
      <c r="D185" s="274">
        <v>285.63</v>
      </c>
      <c r="E185" s="255">
        <f>SUMIF('AJE LTD'!A:A,'TB LTD 2021'!B185,'AJE LTD'!C:C)</f>
        <v>0</v>
      </c>
      <c r="F185" s="258">
        <f t="shared" si="18"/>
        <v>285.63</v>
      </c>
      <c r="G185" s="274">
        <v>89.92</v>
      </c>
      <c r="H185" s="255">
        <f>SUMIF('AJE LTD'!A:A,'TB LTD 2021'!B185,'AJE LTD'!D:D)</f>
        <v>0</v>
      </c>
      <c r="I185" s="258">
        <f t="shared" si="25"/>
        <v>89.92</v>
      </c>
      <c r="J185" s="212"/>
      <c r="K185" s="274"/>
      <c r="M185" s="248">
        <v>70019</v>
      </c>
      <c r="N185" s="248" t="s">
        <v>674</v>
      </c>
      <c r="O185" s="248">
        <v>86.4</v>
      </c>
      <c r="P185" s="35">
        <f t="shared" si="26"/>
        <v>-16437.12</v>
      </c>
      <c r="Q185" t="s">
        <v>686</v>
      </c>
      <c r="R185">
        <v>0</v>
      </c>
      <c r="S185">
        <f t="shared" si="24"/>
        <v>0</v>
      </c>
      <c r="T185">
        <f t="shared" si="20"/>
        <v>0</v>
      </c>
    </row>
    <row r="186" spans="1:20" hidden="1" x14ac:dyDescent="0.25">
      <c r="A186">
        <v>55</v>
      </c>
      <c r="B186" s="213">
        <v>71000</v>
      </c>
      <c r="C186" t="s">
        <v>59</v>
      </c>
      <c r="D186" s="274">
        <v>550579</v>
      </c>
      <c r="E186" s="255">
        <f>SUMIF('AJE LTD'!A:A,'TB LTD 2021'!B186,'AJE LTD'!C:C)</f>
        <v>0</v>
      </c>
      <c r="F186" s="258">
        <f t="shared" si="18"/>
        <v>550579</v>
      </c>
      <c r="G186" s="274">
        <v>171520.49</v>
      </c>
      <c r="H186" s="255">
        <f>SUMIF('AJE LTD'!A:A,'TB LTD 2021'!B186,'AJE LTD'!D:D)</f>
        <v>0</v>
      </c>
      <c r="I186" s="258">
        <f t="shared" si="25"/>
        <v>171520.49</v>
      </c>
      <c r="J186" s="212"/>
      <c r="K186" s="274"/>
      <c r="M186" s="248">
        <v>70021</v>
      </c>
      <c r="N186" s="248" t="s">
        <v>675</v>
      </c>
      <c r="O186" s="248">
        <v>55025.78</v>
      </c>
      <c r="P186" s="35">
        <f t="shared" si="26"/>
        <v>54491.13</v>
      </c>
      <c r="R186">
        <v>0</v>
      </c>
      <c r="S186">
        <f t="shared" si="24"/>
        <v>0</v>
      </c>
      <c r="T186">
        <f t="shared" si="20"/>
        <v>0</v>
      </c>
    </row>
    <row r="187" spans="1:20" hidden="1" x14ac:dyDescent="0.25">
      <c r="A187">
        <v>55</v>
      </c>
      <c r="B187" s="213">
        <v>71001</v>
      </c>
      <c r="C187" t="s">
        <v>60</v>
      </c>
      <c r="D187" s="274">
        <v>37255</v>
      </c>
      <c r="E187" s="255">
        <f>SUMIF('AJE LTD'!A:A,'TB LTD 2021'!B187,'AJE LTD'!C:C)</f>
        <v>0</v>
      </c>
      <c r="F187" s="258">
        <f t="shared" si="18"/>
        <v>37255</v>
      </c>
      <c r="G187" s="274">
        <v>11602.28</v>
      </c>
      <c r="H187" s="255">
        <f>SUMIF('AJE LTD'!A:A,'TB LTD 2021'!B187,'AJE LTD'!D:D)</f>
        <v>0</v>
      </c>
      <c r="I187" s="258">
        <f t="shared" si="25"/>
        <v>11602.28</v>
      </c>
      <c r="J187" s="212"/>
      <c r="K187" s="274"/>
      <c r="M187" s="248">
        <v>70022</v>
      </c>
      <c r="N187" s="248" t="s">
        <v>676</v>
      </c>
      <c r="O187" s="248">
        <v>7618.79</v>
      </c>
      <c r="P187" s="35">
        <f t="shared" si="26"/>
        <v>7424.79</v>
      </c>
      <c r="Q187" t="s">
        <v>687</v>
      </c>
      <c r="R187">
        <v>0</v>
      </c>
      <c r="S187">
        <f t="shared" si="24"/>
        <v>0</v>
      </c>
      <c r="T187">
        <f t="shared" si="20"/>
        <v>0</v>
      </c>
    </row>
    <row r="188" spans="1:20" hidden="1" x14ac:dyDescent="0.25">
      <c r="A188">
        <v>55</v>
      </c>
      <c r="B188" s="213">
        <v>71002</v>
      </c>
      <c r="C188" t="s">
        <v>61</v>
      </c>
      <c r="D188" s="274">
        <v>27365</v>
      </c>
      <c r="E188" s="255">
        <f>SUMIF('AJE LTD'!A:A,'TB LTD 2021'!B188,'AJE LTD'!C:C)</f>
        <v>0</v>
      </c>
      <c r="F188" s="258">
        <f t="shared" si="18"/>
        <v>27365</v>
      </c>
      <c r="G188" s="274">
        <v>8536.9599999999991</v>
      </c>
      <c r="H188" s="255">
        <f>SUMIF('AJE LTD'!A:A,'TB LTD 2021'!B188,'AJE LTD'!D:D)</f>
        <v>0</v>
      </c>
      <c r="I188" s="258">
        <f t="shared" si="25"/>
        <v>8536.9599999999991</v>
      </c>
      <c r="J188" s="212"/>
      <c r="K188" s="274"/>
      <c r="M188" s="248">
        <v>70023</v>
      </c>
      <c r="N188" s="248" t="s">
        <v>677</v>
      </c>
      <c r="O188" s="248">
        <v>6822</v>
      </c>
      <c r="P188" s="35">
        <f t="shared" si="26"/>
        <v>-1394.2000000000007</v>
      </c>
      <c r="Q188" t="s">
        <v>688</v>
      </c>
      <c r="R188">
        <v>0</v>
      </c>
      <c r="S188">
        <f t="shared" si="24"/>
        <v>0</v>
      </c>
      <c r="T188">
        <f t="shared" si="20"/>
        <v>0</v>
      </c>
    </row>
    <row r="189" spans="1:20" hidden="1" x14ac:dyDescent="0.25">
      <c r="A189">
        <v>55</v>
      </c>
      <c r="B189" s="213">
        <v>71003</v>
      </c>
      <c r="C189" t="s">
        <v>862</v>
      </c>
      <c r="D189" s="274">
        <v>43394</v>
      </c>
      <c r="E189" s="255">
        <f>SUMIF('AJE LTD'!A:A,'TB LTD 2021'!B189,'AJE LTD'!C:C)</f>
        <v>0</v>
      </c>
      <c r="F189" s="258">
        <f t="shared" si="18"/>
        <v>43394</v>
      </c>
      <c r="G189" s="274">
        <v>13526.16</v>
      </c>
      <c r="H189" s="255">
        <f>SUMIF('AJE LTD'!A:A,'TB LTD 2021'!B189,'AJE LTD'!D:D)</f>
        <v>0</v>
      </c>
      <c r="I189" s="258">
        <f t="shared" si="25"/>
        <v>13526.16</v>
      </c>
      <c r="J189" s="212"/>
      <c r="K189" s="274"/>
      <c r="M189" s="248">
        <v>70024</v>
      </c>
      <c r="N189" s="248" t="s">
        <v>678</v>
      </c>
      <c r="O189" s="248">
        <v>203429.67</v>
      </c>
      <c r="P189" s="35">
        <f t="shared" si="26"/>
        <v>203144.04</v>
      </c>
      <c r="Q189">
        <v>10005</v>
      </c>
      <c r="R189">
        <v>5912.58</v>
      </c>
      <c r="S189">
        <f t="shared" si="24"/>
        <v>0</v>
      </c>
      <c r="T189">
        <f t="shared" si="20"/>
        <v>-5912.58</v>
      </c>
    </row>
    <row r="190" spans="1:20" hidden="1" x14ac:dyDescent="0.25">
      <c r="A190">
        <v>55</v>
      </c>
      <c r="B190" s="213">
        <v>71004</v>
      </c>
      <c r="C190" t="s">
        <v>63</v>
      </c>
      <c r="D190" s="274">
        <v>10865</v>
      </c>
      <c r="E190" s="255">
        <f>SUMIF('AJE LTD'!A:A,'TB LTD 2021'!B190,'AJE LTD'!C:C)</f>
        <v>0</v>
      </c>
      <c r="F190" s="258">
        <f t="shared" si="18"/>
        <v>10865</v>
      </c>
      <c r="G190" s="274">
        <v>3370.39</v>
      </c>
      <c r="H190" s="255">
        <f>SUMIF('AJE LTD'!A:A,'TB LTD 2021'!B190,'AJE LTD'!D:D)</f>
        <v>0</v>
      </c>
      <c r="I190" s="258">
        <f t="shared" si="25"/>
        <v>3370.39</v>
      </c>
      <c r="J190" s="212"/>
      <c r="K190" s="274"/>
      <c r="M190" s="248">
        <v>70026</v>
      </c>
      <c r="N190" s="248" t="s">
        <v>606</v>
      </c>
      <c r="O190" s="248">
        <v>50439.32</v>
      </c>
      <c r="P190" s="35">
        <f t="shared" si="26"/>
        <v>-500139.68</v>
      </c>
      <c r="Q190">
        <v>100005</v>
      </c>
      <c r="R190">
        <v>1675.5</v>
      </c>
      <c r="S190">
        <f t="shared" si="24"/>
        <v>0</v>
      </c>
      <c r="T190">
        <f t="shared" si="20"/>
        <v>-1675.5</v>
      </c>
    </row>
    <row r="191" spans="1:20" hidden="1" x14ac:dyDescent="0.25">
      <c r="A191">
        <v>55</v>
      </c>
      <c r="B191" s="213">
        <v>71005</v>
      </c>
      <c r="C191" t="s">
        <v>64</v>
      </c>
      <c r="D191" s="274">
        <v>22722</v>
      </c>
      <c r="E191" s="255">
        <f>SUMIF('AJE LTD'!A:A,'TB LTD 2021'!B191,'AJE LTD'!C:C)</f>
        <v>0</v>
      </c>
      <c r="F191" s="258">
        <f t="shared" ref="F191:F205" si="27">SUM(D191:E191)</f>
        <v>22722</v>
      </c>
      <c r="G191" s="274">
        <v>7112.65</v>
      </c>
      <c r="H191" s="255">
        <f>SUMIF('AJE LTD'!A:A,'TB LTD 2021'!B191,'AJE LTD'!D:D)</f>
        <v>0</v>
      </c>
      <c r="I191" s="258">
        <f t="shared" si="25"/>
        <v>7112.65</v>
      </c>
      <c r="J191" s="212"/>
      <c r="K191" s="274"/>
      <c r="M191" s="248">
        <v>70027</v>
      </c>
      <c r="N191" s="248" t="s">
        <v>605</v>
      </c>
      <c r="O191" s="248">
        <v>1137</v>
      </c>
      <c r="P191" s="35">
        <f t="shared" si="26"/>
        <v>-36118</v>
      </c>
      <c r="Q191">
        <v>100006</v>
      </c>
      <c r="R191">
        <v>0</v>
      </c>
      <c r="S191">
        <f t="shared" si="24"/>
        <v>0</v>
      </c>
      <c r="T191">
        <f t="shared" si="20"/>
        <v>0</v>
      </c>
    </row>
    <row r="192" spans="1:20" hidden="1" x14ac:dyDescent="0.25">
      <c r="A192">
        <v>55</v>
      </c>
      <c r="B192" s="213">
        <v>71097</v>
      </c>
      <c r="C192" t="s">
        <v>614</v>
      </c>
      <c r="D192" s="274">
        <v>-945.88</v>
      </c>
      <c r="E192" s="255">
        <f>SUMIF('AJE LTD'!A:A,'TB LTD 2021'!B192,'AJE LTD'!C:C)</f>
        <v>0</v>
      </c>
      <c r="F192" s="258">
        <f t="shared" si="27"/>
        <v>-945.88</v>
      </c>
      <c r="G192" s="274">
        <v>-304.33999999999997</v>
      </c>
      <c r="H192" s="255">
        <f>SUMIF('AJE LTD'!A:A,'TB LTD 2021'!B192,'AJE LTD'!D:D)</f>
        <v>0</v>
      </c>
      <c r="I192" s="258">
        <f t="shared" si="25"/>
        <v>-304.33999999999997</v>
      </c>
      <c r="J192" s="212"/>
      <c r="K192" s="274"/>
      <c r="M192" s="248">
        <v>70028</v>
      </c>
      <c r="N192" s="248" t="s">
        <v>53</v>
      </c>
      <c r="O192" s="248">
        <v>2084.56</v>
      </c>
      <c r="P192" s="35">
        <f t="shared" si="26"/>
        <v>-25280.44</v>
      </c>
      <c r="Q192">
        <v>200014</v>
      </c>
      <c r="R192">
        <v>0</v>
      </c>
      <c r="S192">
        <f t="shared" si="24"/>
        <v>0</v>
      </c>
      <c r="T192">
        <f t="shared" si="20"/>
        <v>0</v>
      </c>
    </row>
    <row r="193" spans="1:20" hidden="1" x14ac:dyDescent="0.25">
      <c r="A193">
        <v>55</v>
      </c>
      <c r="B193" s="213">
        <v>71101</v>
      </c>
      <c r="C193" t="s">
        <v>863</v>
      </c>
      <c r="D193" s="274">
        <v>240</v>
      </c>
      <c r="E193" s="255">
        <f>SUMIF('AJE LTD'!A:A,'TB LTD 2021'!B193,'AJE LTD'!C:C)</f>
        <v>0</v>
      </c>
      <c r="F193" s="258">
        <f t="shared" si="27"/>
        <v>240</v>
      </c>
      <c r="G193" s="274">
        <v>74.38</v>
      </c>
      <c r="H193" s="255">
        <f>SUMIF('AJE LTD'!A:A,'TB LTD 2021'!B193,'AJE LTD'!D:D)</f>
        <v>0</v>
      </c>
      <c r="I193" s="258">
        <f t="shared" si="25"/>
        <v>74.38</v>
      </c>
      <c r="J193" s="212"/>
      <c r="K193" s="274"/>
      <c r="M193" s="248">
        <v>70029</v>
      </c>
      <c r="N193" s="248" t="s">
        <v>54</v>
      </c>
      <c r="O193" s="248">
        <v>22394.13</v>
      </c>
      <c r="P193" s="35">
        <f t="shared" si="26"/>
        <v>-20999.87</v>
      </c>
      <c r="Q193">
        <v>200067</v>
      </c>
      <c r="R193">
        <v>1943.39</v>
      </c>
      <c r="S193">
        <f t="shared" si="24"/>
        <v>0</v>
      </c>
      <c r="T193">
        <f t="shared" si="20"/>
        <v>-1943.39</v>
      </c>
    </row>
    <row r="194" spans="1:20" hidden="1" x14ac:dyDescent="0.25">
      <c r="A194">
        <v>55</v>
      </c>
      <c r="B194" s="213">
        <v>71106</v>
      </c>
      <c r="C194" t="s">
        <v>615</v>
      </c>
      <c r="D194" s="274">
        <v>2770</v>
      </c>
      <c r="E194" s="255">
        <f>SUMIF('AJE LTD'!A:A,'TB LTD 2021'!B194,'AJE LTD'!C:C)</f>
        <v>0</v>
      </c>
      <c r="F194" s="258">
        <f t="shared" si="27"/>
        <v>2770</v>
      </c>
      <c r="G194" s="274">
        <v>851.44</v>
      </c>
      <c r="H194" s="255">
        <f>SUMIF('AJE LTD'!A:A,'TB LTD 2021'!B194,'AJE LTD'!D:D)</f>
        <v>0</v>
      </c>
      <c r="I194" s="258">
        <f t="shared" ref="I194:I200" si="28">SUM(G194:H194)</f>
        <v>851.44</v>
      </c>
      <c r="J194" s="212"/>
      <c r="K194" s="274"/>
      <c r="M194" s="248">
        <v>70031</v>
      </c>
      <c r="N194" s="248" t="s">
        <v>679</v>
      </c>
      <c r="O194" s="248">
        <v>30712.23</v>
      </c>
      <c r="P194" s="35">
        <f t="shared" si="26"/>
        <v>19847.23</v>
      </c>
      <c r="Q194">
        <v>200076</v>
      </c>
      <c r="R194">
        <v>0</v>
      </c>
      <c r="S194">
        <f t="shared" si="24"/>
        <v>-37294.43</v>
      </c>
      <c r="T194">
        <f t="shared" si="20"/>
        <v>-37294.43</v>
      </c>
    </row>
    <row r="195" spans="1:20" hidden="1" x14ac:dyDescent="0.25">
      <c r="A195">
        <v>55</v>
      </c>
      <c r="B195" s="213">
        <v>71107</v>
      </c>
      <c r="C195" t="s">
        <v>67</v>
      </c>
      <c r="D195" s="274">
        <v>4052</v>
      </c>
      <c r="E195" s="255">
        <f>SUMIF('AJE LTD'!A:A,'TB LTD 2021'!B195,'AJE LTD'!C:C)</f>
        <v>0</v>
      </c>
      <c r="F195" s="258">
        <f t="shared" si="27"/>
        <v>4052</v>
      </c>
      <c r="G195" s="274">
        <v>1254.8</v>
      </c>
      <c r="H195" s="255">
        <f>SUMIF('AJE LTD'!A:A,'TB LTD 2021'!B195,'AJE LTD'!D:D)</f>
        <v>0</v>
      </c>
      <c r="I195" s="258">
        <f t="shared" si="28"/>
        <v>1254.8</v>
      </c>
      <c r="J195" s="212"/>
      <c r="K195" s="274"/>
      <c r="M195" s="248">
        <v>70035</v>
      </c>
      <c r="N195" s="248" t="s">
        <v>56</v>
      </c>
      <c r="O195" s="248">
        <v>288.02999999999997</v>
      </c>
      <c r="P195" s="35">
        <f t="shared" si="26"/>
        <v>-22433.97</v>
      </c>
      <c r="Q195">
        <v>200084</v>
      </c>
      <c r="R195">
        <v>218.35</v>
      </c>
      <c r="S195">
        <f t="shared" si="24"/>
        <v>0</v>
      </c>
      <c r="T195">
        <f t="shared" ref="T195:T258" si="29">S195-R195</f>
        <v>-218.35</v>
      </c>
    </row>
    <row r="196" spans="1:20" hidden="1" x14ac:dyDescent="0.25">
      <c r="A196">
        <v>55</v>
      </c>
      <c r="B196" s="213">
        <v>71199</v>
      </c>
      <c r="C196" t="s">
        <v>680</v>
      </c>
      <c r="D196" s="274">
        <v>-7062</v>
      </c>
      <c r="E196" s="255">
        <f>SUMIF('AJE LTD'!A:A,'TB LTD 2021'!B196,'AJE LTD'!C:C)</f>
        <v>0</v>
      </c>
      <c r="F196" s="258">
        <f t="shared" si="27"/>
        <v>-7062</v>
      </c>
      <c r="G196" s="274">
        <v>-2180.6</v>
      </c>
      <c r="H196" s="255">
        <f>SUMIF('AJE LTD'!A:A,'TB LTD 2021'!B196,'AJE LTD'!D:D)</f>
        <v>0</v>
      </c>
      <c r="I196" s="258">
        <f t="shared" si="28"/>
        <v>-2180.6</v>
      </c>
      <c r="J196" s="212"/>
      <c r="K196" s="274"/>
      <c r="M196" s="248">
        <v>70036</v>
      </c>
      <c r="N196" s="248" t="s">
        <v>57</v>
      </c>
      <c r="O196" s="248">
        <v>602</v>
      </c>
      <c r="P196" s="35">
        <f t="shared" si="26"/>
        <v>1547.88</v>
      </c>
      <c r="Q196">
        <v>200089</v>
      </c>
      <c r="R196">
        <v>0</v>
      </c>
      <c r="S196">
        <f t="shared" si="24"/>
        <v>0</v>
      </c>
      <c r="T196">
        <f t="shared" si="29"/>
        <v>0</v>
      </c>
    </row>
    <row r="197" spans="1:20" hidden="1" x14ac:dyDescent="0.25">
      <c r="A197">
        <v>55</v>
      </c>
      <c r="B197" s="213">
        <v>74000</v>
      </c>
      <c r="C197" t="s">
        <v>681</v>
      </c>
      <c r="D197" s="274">
        <v>41785.949999999997</v>
      </c>
      <c r="E197" s="255">
        <f>SUMIF('AJE LTD'!A:A,'TB LTD 2021'!B197,'AJE LTD'!C:C)</f>
        <v>0</v>
      </c>
      <c r="F197" s="258">
        <f t="shared" si="27"/>
        <v>41785.949999999997</v>
      </c>
      <c r="G197" s="274">
        <v>12127.58</v>
      </c>
      <c r="H197" s="255">
        <f>SUMIF('AJE LTD'!A:A,'TB LTD 2021'!B197,'AJE LTD'!D:D)</f>
        <v>0</v>
      </c>
      <c r="I197" s="258">
        <f t="shared" si="28"/>
        <v>12127.58</v>
      </c>
      <c r="J197" s="212"/>
      <c r="K197" s="274"/>
      <c r="M197" s="248">
        <v>70037</v>
      </c>
      <c r="N197" s="248" t="s">
        <v>58</v>
      </c>
      <c r="O197" s="248">
        <v>4727.16</v>
      </c>
      <c r="P197" s="35">
        <f t="shared" si="26"/>
        <v>4487.16</v>
      </c>
      <c r="Q197">
        <v>200092</v>
      </c>
      <c r="R197">
        <v>2250</v>
      </c>
      <c r="S197">
        <f t="shared" si="24"/>
        <v>-172.35</v>
      </c>
      <c r="T197">
        <f t="shared" si="29"/>
        <v>-2422.35</v>
      </c>
    </row>
    <row r="198" spans="1:20" hidden="1" x14ac:dyDescent="0.25">
      <c r="A198">
        <v>55</v>
      </c>
      <c r="B198" s="213">
        <v>74001</v>
      </c>
      <c r="C198" t="s">
        <v>728</v>
      </c>
      <c r="D198" s="274">
        <v>1848.98</v>
      </c>
      <c r="E198" s="255">
        <f>SUMIF('AJE LTD'!A:A,'TB LTD 2021'!B198,'AJE LTD'!C:C)</f>
        <v>0</v>
      </c>
      <c r="F198" s="258">
        <f t="shared" si="27"/>
        <v>1848.98</v>
      </c>
      <c r="G198" s="274">
        <v>536.67999999999995</v>
      </c>
      <c r="H198" s="255">
        <f>SUMIF('AJE LTD'!A:A,'TB LTD 2021'!B198,'AJE LTD'!D:D)</f>
        <v>0</v>
      </c>
      <c r="I198" s="258">
        <f t="shared" si="28"/>
        <v>536.67999999999995</v>
      </c>
      <c r="J198" s="212"/>
      <c r="K198" s="274"/>
      <c r="M198" s="248">
        <v>70038</v>
      </c>
      <c r="N198" s="248" t="s">
        <v>607</v>
      </c>
      <c r="O198" s="248">
        <v>72</v>
      </c>
      <c r="P198" s="35">
        <f t="shared" si="26"/>
        <v>-2698</v>
      </c>
      <c r="Q198">
        <v>200097</v>
      </c>
      <c r="R198">
        <v>0</v>
      </c>
      <c r="S198">
        <f t="shared" si="24"/>
        <v>0</v>
      </c>
      <c r="T198">
        <f t="shared" si="29"/>
        <v>0</v>
      </c>
    </row>
    <row r="199" spans="1:20" hidden="1" x14ac:dyDescent="0.25">
      <c r="A199">
        <v>55</v>
      </c>
      <c r="B199" s="213">
        <v>74002</v>
      </c>
      <c r="C199" t="s">
        <v>69</v>
      </c>
      <c r="D199" s="274">
        <v>2352.1999999999998</v>
      </c>
      <c r="E199" s="255">
        <f>SUMIF('AJE LTD'!A:A,'TB LTD 2021'!B199,'AJE LTD'!C:C)</f>
        <v>0</v>
      </c>
      <c r="F199" s="258">
        <f t="shared" si="27"/>
        <v>2352.1999999999998</v>
      </c>
      <c r="G199" s="274">
        <v>709.68</v>
      </c>
      <c r="H199" s="255">
        <f>SUMIF('AJE LTD'!A:A,'TB LTD 2021'!B199,'AJE LTD'!D:D)</f>
        <v>0</v>
      </c>
      <c r="I199" s="258">
        <f t="shared" si="28"/>
        <v>709.68</v>
      </c>
      <c r="J199" s="212"/>
      <c r="K199" s="274"/>
      <c r="M199" s="248">
        <v>70040</v>
      </c>
      <c r="N199" s="248" t="s">
        <v>608</v>
      </c>
      <c r="O199" s="248">
        <v>42470.94</v>
      </c>
      <c r="P199" s="35">
        <f t="shared" si="26"/>
        <v>38418.94</v>
      </c>
      <c r="Q199">
        <v>200099</v>
      </c>
      <c r="R199">
        <v>0</v>
      </c>
      <c r="S199">
        <f t="shared" si="24"/>
        <v>744.37</v>
      </c>
      <c r="T199">
        <f t="shared" si="29"/>
        <v>744.37</v>
      </c>
    </row>
    <row r="200" spans="1:20" hidden="1" x14ac:dyDescent="0.25">
      <c r="A200">
        <v>55</v>
      </c>
      <c r="B200" s="213">
        <v>74003</v>
      </c>
      <c r="C200" t="s">
        <v>731</v>
      </c>
      <c r="D200" s="274">
        <v>6853.29</v>
      </c>
      <c r="E200" s="255">
        <f>SUMIF('AJE LTD'!A:A,'TB LTD 2021'!B200,'AJE LTD'!C:C)</f>
        <v>0</v>
      </c>
      <c r="F200" s="258">
        <f t="shared" si="27"/>
        <v>6853.29</v>
      </c>
      <c r="G200" s="274">
        <v>2124.6</v>
      </c>
      <c r="H200" s="255">
        <f>SUMIF('AJE LTD'!A:A,'TB LTD 2021'!B200,'AJE LTD'!D:D)</f>
        <v>0</v>
      </c>
      <c r="I200" s="258">
        <f t="shared" si="28"/>
        <v>2124.6</v>
      </c>
      <c r="J200" s="212"/>
      <c r="K200" s="274"/>
      <c r="M200" s="248">
        <v>70041</v>
      </c>
      <c r="N200" s="248" t="s">
        <v>609</v>
      </c>
      <c r="O200" s="248">
        <v>21247.01</v>
      </c>
      <c r="P200" s="35">
        <f t="shared" si="26"/>
        <v>28309.01</v>
      </c>
      <c r="Q200">
        <v>200065</v>
      </c>
      <c r="R200">
        <v>0</v>
      </c>
      <c r="S200">
        <f t="shared" si="24"/>
        <v>0</v>
      </c>
      <c r="T200">
        <f t="shared" si="29"/>
        <v>0</v>
      </c>
    </row>
    <row r="201" spans="1:20" hidden="1" x14ac:dyDescent="0.25">
      <c r="A201">
        <v>55</v>
      </c>
      <c r="B201" s="213">
        <v>90000</v>
      </c>
      <c r="C201" t="s">
        <v>682</v>
      </c>
      <c r="D201" s="274">
        <v>9211.83</v>
      </c>
      <c r="E201" s="255">
        <f>SUMIF('AJE LTD'!A:A,'TB LTD 2021'!B201,'AJE LTD'!C:C)</f>
        <v>0</v>
      </c>
      <c r="F201" s="258">
        <f t="shared" si="27"/>
        <v>9211.83</v>
      </c>
      <c r="G201" s="274">
        <v>2824.93</v>
      </c>
      <c r="H201" s="255">
        <f>SUMIF('AJE LTD'!A:A,'TB LTD 2021'!B201,'AJE LTD'!D:D)</f>
        <v>0</v>
      </c>
      <c r="I201" s="258">
        <f t="shared" ref="I201:I225" si="30">SUM(G201:H201)</f>
        <v>2824.93</v>
      </c>
      <c r="J201" s="212"/>
      <c r="K201" s="328"/>
      <c r="M201" s="248">
        <v>70042</v>
      </c>
      <c r="N201" s="248" t="s">
        <v>610</v>
      </c>
      <c r="O201" s="248">
        <v>1645.43</v>
      </c>
      <c r="P201" s="35">
        <f t="shared" si="26"/>
        <v>-40140.519999999997</v>
      </c>
      <c r="Q201">
        <v>200086</v>
      </c>
      <c r="R201">
        <v>0</v>
      </c>
      <c r="S201">
        <f t="shared" si="24"/>
        <v>-5313.03</v>
      </c>
      <c r="T201">
        <f t="shared" si="29"/>
        <v>-5313.03</v>
      </c>
    </row>
    <row r="202" spans="1:20" hidden="1" x14ac:dyDescent="0.25">
      <c r="A202">
        <v>56</v>
      </c>
      <c r="B202" s="213">
        <v>90002</v>
      </c>
      <c r="C202" t="s">
        <v>642</v>
      </c>
      <c r="D202" s="274">
        <v>-484693.59</v>
      </c>
      <c r="E202" s="255">
        <f>SUMIF('AJE LTD'!A:A,'TB LTD 2021'!B202,'AJE LTD'!C:C)</f>
        <v>488668.63000000006</v>
      </c>
      <c r="F202" s="258">
        <f t="shared" si="27"/>
        <v>3975.0400000000373</v>
      </c>
      <c r="G202" s="274">
        <v>-26389.03</v>
      </c>
      <c r="H202" s="255">
        <f>SUMIF('AJE LTD'!A:A,'TB LTD 2021'!B202,'AJE LTD'!D:D)</f>
        <v>91.2</v>
      </c>
      <c r="I202" s="258">
        <f t="shared" si="30"/>
        <v>-26297.829999999998</v>
      </c>
      <c r="J202" s="212"/>
      <c r="K202" s="274"/>
      <c r="M202" s="248">
        <v>70044</v>
      </c>
      <c r="N202" s="248" t="s">
        <v>611</v>
      </c>
      <c r="O202" s="248">
        <v>3200</v>
      </c>
      <c r="P202" s="35">
        <f t="shared" si="26"/>
        <v>1351.02</v>
      </c>
      <c r="Q202">
        <v>200087</v>
      </c>
      <c r="R202">
        <v>40.99</v>
      </c>
      <c r="S202">
        <f t="shared" si="24"/>
        <v>0</v>
      </c>
      <c r="T202">
        <f t="shared" si="29"/>
        <v>-40.99</v>
      </c>
    </row>
    <row r="203" spans="1:20" hidden="1" x14ac:dyDescent="0.25">
      <c r="A203">
        <v>56</v>
      </c>
      <c r="B203" s="213">
        <v>90006</v>
      </c>
      <c r="C203" t="s">
        <v>684</v>
      </c>
      <c r="D203" s="274">
        <v>1483.2</v>
      </c>
      <c r="E203" s="255">
        <f>SUMIF('AJE LTD'!A:A,'TB LTD 2021'!B203,'AJE LTD'!C:C)</f>
        <v>0</v>
      </c>
      <c r="F203" s="258">
        <f t="shared" si="27"/>
        <v>1483.2</v>
      </c>
      <c r="G203" s="274">
        <v>460.86</v>
      </c>
      <c r="H203" s="255">
        <f>SUMIF('AJE LTD'!A:A,'TB LTD 2021'!B203,'AJE LTD'!D:D)</f>
        <v>0</v>
      </c>
      <c r="I203" s="258">
        <f t="shared" si="30"/>
        <v>460.86</v>
      </c>
      <c r="J203" s="212"/>
      <c r="K203" s="274"/>
      <c r="M203" s="248">
        <v>70045</v>
      </c>
      <c r="N203" s="248" t="s">
        <v>612</v>
      </c>
      <c r="O203" s="248">
        <v>599.28</v>
      </c>
      <c r="P203" s="35">
        <f t="shared" si="26"/>
        <v>-1752.9199999999998</v>
      </c>
      <c r="Q203">
        <v>21000</v>
      </c>
      <c r="R203">
        <v>0</v>
      </c>
      <c r="S203">
        <f t="shared" si="24"/>
        <v>0</v>
      </c>
      <c r="T203">
        <f t="shared" si="29"/>
        <v>0</v>
      </c>
    </row>
    <row r="204" spans="1:20" hidden="1" x14ac:dyDescent="0.25">
      <c r="A204">
        <v>56</v>
      </c>
      <c r="B204" s="213">
        <v>90008</v>
      </c>
      <c r="C204" t="s">
        <v>864</v>
      </c>
      <c r="D204" s="274">
        <v>-8.8000000000000007</v>
      </c>
      <c r="E204" s="255">
        <f>SUMIF('AJE LTD'!A:A,'TB LTD 2021'!B204,'AJE LTD'!C:C)</f>
        <v>0</v>
      </c>
      <c r="F204" s="258">
        <f t="shared" si="27"/>
        <v>-8.8000000000000007</v>
      </c>
      <c r="G204" s="274">
        <v>-2.72</v>
      </c>
      <c r="H204" s="255">
        <f>SUMIF('AJE LTD'!A:A,'TB LTD 2021'!B204,'AJE LTD'!D:D)</f>
        <v>0</v>
      </c>
      <c r="I204" s="258">
        <f t="shared" si="30"/>
        <v>-2.72</v>
      </c>
      <c r="J204" s="212"/>
      <c r="K204" s="274"/>
      <c r="M204" s="249">
        <v>70046</v>
      </c>
      <c r="N204" s="249" t="s">
        <v>613</v>
      </c>
      <c r="O204" s="249">
        <v>88.59</v>
      </c>
      <c r="P204" s="35">
        <f t="shared" si="26"/>
        <v>-6764.7</v>
      </c>
      <c r="Q204">
        <v>30023</v>
      </c>
      <c r="R204">
        <v>-67755.570000000007</v>
      </c>
      <c r="S204">
        <f t="shared" si="24"/>
        <v>0</v>
      </c>
      <c r="T204">
        <f t="shared" si="29"/>
        <v>67755.570000000007</v>
      </c>
    </row>
    <row r="205" spans="1:20" hidden="1" x14ac:dyDescent="0.25">
      <c r="A205">
        <v>56</v>
      </c>
      <c r="B205" s="213">
        <v>99999</v>
      </c>
      <c r="C205" t="s">
        <v>71</v>
      </c>
      <c r="D205" s="274">
        <v>158.94999999999999</v>
      </c>
      <c r="E205" s="255">
        <f>SUMIF('AJE LTD'!A:A,'TB LTD 2021'!B205,'AJE LTD'!C:C)</f>
        <v>0</v>
      </c>
      <c r="F205" s="258">
        <f t="shared" si="27"/>
        <v>158.94999999999999</v>
      </c>
      <c r="G205" s="274">
        <v>49.25</v>
      </c>
      <c r="H205" s="255">
        <f>SUMIF('AJE LTD'!A:A,'TB LTD 2021'!B205,'AJE LTD'!D:D)</f>
        <v>0</v>
      </c>
      <c r="I205" s="258">
        <f t="shared" si="30"/>
        <v>49.25</v>
      </c>
      <c r="J205" s="212"/>
      <c r="K205" s="274"/>
      <c r="M205" s="248">
        <v>71000</v>
      </c>
      <c r="N205" s="248" t="s">
        <v>59</v>
      </c>
      <c r="O205" s="248">
        <v>434843</v>
      </c>
      <c r="P205" s="35">
        <f t="shared" si="26"/>
        <v>425631.17</v>
      </c>
      <c r="Q205">
        <v>40100</v>
      </c>
      <c r="R205">
        <v>-330.1</v>
      </c>
      <c r="S205">
        <f t="shared" si="24"/>
        <v>0</v>
      </c>
      <c r="T205">
        <f t="shared" si="29"/>
        <v>330.1</v>
      </c>
    </row>
    <row r="206" spans="1:20" hidden="1" x14ac:dyDescent="0.25">
      <c r="A206">
        <v>56</v>
      </c>
      <c r="B206" t="s">
        <v>112</v>
      </c>
      <c r="C206" t="s">
        <v>865</v>
      </c>
      <c r="D206" s="30"/>
      <c r="E206" s="255">
        <f>SUMIF('AJE LTD'!A:A,'TB LTD 2021'!B206,'AJE LTD'!C:C)</f>
        <v>2080</v>
      </c>
      <c r="F206" s="258">
        <f>SUM(D206:E206)</f>
        <v>2080</v>
      </c>
      <c r="G206" s="30"/>
      <c r="H206" s="255">
        <f>SUMIF('AJE LTD'!A:A,'TB LTD 2021'!B206,'AJE LTD'!D:D)</f>
        <v>669</v>
      </c>
      <c r="I206" s="258">
        <f>SUM(G206:H206)</f>
        <v>669</v>
      </c>
      <c r="J206" s="212"/>
      <c r="K206" s="274"/>
      <c r="M206" s="248">
        <v>71001</v>
      </c>
      <c r="N206" s="248" t="s">
        <v>60</v>
      </c>
      <c r="O206" s="248">
        <v>30568</v>
      </c>
      <c r="P206" s="35">
        <f t="shared" si="26"/>
        <v>515261.59</v>
      </c>
      <c r="Q206">
        <v>40101</v>
      </c>
      <c r="R206">
        <v>-105</v>
      </c>
      <c r="S206">
        <f t="shared" si="24"/>
        <v>0</v>
      </c>
      <c r="T206">
        <f t="shared" si="29"/>
        <v>105</v>
      </c>
    </row>
    <row r="207" spans="1:20" hidden="1" x14ac:dyDescent="0.25">
      <c r="A207">
        <v>53</v>
      </c>
      <c r="B207" t="s">
        <v>113</v>
      </c>
      <c r="C207" s="273" t="s">
        <v>869</v>
      </c>
      <c r="E207" s="255">
        <f>SUMIF('AJE LTD'!A:A,'TB LTD 2021'!B207,'AJE LTD'!C:C)</f>
        <v>119462.70949237955</v>
      </c>
      <c r="F207" s="258">
        <f>SUM(D207:E207)</f>
        <v>119462.70949237955</v>
      </c>
      <c r="H207" s="255">
        <f>SUMIF('AJE LTD'!A:A,'TB LTD 2021'!B207,'AJE LTD'!D:D)</f>
        <v>36993.376116303705</v>
      </c>
      <c r="I207" s="258">
        <f>SUM(G207:H207)</f>
        <v>36993.376116303705</v>
      </c>
      <c r="J207" s="212"/>
      <c r="K207" s="274"/>
      <c r="M207" s="248">
        <v>71002</v>
      </c>
      <c r="N207" s="248" t="s">
        <v>61</v>
      </c>
      <c r="O207" s="248">
        <v>22332</v>
      </c>
      <c r="P207" s="35">
        <f t="shared" si="26"/>
        <v>20848.8</v>
      </c>
      <c r="Q207">
        <v>50110</v>
      </c>
      <c r="R207">
        <v>-16652.2</v>
      </c>
      <c r="S207">
        <f t="shared" si="24"/>
        <v>2397.38</v>
      </c>
      <c r="T207">
        <f t="shared" si="29"/>
        <v>19049.580000000002</v>
      </c>
    </row>
    <row r="208" spans="1:20" hidden="1" x14ac:dyDescent="0.25">
      <c r="A208">
        <v>54</v>
      </c>
      <c r="B208" t="s">
        <v>736</v>
      </c>
      <c r="C208" s="273" t="s">
        <v>870</v>
      </c>
      <c r="E208" s="255">
        <f>SUMIF('AJE LTD'!A:A,'TB LTD 2021'!B208,'AJE LTD'!C:C)</f>
        <v>4208.8112839352789</v>
      </c>
      <c r="F208" s="258">
        <f>SUM(D208:E208)</f>
        <v>4208.8112839352789</v>
      </c>
      <c r="H208" s="255">
        <f>SUMIF('AJE LTD'!A:A,'TB LTD 2021'!B208,'AJE LTD'!D:D)</f>
        <v>1303.3200024572752</v>
      </c>
      <c r="I208" s="258">
        <f>SUM(G208:H208)</f>
        <v>1303.3200024572752</v>
      </c>
      <c r="J208" s="212"/>
      <c r="K208" s="274"/>
      <c r="M208" s="248">
        <v>71003</v>
      </c>
      <c r="N208" s="248" t="s">
        <v>62</v>
      </c>
      <c r="O208" s="248">
        <v>35738</v>
      </c>
      <c r="P208" s="35">
        <f t="shared" ref="P208:P223" si="31">O208-D204</f>
        <v>35746.800000000003</v>
      </c>
      <c r="Q208">
        <v>50120</v>
      </c>
      <c r="R208">
        <v>115127.05</v>
      </c>
      <c r="S208">
        <f t="shared" si="24"/>
        <v>0</v>
      </c>
      <c r="T208">
        <f t="shared" si="29"/>
        <v>-115127.05</v>
      </c>
    </row>
    <row r="209" spans="1:20" hidden="1" x14ac:dyDescent="0.25">
      <c r="A209">
        <v>55</v>
      </c>
      <c r="B209" t="s">
        <v>873</v>
      </c>
      <c r="C209" s="273" t="s">
        <v>871</v>
      </c>
      <c r="E209" s="255">
        <f>SUMIF('AJE LTD'!A:A,'TB LTD 2021'!B209,'AJE LTD'!C:C)</f>
        <v>6362.7701910936903</v>
      </c>
      <c r="F209" s="258">
        <f>SUM(D209:E209)</f>
        <v>6362.7701910936903</v>
      </c>
      <c r="H209" s="255">
        <f>SUMIF('AJE LTD'!A:A,'TB LTD 2021'!B209,'AJE LTD'!D:D)</f>
        <v>1970.3248973751868</v>
      </c>
      <c r="I209" s="258">
        <f>SUM(G209:H209)</f>
        <v>1970.3248973751868</v>
      </c>
      <c r="J209" s="212"/>
      <c r="K209" s="274"/>
      <c r="M209" s="248">
        <v>71004</v>
      </c>
      <c r="N209" s="248" t="s">
        <v>63</v>
      </c>
      <c r="O209" s="248">
        <v>5550</v>
      </c>
      <c r="P209" s="35">
        <f t="shared" si="31"/>
        <v>5391.05</v>
      </c>
      <c r="Q209">
        <v>50123</v>
      </c>
      <c r="R209">
        <v>139.68</v>
      </c>
      <c r="S209">
        <f t="shared" si="24"/>
        <v>0</v>
      </c>
      <c r="T209">
        <f t="shared" si="29"/>
        <v>-139.68</v>
      </c>
    </row>
    <row r="210" spans="1:20" hidden="1" x14ac:dyDescent="0.25">
      <c r="A210">
        <v>53</v>
      </c>
      <c r="B210" t="s">
        <v>934</v>
      </c>
      <c r="C210" s="273" t="s">
        <v>930</v>
      </c>
      <c r="E210" s="255">
        <f>SUMIF('AJE LTD'!A:A,'TB LTD 2021'!B210,'AJE LTD'!C:C)</f>
        <v>256287.19374999998</v>
      </c>
      <c r="F210" s="258">
        <f t="shared" ref="F210:F222" si="32">SUM(D210:E210)</f>
        <v>256287.19374999998</v>
      </c>
      <c r="H210" s="255">
        <f>SUMIF('AJE LTD'!A:A,'TB LTD 2021'!B210,'AJE LTD'!D:D)</f>
        <v>78920.731249999983</v>
      </c>
      <c r="I210" s="258">
        <f t="shared" ref="I210:I222" si="33">SUM(G210:H210)</f>
        <v>78920.731249999983</v>
      </c>
      <c r="J210" s="212"/>
      <c r="K210" s="274"/>
      <c r="M210" s="248">
        <v>71005</v>
      </c>
      <c r="N210" s="248" t="s">
        <v>64</v>
      </c>
      <c r="O210" s="248">
        <v>14136</v>
      </c>
      <c r="P210" s="35" t="e">
        <f>O210-#REF!</f>
        <v>#REF!</v>
      </c>
      <c r="Q210">
        <v>50124</v>
      </c>
      <c r="R210">
        <v>624</v>
      </c>
      <c r="S210">
        <f t="shared" si="24"/>
        <v>0</v>
      </c>
      <c r="T210">
        <f t="shared" si="29"/>
        <v>-624</v>
      </c>
    </row>
    <row r="211" spans="1:20" hidden="1" x14ac:dyDescent="0.25">
      <c r="A211">
        <v>54</v>
      </c>
      <c r="B211" t="s">
        <v>935</v>
      </c>
      <c r="C211" s="273" t="s">
        <v>931</v>
      </c>
      <c r="E211" s="255">
        <f>SUMIF('AJE LTD'!A:A,'TB LTD 2021'!B211,'AJE LTD'!C:C)</f>
        <v>102514.87749999999</v>
      </c>
      <c r="F211" s="258">
        <f t="shared" si="32"/>
        <v>102514.87749999999</v>
      </c>
      <c r="H211" s="255">
        <f>SUMIF('AJE LTD'!A:A,'TB LTD 2021'!B211,'AJE LTD'!D:D)</f>
        <v>31568.292499999996</v>
      </c>
      <c r="I211" s="258">
        <f t="shared" si="33"/>
        <v>31568.292499999996</v>
      </c>
      <c r="J211" s="212"/>
      <c r="K211" s="274"/>
      <c r="M211" s="249">
        <v>71096</v>
      </c>
      <c r="N211" s="249" t="s">
        <v>614</v>
      </c>
      <c r="O211" s="249">
        <v>945</v>
      </c>
      <c r="P211" s="35" t="e">
        <f>O211-#REF!</f>
        <v>#REF!</v>
      </c>
      <c r="Q211">
        <v>50125</v>
      </c>
      <c r="R211">
        <v>2370</v>
      </c>
      <c r="S211">
        <f t="shared" si="24"/>
        <v>0</v>
      </c>
      <c r="T211">
        <f t="shared" si="29"/>
        <v>-2370</v>
      </c>
    </row>
    <row r="212" spans="1:20" hidden="1" x14ac:dyDescent="0.25">
      <c r="A212">
        <v>55</v>
      </c>
      <c r="B212" t="s">
        <v>936</v>
      </c>
      <c r="C212" s="273" t="s">
        <v>932</v>
      </c>
      <c r="E212" s="255">
        <f>SUMIF('AJE LTD'!A:A,'TB LTD 2021'!B212,'AJE LTD'!C:C)</f>
        <v>-358802.07124999998</v>
      </c>
      <c r="F212" s="258">
        <f t="shared" si="32"/>
        <v>-358802.07124999998</v>
      </c>
      <c r="H212" s="255">
        <f>SUMIF('AJE LTD'!A:A,'TB LTD 2021'!B212,'AJE LTD'!D:D)</f>
        <v>-110489.02374999998</v>
      </c>
      <c r="I212" s="258">
        <f t="shared" si="33"/>
        <v>-110489.02374999998</v>
      </c>
      <c r="J212" s="212"/>
      <c r="K212" s="274"/>
      <c r="M212" s="248">
        <v>71099</v>
      </c>
      <c r="N212" s="248" t="s">
        <v>65</v>
      </c>
      <c r="O212" s="248">
        <v>16198.75</v>
      </c>
      <c r="P212" s="35">
        <f>O212-D206</f>
        <v>16198.75</v>
      </c>
      <c r="Q212">
        <v>50126</v>
      </c>
      <c r="R212">
        <v>306.25</v>
      </c>
      <c r="S212">
        <f t="shared" si="24"/>
        <v>0</v>
      </c>
      <c r="T212">
        <f t="shared" si="29"/>
        <v>-306.25</v>
      </c>
    </row>
    <row r="213" spans="1:20" hidden="1" x14ac:dyDescent="0.25">
      <c r="A213">
        <v>31</v>
      </c>
      <c r="B213" t="s">
        <v>1038</v>
      </c>
      <c r="C213" s="216" t="s">
        <v>1039</v>
      </c>
      <c r="E213" s="255">
        <f>SUMIF('AJE LTD'!A:A,'TB LTD 2021'!B213,'AJE LTD'!C:C)</f>
        <v>0</v>
      </c>
      <c r="F213" s="258">
        <f t="shared" si="32"/>
        <v>0</v>
      </c>
      <c r="H213" s="255">
        <f>SUMIF('AJE LTD'!A:A,'TB LTD 2021'!B213,'AJE LTD'!D:D)</f>
        <v>-59650</v>
      </c>
      <c r="I213" s="258">
        <f t="shared" si="33"/>
        <v>-59650</v>
      </c>
      <c r="J213" s="212"/>
      <c r="K213" s="274"/>
      <c r="M213" s="248">
        <v>71103</v>
      </c>
      <c r="N213" s="248" t="s">
        <v>66</v>
      </c>
      <c r="O213" s="248">
        <v>3277</v>
      </c>
      <c r="P213" s="35">
        <f>O213-D207</f>
        <v>3277</v>
      </c>
      <c r="Q213">
        <v>50127</v>
      </c>
      <c r="R213">
        <v>145.94999999999999</v>
      </c>
      <c r="S213">
        <f t="shared" si="24"/>
        <v>0</v>
      </c>
      <c r="T213">
        <f t="shared" si="29"/>
        <v>-145.94999999999999</v>
      </c>
    </row>
    <row r="214" spans="1:20" hidden="1" x14ac:dyDescent="0.25">
      <c r="C214" s="216"/>
      <c r="E214" s="255">
        <f>SUMIF('AJE LTD'!A:A,'TB LTD 2021'!B214,'AJE LTD'!C:C)</f>
        <v>0</v>
      </c>
      <c r="F214" s="258">
        <f t="shared" si="32"/>
        <v>0</v>
      </c>
      <c r="H214" s="255">
        <f>SUMIF('AJE LTD'!A:A,'TB LTD 2021'!B214,'AJE LTD'!D:D)</f>
        <v>0</v>
      </c>
      <c r="I214" s="258">
        <f t="shared" si="33"/>
        <v>0</v>
      </c>
      <c r="J214" s="212"/>
      <c r="K214" s="274"/>
      <c r="M214" s="248"/>
      <c r="N214" s="248"/>
      <c r="O214" s="248"/>
      <c r="P214" s="35">
        <f>O214-D208</f>
        <v>0</v>
      </c>
      <c r="Q214">
        <v>50129</v>
      </c>
      <c r="R214">
        <v>0</v>
      </c>
      <c r="S214">
        <f t="shared" si="24"/>
        <v>0</v>
      </c>
      <c r="T214">
        <f t="shared" si="29"/>
        <v>0</v>
      </c>
    </row>
    <row r="215" spans="1:20" hidden="1" x14ac:dyDescent="0.25">
      <c r="C215" s="216"/>
      <c r="E215" s="255">
        <f>SUMIF('AJE LTD'!A:A,'TB LTD 2021'!B215,'AJE LTD'!C:C)</f>
        <v>0</v>
      </c>
      <c r="F215" s="258">
        <f t="shared" si="32"/>
        <v>0</v>
      </c>
      <c r="H215" s="255">
        <f>SUMIF('AJE LTD'!A:A,'TB LTD 2021'!B215,'AJE LTD'!D:D)</f>
        <v>0</v>
      </c>
      <c r="I215" s="258">
        <f t="shared" si="33"/>
        <v>0</v>
      </c>
      <c r="J215" s="212"/>
      <c r="K215" s="274"/>
      <c r="M215" s="248">
        <v>71106</v>
      </c>
      <c r="N215" s="248" t="s">
        <v>615</v>
      </c>
      <c r="O215" s="248">
        <v>510</v>
      </c>
      <c r="P215" s="35">
        <f>O215-D209</f>
        <v>510</v>
      </c>
      <c r="Q215">
        <v>50130</v>
      </c>
      <c r="R215">
        <v>2250</v>
      </c>
      <c r="S215">
        <f t="shared" si="24"/>
        <v>0</v>
      </c>
      <c r="T215">
        <f t="shared" si="29"/>
        <v>-2250</v>
      </c>
    </row>
    <row r="216" spans="1:20" hidden="1" x14ac:dyDescent="0.25">
      <c r="C216" s="216"/>
      <c r="E216" s="255">
        <f>SUMIF('AJE LTD'!A:A,'TB LTD 2021'!B216,'AJE LTD'!C:C)</f>
        <v>0</v>
      </c>
      <c r="F216" s="258">
        <f t="shared" si="32"/>
        <v>0</v>
      </c>
      <c r="H216" s="255">
        <f>SUMIF('AJE LTD'!A:A,'TB LTD 2021'!B216,'AJE LTD'!D:D)</f>
        <v>0</v>
      </c>
      <c r="I216" s="258">
        <f t="shared" si="33"/>
        <v>0</v>
      </c>
      <c r="J216" s="212"/>
      <c r="K216" s="274"/>
      <c r="M216" s="248">
        <v>71107</v>
      </c>
      <c r="N216" s="248" t="s">
        <v>67</v>
      </c>
      <c r="O216" s="248">
        <v>4142</v>
      </c>
      <c r="P216" s="35">
        <f t="shared" si="31"/>
        <v>4142</v>
      </c>
      <c r="Q216">
        <v>50131</v>
      </c>
      <c r="R216">
        <v>478.26</v>
      </c>
      <c r="S216">
        <f t="shared" si="24"/>
        <v>0</v>
      </c>
      <c r="T216">
        <f t="shared" si="29"/>
        <v>-478.26</v>
      </c>
    </row>
    <row r="217" spans="1:20" hidden="1" x14ac:dyDescent="0.25">
      <c r="C217" s="216"/>
      <c r="E217" s="255">
        <f>SUMIF('AJE LTD'!A:A,'TB LTD 2021'!B217,'AJE LTD'!C:C)</f>
        <v>0</v>
      </c>
      <c r="F217" s="258">
        <f t="shared" si="32"/>
        <v>0</v>
      </c>
      <c r="H217" s="255">
        <f>SUMIF('AJE LTD'!A:A,'TB LTD 2021'!B217,'AJE LTD'!D:D)</f>
        <v>0</v>
      </c>
      <c r="I217" s="258">
        <f t="shared" si="33"/>
        <v>0</v>
      </c>
      <c r="J217" s="212"/>
      <c r="K217" s="274"/>
      <c r="M217" s="248">
        <v>71109</v>
      </c>
      <c r="N217" s="248" t="s">
        <v>68</v>
      </c>
      <c r="O217" s="248">
        <v>838</v>
      </c>
      <c r="P217" s="35">
        <f t="shared" si="31"/>
        <v>838</v>
      </c>
      <c r="Q217">
        <v>50132</v>
      </c>
      <c r="R217">
        <v>69530.36</v>
      </c>
      <c r="S217">
        <f t="shared" si="24"/>
        <v>0</v>
      </c>
      <c r="T217">
        <f t="shared" si="29"/>
        <v>-69530.36</v>
      </c>
    </row>
    <row r="218" spans="1:20" hidden="1" x14ac:dyDescent="0.25">
      <c r="E218" s="255">
        <f>SUMIF('AJE LTD'!A:A,'TB LTD 2021'!B218,'AJE LTD'!C:C)</f>
        <v>0</v>
      </c>
      <c r="F218" s="258">
        <f t="shared" si="32"/>
        <v>0</v>
      </c>
      <c r="H218" s="255">
        <f>SUMIF('AJE LTD'!A:A,'TB LTD 2021'!B218,'AJE LTD'!D:D)</f>
        <v>0</v>
      </c>
      <c r="I218" s="258">
        <f t="shared" si="33"/>
        <v>0</v>
      </c>
      <c r="J218" s="212"/>
      <c r="K218" s="274"/>
      <c r="M218" s="248">
        <v>71199</v>
      </c>
      <c r="N218" s="248" t="s">
        <v>680</v>
      </c>
      <c r="O218" s="248">
        <v>-8767</v>
      </c>
      <c r="P218" s="35">
        <f t="shared" si="31"/>
        <v>-8767</v>
      </c>
      <c r="Q218">
        <v>51102</v>
      </c>
      <c r="R218">
        <v>118.14</v>
      </c>
      <c r="S218">
        <f t="shared" si="24"/>
        <v>0</v>
      </c>
      <c r="T218">
        <f t="shared" si="29"/>
        <v>-118.14</v>
      </c>
    </row>
    <row r="219" spans="1:20" hidden="1" x14ac:dyDescent="0.25">
      <c r="E219" s="255">
        <f>SUMIF('AJE LTD'!A:A,'TB LTD 2021'!B219,'AJE LTD'!C:C)</f>
        <v>0</v>
      </c>
      <c r="F219" s="258">
        <f t="shared" si="32"/>
        <v>0</v>
      </c>
      <c r="H219" s="255">
        <f>SUMIF('AJE LTD'!A:A,'TB LTD 2021'!B219,'AJE LTD'!D:D)</f>
        <v>0</v>
      </c>
      <c r="I219" s="258">
        <f t="shared" si="33"/>
        <v>0</v>
      </c>
      <c r="J219" s="212"/>
      <c r="K219" s="274"/>
      <c r="M219" s="248">
        <v>73007</v>
      </c>
      <c r="N219" s="248" t="s">
        <v>616</v>
      </c>
      <c r="O219" s="248">
        <v>19641.2</v>
      </c>
      <c r="P219" s="35">
        <f t="shared" si="31"/>
        <v>19641.2</v>
      </c>
      <c r="Q219">
        <v>59001</v>
      </c>
      <c r="R219">
        <v>204.2</v>
      </c>
      <c r="S219">
        <f t="shared" si="24"/>
        <v>0</v>
      </c>
      <c r="T219">
        <f t="shared" si="29"/>
        <v>-204.2</v>
      </c>
    </row>
    <row r="220" spans="1:20" hidden="1" x14ac:dyDescent="0.25">
      <c r="E220" s="255">
        <f>SUMIF('AJE LTD'!A:A,'TB LTD 2021'!B220,'AJE LTD'!C:C)</f>
        <v>0</v>
      </c>
      <c r="F220" s="258">
        <f t="shared" si="32"/>
        <v>0</v>
      </c>
      <c r="H220" s="255">
        <f>SUMIF('AJE LTD'!A:A,'TB LTD 2021'!B220,'AJE LTD'!D:D)</f>
        <v>0</v>
      </c>
      <c r="I220" s="258">
        <f t="shared" si="33"/>
        <v>0</v>
      </c>
      <c r="J220" s="212"/>
      <c r="K220" s="274"/>
      <c r="M220" s="248">
        <v>74000</v>
      </c>
      <c r="N220" s="248" t="s">
        <v>681</v>
      </c>
      <c r="O220" s="248">
        <v>18210.990000000002</v>
      </c>
      <c r="P220" s="35">
        <f t="shared" si="31"/>
        <v>18210.990000000002</v>
      </c>
      <c r="Q220">
        <v>60010</v>
      </c>
      <c r="R220">
        <v>3826.42</v>
      </c>
      <c r="S220">
        <f t="shared" si="24"/>
        <v>0</v>
      </c>
      <c r="T220">
        <f t="shared" si="29"/>
        <v>-3826.42</v>
      </c>
    </row>
    <row r="221" spans="1:20" hidden="1" x14ac:dyDescent="0.25">
      <c r="E221" s="255">
        <f>SUMIF('AJE LTD'!A:A,'TB LTD 2021'!B221,'AJE LTD'!C:C)</f>
        <v>0</v>
      </c>
      <c r="F221" s="258">
        <f t="shared" si="32"/>
        <v>0</v>
      </c>
      <c r="H221" s="255">
        <f>SUMIF('AJE LTD'!A:A,'TB LTD 2021'!B221,'AJE LTD'!D:D)</f>
        <v>0</v>
      </c>
      <c r="I221" s="258">
        <f t="shared" si="33"/>
        <v>0</v>
      </c>
      <c r="J221" s="212"/>
      <c r="K221" s="274"/>
      <c r="M221" s="248">
        <v>74002</v>
      </c>
      <c r="N221" s="248" t="s">
        <v>69</v>
      </c>
      <c r="O221" s="248">
        <v>187.22</v>
      </c>
      <c r="P221" s="35">
        <f t="shared" si="31"/>
        <v>187.22</v>
      </c>
      <c r="Q221">
        <v>60011</v>
      </c>
      <c r="R221">
        <v>11925.73</v>
      </c>
      <c r="S221">
        <f t="shared" si="24"/>
        <v>0</v>
      </c>
      <c r="T221">
        <f t="shared" si="29"/>
        <v>-11925.73</v>
      </c>
    </row>
    <row r="222" spans="1:20" hidden="1" x14ac:dyDescent="0.25">
      <c r="E222" s="255">
        <f>SUMIF('AJE LTD'!A:A,'TB LTD 2021'!B222,'AJE LTD'!C:C)</f>
        <v>0</v>
      </c>
      <c r="F222" s="258">
        <f t="shared" si="32"/>
        <v>0</v>
      </c>
      <c r="H222" s="255">
        <f>SUMIF('AJE LTD'!A:A,'TB LTD 2021'!B222,'AJE LTD'!D:D)</f>
        <v>0</v>
      </c>
      <c r="I222" s="258">
        <f t="shared" si="33"/>
        <v>0</v>
      </c>
      <c r="J222" s="212"/>
      <c r="K222" s="274"/>
      <c r="M222" s="248">
        <v>90000</v>
      </c>
      <c r="N222" s="248" t="s">
        <v>682</v>
      </c>
      <c r="O222" s="248">
        <v>49656.87</v>
      </c>
      <c r="P222" s="35">
        <f t="shared" si="31"/>
        <v>49656.87</v>
      </c>
      <c r="Q222">
        <v>60012</v>
      </c>
      <c r="R222">
        <v>0</v>
      </c>
      <c r="S222">
        <f t="shared" si="24"/>
        <v>0</v>
      </c>
      <c r="T222">
        <f t="shared" si="29"/>
        <v>0</v>
      </c>
    </row>
    <row r="223" spans="1:20" hidden="1" x14ac:dyDescent="0.25">
      <c r="J223" s="212"/>
      <c r="K223" s="274"/>
      <c r="M223" s="248">
        <v>90001</v>
      </c>
      <c r="N223" s="248" t="s">
        <v>683</v>
      </c>
      <c r="O223" s="248">
        <v>-47287.16</v>
      </c>
      <c r="P223" s="35">
        <f t="shared" si="31"/>
        <v>-47287.16</v>
      </c>
      <c r="Q223">
        <v>60013</v>
      </c>
      <c r="R223">
        <v>3169.75</v>
      </c>
      <c r="S223">
        <f t="shared" si="24"/>
        <v>0</v>
      </c>
      <c r="T223">
        <f t="shared" si="29"/>
        <v>-3169.75</v>
      </c>
    </row>
    <row r="224" spans="1:20" hidden="1" x14ac:dyDescent="0.25">
      <c r="E224" s="255">
        <f>SUMIF('AJE LTD'!A:A,'TB LTD 2021'!B224,'AJE LTD'!C:C)</f>
        <v>0</v>
      </c>
      <c r="F224" s="258">
        <f>SUM(D224:E224)</f>
        <v>0</v>
      </c>
      <c r="H224" s="255">
        <f>SUMIF('AJE LTD'!A:A,'TB LTD 2021'!B224,'AJE LTD'!D:D)</f>
        <v>0</v>
      </c>
      <c r="I224" s="258">
        <f t="shared" si="30"/>
        <v>0</v>
      </c>
      <c r="J224" s="212"/>
      <c r="K224" s="274"/>
      <c r="M224" s="248">
        <v>90002</v>
      </c>
      <c r="N224" s="248" t="s">
        <v>642</v>
      </c>
      <c r="O224" s="248">
        <v>389872.17</v>
      </c>
      <c r="P224" s="35" t="e">
        <f>O224-#REF!</f>
        <v>#REF!</v>
      </c>
      <c r="Q224">
        <v>60014</v>
      </c>
      <c r="R224">
        <v>0</v>
      </c>
      <c r="S224">
        <f t="shared" si="24"/>
        <v>0</v>
      </c>
      <c r="T224">
        <f t="shared" si="29"/>
        <v>0</v>
      </c>
    </row>
    <row r="225" spans="3:20" hidden="1" x14ac:dyDescent="0.25">
      <c r="C225" s="216"/>
      <c r="E225" s="255">
        <f>SUMIF('AJE LTD'!A:A,'TB LTD 2021'!B225,'AJE LTD'!C:C)</f>
        <v>0</v>
      </c>
      <c r="F225" s="258">
        <f t="shared" ref="F225" si="34">SUM(D225:E225)</f>
        <v>0</v>
      </c>
      <c r="H225" s="255">
        <f>SUMIF('AJE LTD'!A:A,'TB LTD 2021'!B225,'AJE LTD'!D:D)</f>
        <v>0</v>
      </c>
      <c r="I225" s="258">
        <f t="shared" si="30"/>
        <v>0</v>
      </c>
      <c r="J225" s="212"/>
      <c r="K225" s="274"/>
      <c r="M225" s="248">
        <v>90006</v>
      </c>
      <c r="N225" s="248" t="s">
        <v>684</v>
      </c>
      <c r="O225" s="248">
        <v>348.74</v>
      </c>
      <c r="P225" s="35" t="e">
        <f>O225-#REF!</f>
        <v>#REF!</v>
      </c>
      <c r="Q225">
        <v>60015</v>
      </c>
      <c r="R225">
        <v>1150</v>
      </c>
      <c r="S225">
        <f t="shared" si="24"/>
        <v>0</v>
      </c>
      <c r="T225">
        <f t="shared" si="29"/>
        <v>-1150</v>
      </c>
    </row>
    <row r="226" spans="3:20" hidden="1" x14ac:dyDescent="0.25">
      <c r="C226" s="216"/>
      <c r="E226" s="255">
        <f>SUMIF('AJE LTD'!A:A,'TB LTD 2021'!B226,'AJE LTD'!C:C)</f>
        <v>0</v>
      </c>
      <c r="F226" s="258">
        <f t="shared" ref="F226:F234" si="35">SUM(D226:E226)</f>
        <v>0</v>
      </c>
      <c r="H226" s="255">
        <f>SUMIF('AJE LTD'!A:A,'TB LTD 2021'!B226,'AJE LTD'!D:D)</f>
        <v>0</v>
      </c>
      <c r="I226" s="258">
        <f t="shared" ref="I226:I234" si="36">SUM(G226:H226)</f>
        <v>0</v>
      </c>
      <c r="J226" s="212"/>
      <c r="K226" s="274"/>
      <c r="M226" s="248">
        <v>90007</v>
      </c>
      <c r="N226" s="248" t="s">
        <v>70</v>
      </c>
      <c r="O226" s="248">
        <v>440.09</v>
      </c>
      <c r="P226" s="35" t="e">
        <f>O226-#REF!</f>
        <v>#REF!</v>
      </c>
      <c r="Q226">
        <v>60017</v>
      </c>
      <c r="R226">
        <v>4700</v>
      </c>
      <c r="S226">
        <f t="shared" si="24"/>
        <v>0</v>
      </c>
      <c r="T226">
        <f t="shared" si="29"/>
        <v>-4700</v>
      </c>
    </row>
    <row r="227" spans="3:20" hidden="1" x14ac:dyDescent="0.25">
      <c r="C227" s="216"/>
      <c r="E227" s="255">
        <f>SUMIF('AJE LTD'!A:A,'TB LTD 2021'!B227,'AJE LTD'!C:C)</f>
        <v>0</v>
      </c>
      <c r="F227" s="258">
        <f t="shared" si="35"/>
        <v>0</v>
      </c>
      <c r="H227" s="255">
        <f>SUMIF('AJE LTD'!A:A,'TB LTD 2021'!B227,'AJE LTD'!D:D)</f>
        <v>0</v>
      </c>
      <c r="I227" s="258">
        <f t="shared" si="36"/>
        <v>0</v>
      </c>
      <c r="J227" s="212"/>
      <c r="K227" s="274"/>
      <c r="M227" s="248">
        <v>90009</v>
      </c>
      <c r="N227" s="248" t="s">
        <v>617</v>
      </c>
      <c r="O227" s="248">
        <v>-296.37</v>
      </c>
      <c r="P227" s="35" t="e">
        <f>O227-#REF!</f>
        <v>#REF!</v>
      </c>
      <c r="Q227">
        <v>60018</v>
      </c>
      <c r="R227">
        <v>0</v>
      </c>
      <c r="S227">
        <f t="shared" si="24"/>
        <v>0</v>
      </c>
      <c r="T227">
        <f t="shared" si="29"/>
        <v>0</v>
      </c>
    </row>
    <row r="228" spans="3:20" hidden="1" x14ac:dyDescent="0.25">
      <c r="C228" s="216"/>
      <c r="E228" s="255">
        <f>SUMIF('AJE LTD'!A:A,'TB LTD 2021'!B228,'AJE LTD'!C:C)</f>
        <v>0</v>
      </c>
      <c r="F228" s="258">
        <f t="shared" si="35"/>
        <v>0</v>
      </c>
      <c r="H228" s="255">
        <f>SUMIF('AJE LTD'!A:A,'TB LTD 2021'!B228,'AJE LTD'!D:D)</f>
        <v>0</v>
      </c>
      <c r="I228" s="258">
        <f t="shared" si="36"/>
        <v>0</v>
      </c>
      <c r="J228" s="212"/>
      <c r="K228" s="274"/>
      <c r="M228" s="248">
        <v>99999</v>
      </c>
      <c r="N228" s="248" t="s">
        <v>71</v>
      </c>
      <c r="O228" s="248">
        <v>-1.61</v>
      </c>
      <c r="Q228">
        <v>70026</v>
      </c>
      <c r="R228">
        <v>14654.07</v>
      </c>
      <c r="S228">
        <f t="shared" ref="S228:S280" si="37">SUMIF(B:B,Q228,G:G)</f>
        <v>5603.86</v>
      </c>
      <c r="T228">
        <f t="shared" si="29"/>
        <v>-9050.2099999999991</v>
      </c>
    </row>
    <row r="229" spans="3:20" hidden="1" x14ac:dyDescent="0.25">
      <c r="E229" s="255">
        <f>SUMIF('AJE LTD'!A:A,'TB LTD 2021'!B229,'AJE LTD'!C:C)</f>
        <v>0</v>
      </c>
      <c r="F229" s="258">
        <f t="shared" si="35"/>
        <v>0</v>
      </c>
      <c r="H229" s="255">
        <f>SUMIF('AJE LTD'!A:A,'TB LTD 2021'!B229,'AJE LTD'!D:D)</f>
        <v>0</v>
      </c>
      <c r="I229" s="258">
        <f t="shared" si="36"/>
        <v>0</v>
      </c>
      <c r="J229" s="212"/>
      <c r="K229" s="274"/>
      <c r="Q229">
        <v>70039</v>
      </c>
      <c r="R229">
        <v>0</v>
      </c>
      <c r="S229">
        <f t="shared" si="37"/>
        <v>9984.11</v>
      </c>
      <c r="T229">
        <f t="shared" si="29"/>
        <v>9984.11</v>
      </c>
    </row>
    <row r="230" spans="3:20" hidden="1" x14ac:dyDescent="0.25">
      <c r="E230" s="255">
        <f>SUMIF('AJE LTD'!A:A,'TB LTD 2021'!B230,'AJE LTD'!C:C)</f>
        <v>0</v>
      </c>
      <c r="F230" s="258">
        <f t="shared" si="35"/>
        <v>0</v>
      </c>
      <c r="H230" s="255">
        <f>SUMIF('AJE LTD'!A:A,'TB LTD 2021'!B230,'AJE LTD'!D:D)</f>
        <v>0</v>
      </c>
      <c r="I230" s="258">
        <f t="shared" si="36"/>
        <v>0</v>
      </c>
      <c r="J230" s="212"/>
      <c r="K230" s="274"/>
      <c r="Q230">
        <v>70042</v>
      </c>
      <c r="R230">
        <v>453.29</v>
      </c>
      <c r="S230">
        <f t="shared" si="37"/>
        <v>4590.8500000000004</v>
      </c>
      <c r="T230">
        <f t="shared" si="29"/>
        <v>4137.5600000000004</v>
      </c>
    </row>
    <row r="231" spans="3:20" hidden="1" x14ac:dyDescent="0.25">
      <c r="E231" s="255">
        <f>SUMIF('AJE LTD'!A:A,'TB LTD 2021'!B231,'AJE LTD'!C:C)</f>
        <v>0</v>
      </c>
      <c r="F231" s="258">
        <f t="shared" si="35"/>
        <v>0</v>
      </c>
      <c r="H231" s="255">
        <f>SUMIF('AJE LTD'!A:A,'TB LTD 2021'!B231,'AJE LTD'!D:D)</f>
        <v>0</v>
      </c>
      <c r="I231" s="258">
        <f t="shared" si="36"/>
        <v>0</v>
      </c>
      <c r="J231" s="212"/>
      <c r="K231" s="274"/>
      <c r="Q231">
        <v>10901</v>
      </c>
      <c r="R231">
        <v>0</v>
      </c>
      <c r="S231">
        <f t="shared" si="37"/>
        <v>0</v>
      </c>
      <c r="T231">
        <f t="shared" si="29"/>
        <v>0</v>
      </c>
    </row>
    <row r="232" spans="3:20" hidden="1" x14ac:dyDescent="0.25">
      <c r="E232" s="255">
        <f>SUMIF('AJE LTD'!A:A,'TB LTD 2021'!B232,'AJE LTD'!C:C)</f>
        <v>0</v>
      </c>
      <c r="F232" s="258">
        <f t="shared" si="35"/>
        <v>0</v>
      </c>
      <c r="H232" s="255">
        <f>SUMIF('AJE LTD'!A:A,'TB LTD 2021'!B232,'AJE LTD'!D:D)</f>
        <v>0</v>
      </c>
      <c r="I232" s="258">
        <f t="shared" si="36"/>
        <v>0</v>
      </c>
      <c r="J232" s="212"/>
      <c r="K232" s="274"/>
      <c r="Q232">
        <v>10006</v>
      </c>
      <c r="R232">
        <v>52016.06</v>
      </c>
      <c r="S232">
        <f t="shared" si="37"/>
        <v>0</v>
      </c>
      <c r="T232">
        <f t="shared" si="29"/>
        <v>-52016.06</v>
      </c>
    </row>
    <row r="233" spans="3:20" hidden="1" x14ac:dyDescent="0.25">
      <c r="E233" s="255">
        <f>SUMIF('AJE LTD'!A:A,'TB LTD 2021'!B233,'AJE LTD'!C:C)</f>
        <v>0</v>
      </c>
      <c r="F233" s="258">
        <f t="shared" si="35"/>
        <v>0</v>
      </c>
      <c r="H233" s="255">
        <f>SUMIF('AJE LTD'!A:A,'TB LTD 2021'!B233,'AJE LTD'!D:D)</f>
        <v>0</v>
      </c>
      <c r="I233" s="258">
        <f t="shared" si="36"/>
        <v>0</v>
      </c>
      <c r="J233" s="212"/>
      <c r="K233" s="274"/>
      <c r="Q233">
        <v>100007</v>
      </c>
      <c r="R233">
        <v>50852.25</v>
      </c>
      <c r="S233">
        <f t="shared" si="37"/>
        <v>0</v>
      </c>
      <c r="T233">
        <f t="shared" si="29"/>
        <v>-50852.25</v>
      </c>
    </row>
    <row r="234" spans="3:20" hidden="1" x14ac:dyDescent="0.25">
      <c r="E234" s="255">
        <f>SUMIF('AJE LTD'!A:A,'TB LTD 2021'!B234,'AJE LTD'!C:C)</f>
        <v>0</v>
      </c>
      <c r="F234" s="258">
        <f t="shared" si="35"/>
        <v>0</v>
      </c>
      <c r="H234" s="255">
        <f>SUMIF('AJE LTD'!A:A,'TB LTD 2021'!B234,'AJE LTD'!D:D)</f>
        <v>0</v>
      </c>
      <c r="I234" s="258">
        <f t="shared" si="36"/>
        <v>0</v>
      </c>
      <c r="J234" s="212"/>
      <c r="K234" s="274"/>
      <c r="Q234">
        <v>100008</v>
      </c>
      <c r="R234">
        <v>-206</v>
      </c>
      <c r="S234">
        <f t="shared" si="37"/>
        <v>0</v>
      </c>
      <c r="T234">
        <f t="shared" si="29"/>
        <v>206</v>
      </c>
    </row>
    <row r="235" spans="3:20" hidden="1" x14ac:dyDescent="0.25">
      <c r="E235" s="255">
        <f>SUMIF('AJE LTD'!A:A,'TB LTD 2021'!B235,'AJE LTD'!C:C)</f>
        <v>0</v>
      </c>
      <c r="F235" s="258">
        <f>SUM(D235:E235)</f>
        <v>0</v>
      </c>
      <c r="H235" s="255">
        <f>SUMIF('AJE LTD'!A:A,'TB LTD 2021'!B235,'AJE LTD'!D:D)</f>
        <v>0</v>
      </c>
      <c r="I235" s="258">
        <f>SUM(G235:H235)</f>
        <v>0</v>
      </c>
      <c r="J235" s="212"/>
      <c r="K235" s="274"/>
      <c r="Q235">
        <v>100009</v>
      </c>
      <c r="R235">
        <v>56775.29</v>
      </c>
      <c r="S235">
        <f t="shared" si="37"/>
        <v>0</v>
      </c>
      <c r="T235">
        <f t="shared" si="29"/>
        <v>-56775.29</v>
      </c>
    </row>
    <row r="236" spans="3:20" hidden="1" x14ac:dyDescent="0.25">
      <c r="E236" s="255">
        <f>SUMIF('AJE LTD'!A:A,'TB LTD 2021'!B236,'AJE LTD'!C:C)</f>
        <v>0</v>
      </c>
      <c r="F236" s="258">
        <f>SUM(D236:E236)</f>
        <v>0</v>
      </c>
      <c r="H236" s="255">
        <f>SUMIF('AJE LTD'!A:A,'TB LTD 2021'!B236,'AJE LTD'!D:D)</f>
        <v>0</v>
      </c>
      <c r="I236" s="258">
        <f>SUM(G236:H236)</f>
        <v>0</v>
      </c>
      <c r="J236" s="212"/>
      <c r="K236" s="274"/>
      <c r="Q236">
        <v>100011</v>
      </c>
      <c r="R236">
        <v>8153.89</v>
      </c>
      <c r="S236">
        <f t="shared" si="37"/>
        <v>0</v>
      </c>
      <c r="T236">
        <f t="shared" si="29"/>
        <v>-8153.89</v>
      </c>
    </row>
    <row r="237" spans="3:20" hidden="1" x14ac:dyDescent="0.25">
      <c r="E237" s="255">
        <f>SUMIF('AJE LTD'!A:A,'TB LTD 2021'!B237,'AJE LTD'!C:C)</f>
        <v>0</v>
      </c>
      <c r="F237" s="258">
        <f>SUM(D237:E237)</f>
        <v>0</v>
      </c>
      <c r="H237" s="255">
        <f>SUMIF('AJE LTD'!A:A,'TB LTD 2021'!B237,'AJE LTD'!D:D)</f>
        <v>0</v>
      </c>
      <c r="I237" s="258">
        <f>SUM(G237:H237)</f>
        <v>0</v>
      </c>
      <c r="J237" s="212"/>
      <c r="K237" s="274"/>
      <c r="Q237">
        <v>100012</v>
      </c>
      <c r="R237">
        <v>5478.04</v>
      </c>
      <c r="S237">
        <f t="shared" si="37"/>
        <v>0</v>
      </c>
      <c r="T237">
        <f t="shared" si="29"/>
        <v>-5478.04</v>
      </c>
    </row>
    <row r="238" spans="3:20" hidden="1" x14ac:dyDescent="0.25">
      <c r="J238" s="212"/>
      <c r="K238" s="274"/>
      <c r="Q238">
        <v>100013</v>
      </c>
      <c r="R238">
        <v>10678.88</v>
      </c>
      <c r="S238">
        <f t="shared" si="37"/>
        <v>0</v>
      </c>
      <c r="T238">
        <f t="shared" si="29"/>
        <v>-10678.88</v>
      </c>
    </row>
    <row r="239" spans="3:20" hidden="1" x14ac:dyDescent="0.25">
      <c r="J239" s="212"/>
      <c r="K239" s="274"/>
      <c r="Q239">
        <v>200010</v>
      </c>
      <c r="R239">
        <v>0</v>
      </c>
      <c r="S239">
        <f t="shared" si="37"/>
        <v>0</v>
      </c>
      <c r="T239">
        <f t="shared" si="29"/>
        <v>0</v>
      </c>
    </row>
    <row r="240" spans="3:20" hidden="1" x14ac:dyDescent="0.25">
      <c r="J240" s="212"/>
      <c r="K240" s="274"/>
      <c r="Q240">
        <v>200021</v>
      </c>
      <c r="R240">
        <v>0</v>
      </c>
      <c r="S240">
        <f t="shared" si="37"/>
        <v>0</v>
      </c>
      <c r="T240">
        <f t="shared" si="29"/>
        <v>0</v>
      </c>
    </row>
    <row r="241" spans="10:20" hidden="1" x14ac:dyDescent="0.25">
      <c r="J241" s="212"/>
      <c r="K241" s="274"/>
      <c r="Q241">
        <v>200071</v>
      </c>
      <c r="R241">
        <v>0</v>
      </c>
      <c r="S241">
        <f t="shared" si="37"/>
        <v>0</v>
      </c>
      <c r="T241">
        <f t="shared" si="29"/>
        <v>0</v>
      </c>
    </row>
    <row r="242" spans="10:20" hidden="1" x14ac:dyDescent="0.25">
      <c r="J242" s="212"/>
      <c r="K242" s="274"/>
      <c r="Q242">
        <v>200095</v>
      </c>
      <c r="R242">
        <v>0</v>
      </c>
      <c r="S242">
        <f t="shared" si="37"/>
        <v>0</v>
      </c>
      <c r="T242">
        <f t="shared" si="29"/>
        <v>0</v>
      </c>
    </row>
    <row r="243" spans="10:20" hidden="1" x14ac:dyDescent="0.25">
      <c r="J243" s="212"/>
      <c r="K243" s="274"/>
      <c r="Q243">
        <v>200103</v>
      </c>
      <c r="R243">
        <v>0</v>
      </c>
      <c r="S243">
        <f t="shared" si="37"/>
        <v>0</v>
      </c>
      <c r="T243">
        <f t="shared" si="29"/>
        <v>0</v>
      </c>
    </row>
    <row r="244" spans="10:20" hidden="1" x14ac:dyDescent="0.25">
      <c r="J244" s="212"/>
      <c r="K244" s="274"/>
      <c r="Q244">
        <v>200109</v>
      </c>
      <c r="R244">
        <v>0</v>
      </c>
      <c r="S244">
        <f t="shared" si="37"/>
        <v>0</v>
      </c>
      <c r="T244">
        <f t="shared" si="29"/>
        <v>0</v>
      </c>
    </row>
    <row r="245" spans="10:20" hidden="1" x14ac:dyDescent="0.25">
      <c r="J245" s="212"/>
      <c r="K245" s="274"/>
      <c r="Q245">
        <v>200111</v>
      </c>
      <c r="R245">
        <v>0</v>
      </c>
      <c r="S245">
        <f t="shared" si="37"/>
        <v>0</v>
      </c>
      <c r="T245">
        <f t="shared" si="29"/>
        <v>0</v>
      </c>
    </row>
    <row r="246" spans="10:20" hidden="1" x14ac:dyDescent="0.25">
      <c r="J246" s="212"/>
      <c r="K246" s="274"/>
      <c r="Q246">
        <v>200113</v>
      </c>
      <c r="R246">
        <v>0</v>
      </c>
      <c r="S246">
        <f t="shared" si="37"/>
        <v>274.27999999999997</v>
      </c>
      <c r="T246">
        <f t="shared" si="29"/>
        <v>274.27999999999997</v>
      </c>
    </row>
    <row r="247" spans="10:20" hidden="1" x14ac:dyDescent="0.25">
      <c r="J247" s="212"/>
      <c r="K247" s="274"/>
      <c r="Q247">
        <v>200114</v>
      </c>
      <c r="R247">
        <v>650.08000000000004</v>
      </c>
      <c r="S247">
        <f t="shared" si="37"/>
        <v>0</v>
      </c>
      <c r="T247">
        <f t="shared" si="29"/>
        <v>-650.08000000000004</v>
      </c>
    </row>
    <row r="248" spans="10:20" hidden="1" x14ac:dyDescent="0.25">
      <c r="J248" s="212"/>
      <c r="K248" s="274"/>
      <c r="Q248">
        <v>200116</v>
      </c>
      <c r="R248">
        <v>0</v>
      </c>
      <c r="S248">
        <f t="shared" si="37"/>
        <v>0</v>
      </c>
      <c r="T248">
        <f t="shared" si="29"/>
        <v>0</v>
      </c>
    </row>
    <row r="249" spans="10:20" hidden="1" x14ac:dyDescent="0.25">
      <c r="J249" s="212"/>
      <c r="K249" s="274"/>
      <c r="Q249">
        <v>200117</v>
      </c>
      <c r="R249">
        <v>0</v>
      </c>
      <c r="S249">
        <f t="shared" si="37"/>
        <v>0</v>
      </c>
      <c r="T249">
        <f t="shared" si="29"/>
        <v>0</v>
      </c>
    </row>
    <row r="250" spans="10:20" hidden="1" x14ac:dyDescent="0.25">
      <c r="J250" s="212"/>
      <c r="K250" s="274"/>
      <c r="Q250">
        <v>200118</v>
      </c>
      <c r="R250">
        <v>-175</v>
      </c>
      <c r="S250">
        <f t="shared" si="37"/>
        <v>0</v>
      </c>
      <c r="T250">
        <f t="shared" si="29"/>
        <v>175</v>
      </c>
    </row>
    <row r="251" spans="10:20" hidden="1" x14ac:dyDescent="0.25">
      <c r="J251" s="212"/>
      <c r="K251" s="274"/>
      <c r="Q251">
        <v>200122</v>
      </c>
      <c r="R251">
        <v>4029.01</v>
      </c>
      <c r="S251">
        <f t="shared" si="37"/>
        <v>0</v>
      </c>
      <c r="T251">
        <f t="shared" si="29"/>
        <v>-4029.01</v>
      </c>
    </row>
    <row r="252" spans="10:20" hidden="1" x14ac:dyDescent="0.25">
      <c r="J252" s="212"/>
      <c r="K252" s="274"/>
      <c r="Q252">
        <v>200123</v>
      </c>
      <c r="R252">
        <v>1550</v>
      </c>
      <c r="S252">
        <f t="shared" si="37"/>
        <v>0</v>
      </c>
      <c r="T252">
        <f t="shared" si="29"/>
        <v>-1550</v>
      </c>
    </row>
    <row r="253" spans="10:20" hidden="1" x14ac:dyDescent="0.25">
      <c r="J253" s="212"/>
      <c r="K253" s="274"/>
      <c r="Q253">
        <v>200126</v>
      </c>
      <c r="R253">
        <v>20</v>
      </c>
      <c r="S253">
        <f t="shared" si="37"/>
        <v>0</v>
      </c>
      <c r="T253">
        <f t="shared" si="29"/>
        <v>-20</v>
      </c>
    </row>
    <row r="254" spans="10:20" hidden="1" x14ac:dyDescent="0.25">
      <c r="J254" s="212"/>
      <c r="K254" s="274"/>
      <c r="Q254">
        <v>200110</v>
      </c>
      <c r="R254">
        <v>0</v>
      </c>
      <c r="S254">
        <f t="shared" si="37"/>
        <v>0</v>
      </c>
      <c r="T254">
        <f t="shared" si="29"/>
        <v>0</v>
      </c>
    </row>
    <row r="255" spans="10:20" hidden="1" x14ac:dyDescent="0.25">
      <c r="J255" s="212"/>
      <c r="K255" s="274"/>
      <c r="Q255">
        <v>20401</v>
      </c>
      <c r="R255">
        <v>0</v>
      </c>
      <c r="S255">
        <f t="shared" si="37"/>
        <v>-577.53</v>
      </c>
      <c r="T255">
        <f t="shared" si="29"/>
        <v>-577.53</v>
      </c>
    </row>
    <row r="256" spans="10:20" hidden="1" x14ac:dyDescent="0.25">
      <c r="J256" s="212"/>
      <c r="K256" s="274"/>
      <c r="Q256">
        <v>20906</v>
      </c>
      <c r="R256">
        <v>0</v>
      </c>
      <c r="S256">
        <f t="shared" si="37"/>
        <v>-70.03</v>
      </c>
      <c r="T256">
        <f t="shared" si="29"/>
        <v>-70.03</v>
      </c>
    </row>
    <row r="257" spans="10:20" hidden="1" x14ac:dyDescent="0.25">
      <c r="J257" s="212"/>
      <c r="K257" s="274"/>
      <c r="Q257">
        <v>20907</v>
      </c>
      <c r="R257">
        <v>0</v>
      </c>
      <c r="S257">
        <f t="shared" si="37"/>
        <v>0</v>
      </c>
      <c r="T257">
        <f t="shared" si="29"/>
        <v>0</v>
      </c>
    </row>
    <row r="258" spans="10:20" hidden="1" x14ac:dyDescent="0.25">
      <c r="J258" s="212"/>
      <c r="K258" s="274"/>
      <c r="Q258">
        <v>50102</v>
      </c>
      <c r="R258">
        <v>7988.42</v>
      </c>
      <c r="S258">
        <f t="shared" si="37"/>
        <v>26780.28</v>
      </c>
      <c r="T258">
        <f t="shared" si="29"/>
        <v>18791.86</v>
      </c>
    </row>
    <row r="259" spans="10:20" hidden="1" x14ac:dyDescent="0.25">
      <c r="J259" s="212"/>
      <c r="K259" s="274"/>
      <c r="Q259">
        <v>50135</v>
      </c>
      <c r="R259">
        <v>177</v>
      </c>
      <c r="S259">
        <f t="shared" si="37"/>
        <v>0</v>
      </c>
      <c r="T259">
        <f t="shared" ref="T259:T280" si="38">S259-R259</f>
        <v>-177</v>
      </c>
    </row>
    <row r="260" spans="10:20" hidden="1" x14ac:dyDescent="0.25">
      <c r="J260" s="212"/>
      <c r="K260" s="274"/>
      <c r="Q260">
        <v>50136</v>
      </c>
      <c r="R260">
        <v>1000</v>
      </c>
      <c r="S260">
        <f t="shared" si="37"/>
        <v>0</v>
      </c>
      <c r="T260">
        <f t="shared" si="38"/>
        <v>-1000</v>
      </c>
    </row>
    <row r="261" spans="10:20" hidden="1" x14ac:dyDescent="0.25">
      <c r="J261" s="212"/>
      <c r="K261" s="274"/>
      <c r="Q261">
        <v>51106</v>
      </c>
      <c r="R261">
        <v>1037.49</v>
      </c>
      <c r="S261">
        <f t="shared" si="37"/>
        <v>4307.99</v>
      </c>
      <c r="T261">
        <f t="shared" si="38"/>
        <v>3270.5</v>
      </c>
    </row>
    <row r="262" spans="10:20" hidden="1" x14ac:dyDescent="0.25">
      <c r="J262" s="212"/>
      <c r="K262" s="274"/>
      <c r="Q262">
        <v>59002</v>
      </c>
      <c r="R262">
        <v>2000</v>
      </c>
      <c r="S262">
        <f t="shared" si="37"/>
        <v>0</v>
      </c>
      <c r="T262">
        <f t="shared" si="38"/>
        <v>-2000</v>
      </c>
    </row>
    <row r="263" spans="10:20" hidden="1" x14ac:dyDescent="0.25">
      <c r="J263" s="212"/>
      <c r="K263" s="274"/>
      <c r="Q263">
        <v>60016</v>
      </c>
      <c r="R263">
        <v>165</v>
      </c>
      <c r="S263">
        <f t="shared" si="37"/>
        <v>0</v>
      </c>
      <c r="T263">
        <f t="shared" si="38"/>
        <v>-165</v>
      </c>
    </row>
    <row r="264" spans="10:20" hidden="1" x14ac:dyDescent="0.25">
      <c r="J264" s="212"/>
      <c r="K264" s="274"/>
      <c r="Q264">
        <v>60019</v>
      </c>
      <c r="R264">
        <v>225</v>
      </c>
      <c r="S264">
        <f t="shared" si="37"/>
        <v>0</v>
      </c>
      <c r="T264">
        <f t="shared" si="38"/>
        <v>-225</v>
      </c>
    </row>
    <row r="265" spans="10:20" hidden="1" x14ac:dyDescent="0.25">
      <c r="J265" s="212"/>
      <c r="K265" s="274"/>
      <c r="Q265">
        <v>60020</v>
      </c>
      <c r="R265">
        <v>135.47999999999999</v>
      </c>
      <c r="S265">
        <f t="shared" si="37"/>
        <v>0</v>
      </c>
      <c r="T265">
        <f t="shared" si="38"/>
        <v>-135.47999999999999</v>
      </c>
    </row>
    <row r="266" spans="10:20" hidden="1" x14ac:dyDescent="0.25">
      <c r="J266" s="212"/>
      <c r="K266" s="274"/>
      <c r="Q266">
        <v>60021</v>
      </c>
      <c r="R266">
        <v>4001.89</v>
      </c>
      <c r="S266">
        <f t="shared" si="37"/>
        <v>0</v>
      </c>
      <c r="T266">
        <f t="shared" si="38"/>
        <v>-4001.89</v>
      </c>
    </row>
    <row r="267" spans="10:20" hidden="1" x14ac:dyDescent="0.25">
      <c r="J267" s="212"/>
      <c r="K267" s="274"/>
      <c r="Q267">
        <v>60022</v>
      </c>
      <c r="R267">
        <v>34625.279999999999</v>
      </c>
      <c r="S267">
        <f t="shared" si="37"/>
        <v>0</v>
      </c>
      <c r="T267">
        <f t="shared" si="38"/>
        <v>-34625.279999999999</v>
      </c>
    </row>
    <row r="268" spans="10:20" hidden="1" x14ac:dyDescent="0.25">
      <c r="J268" s="212"/>
      <c r="K268" s="274"/>
      <c r="Q268">
        <v>60023</v>
      </c>
      <c r="R268">
        <v>4900</v>
      </c>
      <c r="S268">
        <f t="shared" si="37"/>
        <v>0</v>
      </c>
      <c r="T268">
        <f t="shared" si="38"/>
        <v>-4900</v>
      </c>
    </row>
    <row r="269" spans="10:20" hidden="1" x14ac:dyDescent="0.25">
      <c r="J269" s="212"/>
      <c r="K269" s="274"/>
      <c r="Q269">
        <v>60024</v>
      </c>
      <c r="R269">
        <v>1750</v>
      </c>
      <c r="S269">
        <f t="shared" si="37"/>
        <v>0</v>
      </c>
      <c r="T269">
        <f t="shared" si="38"/>
        <v>-1750</v>
      </c>
    </row>
    <row r="270" spans="10:20" hidden="1" x14ac:dyDescent="0.25">
      <c r="J270" s="212"/>
      <c r="K270" s="274"/>
      <c r="Q270">
        <v>60025</v>
      </c>
      <c r="R270">
        <v>6000</v>
      </c>
      <c r="S270">
        <f t="shared" si="37"/>
        <v>0</v>
      </c>
      <c r="T270">
        <f t="shared" si="38"/>
        <v>-6000</v>
      </c>
    </row>
    <row r="271" spans="10:20" hidden="1" x14ac:dyDescent="0.25">
      <c r="J271" s="212"/>
      <c r="K271" s="274"/>
      <c r="Q271">
        <v>60026</v>
      </c>
      <c r="R271">
        <v>875</v>
      </c>
      <c r="S271">
        <f t="shared" si="37"/>
        <v>0</v>
      </c>
      <c r="T271">
        <f t="shared" si="38"/>
        <v>-875</v>
      </c>
    </row>
    <row r="272" spans="10:20" hidden="1" x14ac:dyDescent="0.25">
      <c r="J272" s="212"/>
      <c r="K272" s="274"/>
      <c r="Q272">
        <v>60027</v>
      </c>
      <c r="R272">
        <v>6000</v>
      </c>
      <c r="S272">
        <f t="shared" si="37"/>
        <v>0</v>
      </c>
      <c r="T272">
        <f t="shared" si="38"/>
        <v>-6000</v>
      </c>
    </row>
    <row r="273" spans="10:20" hidden="1" x14ac:dyDescent="0.25">
      <c r="J273" s="212"/>
      <c r="K273" s="274"/>
      <c r="Q273">
        <v>60028</v>
      </c>
      <c r="R273">
        <v>11002.77</v>
      </c>
      <c r="S273">
        <f t="shared" si="37"/>
        <v>0</v>
      </c>
      <c r="T273">
        <f t="shared" si="38"/>
        <v>-11002.77</v>
      </c>
    </row>
    <row r="274" spans="10:20" hidden="1" x14ac:dyDescent="0.25">
      <c r="J274" s="212"/>
      <c r="K274" s="274"/>
      <c r="Q274">
        <v>60030</v>
      </c>
      <c r="R274">
        <v>10777.86</v>
      </c>
      <c r="S274">
        <f t="shared" si="37"/>
        <v>0</v>
      </c>
      <c r="T274">
        <f t="shared" si="38"/>
        <v>-10777.86</v>
      </c>
    </row>
    <row r="275" spans="10:20" hidden="1" x14ac:dyDescent="0.25">
      <c r="J275" s="212"/>
      <c r="K275" s="274"/>
      <c r="Q275">
        <v>70036</v>
      </c>
      <c r="R275">
        <v>175.46</v>
      </c>
      <c r="S275">
        <f t="shared" si="37"/>
        <v>2690.76</v>
      </c>
      <c r="T275">
        <f t="shared" si="38"/>
        <v>2515.3000000000002</v>
      </c>
    </row>
    <row r="276" spans="10:20" hidden="1" x14ac:dyDescent="0.25">
      <c r="J276" s="212"/>
      <c r="K276" s="274"/>
      <c r="Q276">
        <v>70044</v>
      </c>
      <c r="R276">
        <v>912.46</v>
      </c>
      <c r="S276">
        <f t="shared" si="37"/>
        <v>140.41</v>
      </c>
      <c r="T276">
        <f t="shared" si="38"/>
        <v>-772.05000000000007</v>
      </c>
    </row>
    <row r="277" spans="10:20" hidden="1" x14ac:dyDescent="0.25">
      <c r="J277" s="212"/>
      <c r="K277" s="274"/>
      <c r="Q277">
        <v>70045</v>
      </c>
      <c r="R277">
        <v>175.02</v>
      </c>
      <c r="S277">
        <f t="shared" si="37"/>
        <v>343</v>
      </c>
      <c r="T277">
        <f t="shared" si="38"/>
        <v>167.98</v>
      </c>
    </row>
    <row r="278" spans="10:20" hidden="1" x14ac:dyDescent="0.25">
      <c r="J278" s="212"/>
      <c r="K278" s="274"/>
      <c r="Q278">
        <v>70046</v>
      </c>
      <c r="R278">
        <v>25.85</v>
      </c>
      <c r="S278">
        <f t="shared" si="37"/>
        <v>5158.76</v>
      </c>
      <c r="T278">
        <f t="shared" si="38"/>
        <v>5132.91</v>
      </c>
    </row>
    <row r="279" spans="10:20" hidden="1" x14ac:dyDescent="0.25">
      <c r="J279" s="212"/>
      <c r="K279" s="274"/>
      <c r="Q279">
        <v>71106</v>
      </c>
      <c r="R279">
        <v>148.21</v>
      </c>
      <c r="S279">
        <f t="shared" si="37"/>
        <v>851.44</v>
      </c>
      <c r="T279">
        <f t="shared" si="38"/>
        <v>703.23</v>
      </c>
    </row>
    <row r="280" spans="10:20" hidden="1" x14ac:dyDescent="0.25">
      <c r="J280" s="212"/>
      <c r="K280" s="274"/>
      <c r="Q280">
        <v>90009</v>
      </c>
      <c r="R280">
        <v>-87.7</v>
      </c>
      <c r="S280">
        <f t="shared" si="37"/>
        <v>0</v>
      </c>
      <c r="T280">
        <f t="shared" si="38"/>
        <v>87.7</v>
      </c>
    </row>
  </sheetData>
  <autoFilter ref="A2:I280" xr:uid="{F101FE2B-DA88-41B4-90BC-B38B8A944093}">
    <filterColumn colId="0">
      <filters>
        <filter val="10"/>
      </filters>
    </filterColumn>
  </autoFilter>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82034-FB5F-4365-9A3D-0C0611F2E535}">
  <sheetPr codeName="Sheet3">
    <tabColor rgb="FF92D050"/>
  </sheetPr>
  <dimension ref="A1:J48"/>
  <sheetViews>
    <sheetView zoomScale="110" zoomScaleNormal="110" workbookViewId="0">
      <selection activeCell="B9" sqref="B9"/>
    </sheetView>
  </sheetViews>
  <sheetFormatPr defaultRowHeight="14.25" x14ac:dyDescent="0.2"/>
  <cols>
    <col min="1" max="1" width="7.75" bestFit="1" customWidth="1"/>
    <col min="2" max="2" width="33.125" bestFit="1" customWidth="1"/>
    <col min="3" max="3" width="14.125" style="30" customWidth="1"/>
    <col min="4" max="4" width="18.5" style="30" customWidth="1"/>
    <col min="5" max="5" width="35" bestFit="1" customWidth="1"/>
    <col min="8" max="8" width="10.5" customWidth="1"/>
    <col min="9" max="10" width="9.875" bestFit="1" customWidth="1"/>
  </cols>
  <sheetData>
    <row r="1" spans="1:10" ht="15" x14ac:dyDescent="0.25">
      <c r="I1" s="36">
        <v>3.11</v>
      </c>
      <c r="J1" s="254">
        <v>3.2292999999999998</v>
      </c>
    </row>
    <row r="2" spans="1:10" ht="15.75" thickBot="1" x14ac:dyDescent="0.3">
      <c r="A2" s="34" t="s">
        <v>115</v>
      </c>
      <c r="B2" s="34" t="s">
        <v>116</v>
      </c>
      <c r="C2" s="256" t="s">
        <v>111</v>
      </c>
      <c r="D2" s="256" t="s">
        <v>102</v>
      </c>
      <c r="E2" s="34" t="s">
        <v>114</v>
      </c>
      <c r="I2" s="37" t="s">
        <v>866</v>
      </c>
      <c r="J2" s="37" t="s">
        <v>867</v>
      </c>
    </row>
    <row r="3" spans="1:10" x14ac:dyDescent="0.2">
      <c r="A3" s="270">
        <v>20605</v>
      </c>
      <c r="B3" s="266" t="s">
        <v>786</v>
      </c>
      <c r="C3" s="266">
        <v>-2080</v>
      </c>
      <c r="D3" s="266">
        <v>-669</v>
      </c>
      <c r="E3" s="453" t="s">
        <v>868</v>
      </c>
    </row>
    <row r="4" spans="1:10" ht="15" thickBot="1" x14ac:dyDescent="0.25">
      <c r="A4" s="167" t="s">
        <v>112</v>
      </c>
      <c r="B4" s="268" t="s">
        <v>865</v>
      </c>
      <c r="C4" s="268">
        <f>-C3</f>
        <v>2080</v>
      </c>
      <c r="D4" s="268">
        <f>-D3</f>
        <v>669</v>
      </c>
      <c r="E4" s="454"/>
    </row>
    <row r="5" spans="1:10" ht="15" thickBot="1" x14ac:dyDescent="0.25">
      <c r="C5"/>
      <c r="D5"/>
    </row>
    <row r="6" spans="1:10" x14ac:dyDescent="0.2">
      <c r="A6" s="230" t="s">
        <v>113</v>
      </c>
      <c r="B6" s="266" t="s">
        <v>869</v>
      </c>
      <c r="C6" s="267">
        <f>D6*$J$1</f>
        <v>119462.70949237955</v>
      </c>
      <c r="D6" s="267">
        <v>36993.376116303705</v>
      </c>
      <c r="E6" s="455" t="s">
        <v>872</v>
      </c>
    </row>
    <row r="7" spans="1:10" x14ac:dyDescent="0.2">
      <c r="A7" s="271" t="s">
        <v>736</v>
      </c>
      <c r="B7" t="s">
        <v>870</v>
      </c>
      <c r="C7" s="257">
        <f>D7*$J$1</f>
        <v>4208.8112839352789</v>
      </c>
      <c r="D7" s="255">
        <v>1303.3200024572752</v>
      </c>
      <c r="E7" s="456"/>
    </row>
    <row r="8" spans="1:10" ht="15" thickBot="1" x14ac:dyDescent="0.25">
      <c r="A8" s="271" t="s">
        <v>873</v>
      </c>
      <c r="B8" t="s">
        <v>871</v>
      </c>
      <c r="C8" s="257">
        <f>D8*$J$1</f>
        <v>6362.7701910936903</v>
      </c>
      <c r="D8" s="255">
        <v>1970.3248973751868</v>
      </c>
      <c r="E8" s="456"/>
    </row>
    <row r="9" spans="1:10" ht="15" thickBot="1" x14ac:dyDescent="0.25">
      <c r="A9" s="272">
        <v>200161</v>
      </c>
      <c r="B9" s="266" t="s">
        <v>1047</v>
      </c>
      <c r="C9" s="269">
        <f>SUM(C6:C8)*-1</f>
        <v>-130034.29096740852</v>
      </c>
      <c r="D9" s="269">
        <f>SUM(D6:D8)*-1</f>
        <v>-40267.021016136161</v>
      </c>
      <c r="E9" s="457"/>
    </row>
    <row r="10" spans="1:10" ht="15" thickBot="1" x14ac:dyDescent="0.25">
      <c r="C10" s="257"/>
      <c r="D10" s="257"/>
    </row>
    <row r="11" spans="1:10" x14ac:dyDescent="0.2">
      <c r="A11" s="230" t="s">
        <v>934</v>
      </c>
      <c r="B11" s="266" t="s">
        <v>930</v>
      </c>
      <c r="C11" s="267">
        <f>'Allocation - G&amp;A'!I3</f>
        <v>256287.19374999998</v>
      </c>
      <c r="D11" s="267">
        <f>'Allocation - G&amp;A'!J3</f>
        <v>78920.731249999983</v>
      </c>
      <c r="E11" s="455" t="s">
        <v>933</v>
      </c>
    </row>
    <row r="12" spans="1:10" x14ac:dyDescent="0.2">
      <c r="A12" s="271" t="s">
        <v>935</v>
      </c>
      <c r="B12" t="s">
        <v>931</v>
      </c>
      <c r="C12" s="255">
        <f>'Allocation - G&amp;A'!I5</f>
        <v>102514.87749999999</v>
      </c>
      <c r="D12" s="255">
        <f>'Allocation - G&amp;A'!J5</f>
        <v>31568.292499999996</v>
      </c>
      <c r="E12" s="456"/>
    </row>
    <row r="13" spans="1:10" ht="15" thickBot="1" x14ac:dyDescent="0.25">
      <c r="A13" s="167" t="s">
        <v>936</v>
      </c>
      <c r="B13" s="268" t="s">
        <v>932</v>
      </c>
      <c r="C13" s="269">
        <f>SUM(C11:C12)*-1</f>
        <v>-358802.07124999998</v>
      </c>
      <c r="D13" s="269">
        <f>SUM(D11:D12)*-1</f>
        <v>-110489.02374999998</v>
      </c>
      <c r="E13" s="457"/>
    </row>
    <row r="14" spans="1:10" ht="15.75" thickBot="1" x14ac:dyDescent="0.3">
      <c r="C14" s="257"/>
      <c r="D14" s="257"/>
      <c r="G14" s="253"/>
    </row>
    <row r="15" spans="1:10" x14ac:dyDescent="0.2">
      <c r="A15" s="230">
        <v>90002</v>
      </c>
      <c r="B15" s="266" t="s">
        <v>642</v>
      </c>
      <c r="C15" s="329">
        <v>0</v>
      </c>
      <c r="D15" s="329">
        <v>91.2</v>
      </c>
      <c r="E15" s="455" t="s">
        <v>979</v>
      </c>
    </row>
    <row r="16" spans="1:10" ht="15" thickBot="1" x14ac:dyDescent="0.25">
      <c r="A16" s="167">
        <v>200003</v>
      </c>
      <c r="B16" s="268" t="s">
        <v>746</v>
      </c>
      <c r="C16" s="269">
        <v>0</v>
      </c>
      <c r="D16" s="269">
        <f>-D15</f>
        <v>-91.2</v>
      </c>
      <c r="E16" s="457"/>
    </row>
    <row r="17" spans="1:5" ht="15" thickBot="1" x14ac:dyDescent="0.25">
      <c r="C17" s="257"/>
      <c r="D17" s="257"/>
    </row>
    <row r="18" spans="1:5" x14ac:dyDescent="0.2">
      <c r="A18" s="230">
        <v>200086</v>
      </c>
      <c r="B18" s="266" t="s">
        <v>760</v>
      </c>
      <c r="C18" s="329">
        <f>-C19</f>
        <v>16523.52</v>
      </c>
      <c r="D18" s="329">
        <f>-D19</f>
        <v>5313.03</v>
      </c>
      <c r="E18" s="458" t="s">
        <v>982</v>
      </c>
    </row>
    <row r="19" spans="1:5" ht="15" thickBot="1" x14ac:dyDescent="0.25">
      <c r="A19" s="167">
        <v>200161</v>
      </c>
      <c r="B19" s="268" t="s">
        <v>782</v>
      </c>
      <c r="C19" s="269">
        <v>-16523.52</v>
      </c>
      <c r="D19" s="269">
        <v>-5313.03</v>
      </c>
      <c r="E19" s="459"/>
    </row>
    <row r="20" spans="1:5" ht="15" thickBot="1" x14ac:dyDescent="0.25">
      <c r="C20" s="257"/>
      <c r="D20" s="257"/>
    </row>
    <row r="21" spans="1:5" ht="15" thickBot="1" x14ac:dyDescent="0.25">
      <c r="A21" s="390">
        <v>30010</v>
      </c>
      <c r="B21" s="391" t="s">
        <v>20</v>
      </c>
      <c r="C21" s="267">
        <f>-C22</f>
        <v>-119901.6</v>
      </c>
      <c r="D21" s="267">
        <f>-D22</f>
        <v>-35463.35</v>
      </c>
      <c r="E21" s="455" t="s">
        <v>1009</v>
      </c>
    </row>
    <row r="22" spans="1:5" ht="15" thickBot="1" x14ac:dyDescent="0.25">
      <c r="A22" s="392">
        <v>200161</v>
      </c>
      <c r="B22" s="266" t="s">
        <v>1047</v>
      </c>
      <c r="C22" s="389">
        <v>119901.6</v>
      </c>
      <c r="D22" s="389">
        <v>35463.35</v>
      </c>
      <c r="E22" s="457"/>
    </row>
    <row r="23" spans="1:5" ht="15" thickBot="1" x14ac:dyDescent="0.25">
      <c r="C23" s="257"/>
      <c r="D23" s="257"/>
    </row>
    <row r="24" spans="1:5" ht="15" thickBot="1" x14ac:dyDescent="0.25">
      <c r="A24" s="230">
        <v>200161</v>
      </c>
      <c r="B24" s="266" t="s">
        <v>1047</v>
      </c>
      <c r="C24" s="267">
        <f>D24*I1</f>
        <v>-34355.631085721398</v>
      </c>
      <c r="D24" s="267">
        <f>'AJE INC'!C25</f>
        <v>-11046.826715666044</v>
      </c>
      <c r="E24" s="455" t="s">
        <v>1032</v>
      </c>
    </row>
    <row r="25" spans="1:5" ht="15" thickBot="1" x14ac:dyDescent="0.25">
      <c r="A25" s="167">
        <v>65006</v>
      </c>
      <c r="B25" s="266" t="s">
        <v>1047</v>
      </c>
      <c r="C25" s="389">
        <f>D25*I1</f>
        <v>34355.631085721398</v>
      </c>
      <c r="D25" s="389">
        <f>'AJE INC'!C26</f>
        <v>11046.826715666044</v>
      </c>
      <c r="E25" s="457"/>
    </row>
    <row r="26" spans="1:5" ht="15" thickBot="1" x14ac:dyDescent="0.25">
      <c r="C26" s="257"/>
      <c r="D26" s="257"/>
    </row>
    <row r="27" spans="1:5" ht="29.25" customHeight="1" x14ac:dyDescent="0.2">
      <c r="A27" s="230">
        <v>20800</v>
      </c>
      <c r="B27" s="266" t="s">
        <v>1047</v>
      </c>
      <c r="C27" s="267">
        <f>-C28</f>
        <v>-491566.32000000007</v>
      </c>
      <c r="D27" s="267"/>
      <c r="E27" s="458" t="s">
        <v>1033</v>
      </c>
    </row>
    <row r="28" spans="1:5" ht="30.75" customHeight="1" thickBot="1" x14ac:dyDescent="0.25">
      <c r="A28" s="167">
        <v>39001</v>
      </c>
      <c r="B28" s="268" t="s">
        <v>559</v>
      </c>
      <c r="C28" s="389">
        <v>491566.32000000007</v>
      </c>
      <c r="D28" s="389"/>
      <c r="E28" s="459"/>
    </row>
    <row r="29" spans="1:5" ht="15" thickBot="1" x14ac:dyDescent="0.25">
      <c r="C29" s="257"/>
      <c r="D29" s="257"/>
    </row>
    <row r="30" spans="1:5" x14ac:dyDescent="0.2">
      <c r="A30" s="230">
        <v>20800</v>
      </c>
      <c r="B30" s="266" t="s">
        <v>1047</v>
      </c>
      <c r="C30" s="267">
        <f>-C31</f>
        <v>-488668.63000000006</v>
      </c>
      <c r="D30" s="267"/>
      <c r="E30" s="455" t="s">
        <v>1034</v>
      </c>
    </row>
    <row r="31" spans="1:5" ht="15" thickBot="1" x14ac:dyDescent="0.25">
      <c r="A31" s="167">
        <v>90002</v>
      </c>
      <c r="B31" s="268" t="s">
        <v>642</v>
      </c>
      <c r="C31" s="389">
        <v>488668.63000000006</v>
      </c>
      <c r="D31" s="389"/>
      <c r="E31" s="457"/>
    </row>
    <row r="32" spans="1:5" ht="15" thickBot="1" x14ac:dyDescent="0.25">
      <c r="C32" s="257"/>
      <c r="D32" s="257"/>
    </row>
    <row r="33" spans="1:5" x14ac:dyDescent="0.2">
      <c r="A33" s="230">
        <v>20200</v>
      </c>
      <c r="B33" s="266" t="s">
        <v>1040</v>
      </c>
      <c r="C33" s="267"/>
      <c r="D33" s="267">
        <v>59650</v>
      </c>
      <c r="E33" s="166" t="s">
        <v>1037</v>
      </c>
    </row>
    <row r="34" spans="1:5" ht="15" thickBot="1" x14ac:dyDescent="0.25">
      <c r="A34" s="167" t="s">
        <v>1038</v>
      </c>
      <c r="B34" s="268" t="s">
        <v>1039</v>
      </c>
      <c r="C34" s="389"/>
      <c r="D34" s="389">
        <f>-D33</f>
        <v>-59650</v>
      </c>
      <c r="E34" s="347"/>
    </row>
    <row r="35" spans="1:5" x14ac:dyDescent="0.2">
      <c r="C35" s="257"/>
      <c r="D35" s="257"/>
    </row>
    <row r="36" spans="1:5" x14ac:dyDescent="0.2">
      <c r="C36" s="257"/>
      <c r="D36" s="257"/>
    </row>
    <row r="37" spans="1:5" x14ac:dyDescent="0.2">
      <c r="C37" s="257"/>
      <c r="D37" s="257"/>
    </row>
    <row r="38" spans="1:5" x14ac:dyDescent="0.2">
      <c r="C38" s="257"/>
      <c r="D38" s="257"/>
    </row>
    <row r="39" spans="1:5" x14ac:dyDescent="0.2">
      <c r="C39" s="257"/>
      <c r="D39" s="257"/>
    </row>
    <row r="40" spans="1:5" x14ac:dyDescent="0.2">
      <c r="C40" s="257"/>
      <c r="D40" s="257"/>
    </row>
    <row r="41" spans="1:5" x14ac:dyDescent="0.2">
      <c r="C41" s="257"/>
      <c r="D41" s="257"/>
    </row>
    <row r="42" spans="1:5" x14ac:dyDescent="0.2">
      <c r="C42" s="257"/>
      <c r="D42" s="257"/>
    </row>
    <row r="43" spans="1:5" x14ac:dyDescent="0.2">
      <c r="C43" s="257"/>
      <c r="D43" s="257"/>
    </row>
    <row r="44" spans="1:5" x14ac:dyDescent="0.2">
      <c r="C44" s="257"/>
      <c r="D44" s="257"/>
    </row>
    <row r="45" spans="1:5" x14ac:dyDescent="0.2">
      <c r="C45" s="257"/>
      <c r="D45" s="257"/>
    </row>
    <row r="46" spans="1:5" x14ac:dyDescent="0.2">
      <c r="C46" s="257"/>
      <c r="D46" s="257"/>
    </row>
    <row r="47" spans="1:5" x14ac:dyDescent="0.2">
      <c r="C47" s="257"/>
      <c r="D47" s="257"/>
    </row>
    <row r="48" spans="1:5" x14ac:dyDescent="0.2">
      <c r="C48" s="257"/>
      <c r="D48" s="257"/>
    </row>
  </sheetData>
  <mergeCells count="9">
    <mergeCell ref="E3:E4"/>
    <mergeCell ref="E6:E9"/>
    <mergeCell ref="E30:E31"/>
    <mergeCell ref="E27:E28"/>
    <mergeCell ref="E24:E25"/>
    <mergeCell ref="E21:E22"/>
    <mergeCell ref="E15:E16"/>
    <mergeCell ref="E18:E19"/>
    <mergeCell ref="E11:E13"/>
  </mergeCells>
  <phoneticPr fontId="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D8AB6-7A47-46A9-8354-7AC2CB5C6DE2}">
  <sheetPr codeName="Sheet4">
    <tabColor rgb="FF00B0F0"/>
  </sheetPr>
  <dimension ref="A1:O107"/>
  <sheetViews>
    <sheetView workbookViewId="0">
      <selection activeCell="C5" sqref="C5"/>
    </sheetView>
  </sheetViews>
  <sheetFormatPr defaultRowHeight="14.25" x14ac:dyDescent="0.2"/>
  <cols>
    <col min="1" max="1" width="6.5" customWidth="1"/>
    <col min="2" max="2" width="11.5" bestFit="1" customWidth="1"/>
    <col min="3" max="3" width="61.5" bestFit="1" customWidth="1"/>
    <col min="4" max="4" width="14.125" bestFit="1" customWidth="1"/>
    <col min="5" max="5" width="11.5" bestFit="1" customWidth="1"/>
    <col min="6" max="6" width="14.5" bestFit="1" customWidth="1"/>
    <col min="7" max="7" width="11.5" bestFit="1" customWidth="1"/>
    <col min="14" max="14" width="10.5" bestFit="1" customWidth="1"/>
  </cols>
  <sheetData>
    <row r="1" spans="1:15" x14ac:dyDescent="0.2">
      <c r="D1" s="212">
        <f>SUM(D3:D198)</f>
        <v>2.4078872229438275E-9</v>
      </c>
      <c r="E1" s="212">
        <f t="shared" ref="E1" si="0">SUM(E3:E198)</f>
        <v>1.4551915228366852E-11</v>
      </c>
      <c r="F1" s="212">
        <f>SUM(F3:F198)</f>
        <v>3.0995579436421394E-9</v>
      </c>
    </row>
    <row r="2" spans="1:15" ht="15" x14ac:dyDescent="0.25">
      <c r="A2" s="275"/>
      <c r="B2" s="276" t="s">
        <v>0</v>
      </c>
      <c r="C2" s="276" t="s">
        <v>1</v>
      </c>
      <c r="D2" s="276" t="s">
        <v>3</v>
      </c>
      <c r="E2" s="276" t="s">
        <v>109</v>
      </c>
      <c r="F2" s="276" t="s">
        <v>110</v>
      </c>
    </row>
    <row r="3" spans="1:15" ht="15" x14ac:dyDescent="0.25">
      <c r="A3" s="277">
        <v>10</v>
      </c>
      <c r="B3" s="277" t="str">
        <f>LEFT(C3,4)</f>
        <v>1010</v>
      </c>
      <c r="C3" s="279" t="s">
        <v>702</v>
      </c>
      <c r="D3" s="281">
        <v>13512449.59</v>
      </c>
      <c r="E3" s="278">
        <f>SUMIF('AJE INC'!A:A,'TB INC'!B3,'AJE INC'!C:C)</f>
        <v>0</v>
      </c>
      <c r="F3" s="282">
        <f>D3+E3</f>
        <v>13512449.59</v>
      </c>
      <c r="N3" s="250"/>
      <c r="O3" s="250"/>
    </row>
    <row r="4" spans="1:15" ht="15" x14ac:dyDescent="0.25">
      <c r="A4" s="277">
        <v>10</v>
      </c>
      <c r="B4" s="277" t="str">
        <f t="shared" ref="B4:B49" si="1">LEFT(C4,4)</f>
        <v>1020</v>
      </c>
      <c r="C4" s="279" t="s">
        <v>1049</v>
      </c>
      <c r="D4" s="281">
        <v>3554650.01</v>
      </c>
      <c r="E4" s="278">
        <f>SUMIF('AJE INC'!A:A,'TB INC'!B4,'AJE INC'!C:C)</f>
        <v>0</v>
      </c>
      <c r="F4" s="282">
        <f t="shared" ref="F4:F67" si="2">D4+E4</f>
        <v>3554650.01</v>
      </c>
      <c r="N4" s="250"/>
      <c r="O4" s="250"/>
    </row>
    <row r="5" spans="1:15" ht="15" x14ac:dyDescent="0.25">
      <c r="A5" s="277">
        <v>10</v>
      </c>
      <c r="B5" s="277" t="str">
        <f t="shared" si="1"/>
        <v>1030</v>
      </c>
      <c r="C5" s="279" t="s">
        <v>874</v>
      </c>
      <c r="D5" s="281">
        <v>20000</v>
      </c>
      <c r="E5" s="278">
        <f>SUMIF('AJE INC'!A:A,'TB INC'!B5,'AJE INC'!C:C)</f>
        <v>0</v>
      </c>
      <c r="F5" s="282">
        <f t="shared" si="2"/>
        <v>20000</v>
      </c>
      <c r="N5" s="250"/>
      <c r="O5" s="250"/>
    </row>
    <row r="6" spans="1:15" ht="15" x14ac:dyDescent="0.25">
      <c r="A6" s="277">
        <v>10</v>
      </c>
      <c r="B6" s="277" t="str">
        <f t="shared" si="1"/>
        <v>1015</v>
      </c>
      <c r="C6" s="279" t="s">
        <v>875</v>
      </c>
      <c r="D6" s="281">
        <v>56618.33</v>
      </c>
      <c r="E6" s="278">
        <f>SUMIF('AJE INC'!A:A,'TB INC'!B6,'AJE INC'!C:C)</f>
        <v>0</v>
      </c>
      <c r="F6" s="282">
        <f t="shared" si="2"/>
        <v>56618.33</v>
      </c>
      <c r="N6" s="250"/>
      <c r="O6" s="250"/>
    </row>
    <row r="7" spans="1:15" ht="15" x14ac:dyDescent="0.25">
      <c r="A7" s="277">
        <v>10</v>
      </c>
      <c r="B7" s="277" t="str">
        <f t="shared" si="1"/>
        <v>1025</v>
      </c>
      <c r="C7" s="279" t="s">
        <v>876</v>
      </c>
      <c r="D7" s="281">
        <v>120941.99</v>
      </c>
      <c r="E7" s="278">
        <f>SUMIF('AJE INC'!A:A,'TB INC'!B7,'AJE INC'!C:C)</f>
        <v>0</v>
      </c>
      <c r="F7" s="282">
        <f t="shared" si="2"/>
        <v>120941.99</v>
      </c>
      <c r="N7" s="250"/>
      <c r="O7" s="250"/>
    </row>
    <row r="8" spans="1:15" ht="15" x14ac:dyDescent="0.25">
      <c r="A8" s="277">
        <v>12</v>
      </c>
      <c r="B8" s="277" t="str">
        <f t="shared" si="1"/>
        <v>1100</v>
      </c>
      <c r="C8" s="279" t="s">
        <v>877</v>
      </c>
      <c r="D8" s="281">
        <v>0</v>
      </c>
      <c r="E8" s="278">
        <f>SUMIF('AJE INC'!A:A,'TB INC'!B8,'AJE INC'!C:C)</f>
        <v>0</v>
      </c>
      <c r="F8" s="282">
        <f t="shared" si="2"/>
        <v>0</v>
      </c>
      <c r="N8" s="250"/>
      <c r="O8" s="250"/>
    </row>
    <row r="9" spans="1:15" ht="15" x14ac:dyDescent="0.25">
      <c r="A9" s="277">
        <v>13</v>
      </c>
      <c r="B9" s="277" t="str">
        <f t="shared" si="1"/>
        <v>1300</v>
      </c>
      <c r="C9" s="279" t="s">
        <v>878</v>
      </c>
      <c r="D9" s="281">
        <v>9166.67</v>
      </c>
      <c r="E9" s="278">
        <f>SUMIF('AJE INC'!A:A,'TB INC'!B9,'AJE INC'!C:C)</f>
        <v>0</v>
      </c>
      <c r="F9" s="282">
        <f t="shared" si="2"/>
        <v>9166.67</v>
      </c>
      <c r="N9" s="250"/>
      <c r="O9" s="250"/>
    </row>
    <row r="10" spans="1:15" ht="15" x14ac:dyDescent="0.25">
      <c r="A10" s="277">
        <v>14</v>
      </c>
      <c r="B10" s="277" t="str">
        <f t="shared" si="1"/>
        <v>1400</v>
      </c>
      <c r="C10" s="279" t="s">
        <v>879</v>
      </c>
      <c r="D10" s="281">
        <v>1000</v>
      </c>
      <c r="E10" s="278">
        <f>SUMIF('AJE INC'!A:A,'TB INC'!B10,'AJE INC'!C:C)</f>
        <v>0</v>
      </c>
      <c r="F10" s="282">
        <f t="shared" si="2"/>
        <v>1000</v>
      </c>
      <c r="N10" s="250"/>
      <c r="O10" s="250"/>
    </row>
    <row r="11" spans="1:15" ht="15" x14ac:dyDescent="0.25">
      <c r="A11" s="277">
        <v>36</v>
      </c>
      <c r="B11" s="277" t="str">
        <f t="shared" si="1"/>
        <v>1410</v>
      </c>
      <c r="C11" s="279" t="s">
        <v>703</v>
      </c>
      <c r="D11" s="281">
        <v>4865788.03</v>
      </c>
      <c r="E11" s="278">
        <f>SUMIF('AJE INC'!A:A,'TB INC'!B11,'AJE INC'!C:C)</f>
        <v>21163.527731802205</v>
      </c>
      <c r="F11" s="282">
        <f t="shared" si="2"/>
        <v>4886951.5577318026</v>
      </c>
      <c r="G11" s="334"/>
      <c r="N11" s="250"/>
      <c r="O11" s="250"/>
    </row>
    <row r="12" spans="1:15" ht="15" x14ac:dyDescent="0.25">
      <c r="A12" s="277">
        <v>27</v>
      </c>
      <c r="B12" s="277" t="str">
        <f t="shared" si="1"/>
        <v>1601</v>
      </c>
      <c r="C12" s="279" t="s">
        <v>880</v>
      </c>
      <c r="D12" s="281">
        <v>2151.2600000000002</v>
      </c>
      <c r="E12" s="278">
        <f>SUMIF('AJE INC'!A:A,'TB INC'!B12,'AJE INC'!C:C)</f>
        <v>0</v>
      </c>
      <c r="F12" s="282">
        <f t="shared" si="2"/>
        <v>2151.2600000000002</v>
      </c>
      <c r="N12" s="250"/>
      <c r="O12" s="250"/>
    </row>
    <row r="13" spans="1:15" ht="26.25" x14ac:dyDescent="0.25">
      <c r="A13" s="277">
        <v>28</v>
      </c>
      <c r="B13" s="277" t="str">
        <f t="shared" si="1"/>
        <v>1611</v>
      </c>
      <c r="C13" s="279" t="s">
        <v>969</v>
      </c>
      <c r="D13" s="281">
        <v>-537.84</v>
      </c>
      <c r="E13" s="278">
        <f>SUMIF('AJE INC'!A:A,'TB INC'!B13,'AJE INC'!C:C)</f>
        <v>0</v>
      </c>
      <c r="F13" s="282">
        <f t="shared" si="2"/>
        <v>-537.84</v>
      </c>
      <c r="N13" s="250"/>
      <c r="O13" s="250"/>
    </row>
    <row r="14" spans="1:15" ht="15" x14ac:dyDescent="0.25">
      <c r="A14" s="277">
        <v>31</v>
      </c>
      <c r="B14" s="277" t="str">
        <f t="shared" si="1"/>
        <v>2000</v>
      </c>
      <c r="C14" s="279" t="s">
        <v>881</v>
      </c>
      <c r="D14" s="281">
        <v>-2715.64</v>
      </c>
      <c r="E14" s="278">
        <f>SUMIF('AJE INC'!A:A,'TB INC'!B14,'AJE INC'!C:C)</f>
        <v>0</v>
      </c>
      <c r="F14" s="282">
        <f t="shared" si="2"/>
        <v>-2715.64</v>
      </c>
      <c r="N14" s="250"/>
      <c r="O14" s="250"/>
    </row>
    <row r="15" spans="1:15" ht="15" x14ac:dyDescent="0.25">
      <c r="A15" s="277">
        <v>31</v>
      </c>
      <c r="B15" s="277" t="str">
        <f t="shared" si="1"/>
        <v>Acco</v>
      </c>
      <c r="C15" s="279" t="s">
        <v>882</v>
      </c>
      <c r="D15" s="281">
        <v>0</v>
      </c>
      <c r="E15" s="278">
        <f>SUMIF('AJE INC'!A:A,'TB INC'!B15,'AJE INC'!C:C)</f>
        <v>0</v>
      </c>
      <c r="F15" s="282">
        <f t="shared" si="2"/>
        <v>0</v>
      </c>
      <c r="N15" s="250"/>
      <c r="O15" s="250"/>
    </row>
    <row r="16" spans="1:15" ht="15" x14ac:dyDescent="0.25">
      <c r="A16" s="277">
        <v>31</v>
      </c>
      <c r="B16" s="277" t="str">
        <f t="shared" si="1"/>
        <v>2110</v>
      </c>
      <c r="C16" s="279" t="s">
        <v>883</v>
      </c>
      <c r="D16" s="281">
        <v>-480.95</v>
      </c>
      <c r="E16" s="278">
        <f>SUMIF('AJE INC'!A:A,'TB INC'!B16,'AJE INC'!C:C)</f>
        <v>0</v>
      </c>
      <c r="F16" s="282">
        <f t="shared" si="2"/>
        <v>-480.95</v>
      </c>
      <c r="N16" s="250"/>
      <c r="O16" s="250"/>
    </row>
    <row r="17" spans="1:15" ht="15" x14ac:dyDescent="0.25">
      <c r="A17" s="277">
        <v>32</v>
      </c>
      <c r="B17" s="277" t="str">
        <f t="shared" si="1"/>
        <v>2200</v>
      </c>
      <c r="C17" s="279" t="s">
        <v>884</v>
      </c>
      <c r="D17" s="281">
        <v>-10458.64</v>
      </c>
      <c r="E17" s="278">
        <f>SUMIF('AJE INC'!A:A,'TB INC'!B17,'AJE INC'!C:C)</f>
        <v>0</v>
      </c>
      <c r="F17" s="282">
        <f t="shared" si="2"/>
        <v>-10458.64</v>
      </c>
      <c r="N17" s="250"/>
      <c r="O17" s="250"/>
    </row>
    <row r="18" spans="1:15" ht="15" x14ac:dyDescent="0.25">
      <c r="A18" s="277">
        <v>33</v>
      </c>
      <c r="B18" s="277" t="str">
        <f t="shared" si="1"/>
        <v>2300</v>
      </c>
      <c r="C18" s="279" t="s">
        <v>885</v>
      </c>
      <c r="D18" s="281">
        <v>0</v>
      </c>
      <c r="E18" s="278">
        <f>SUMIF('AJE INC'!A:A,'TB INC'!B18,'AJE INC'!C:C)</f>
        <v>0</v>
      </c>
      <c r="F18" s="282">
        <f t="shared" si="2"/>
        <v>0</v>
      </c>
      <c r="N18" s="250"/>
      <c r="O18" s="250"/>
    </row>
    <row r="19" spans="1:15" ht="15" x14ac:dyDescent="0.25">
      <c r="A19" s="277">
        <v>41</v>
      </c>
      <c r="B19" s="277" t="str">
        <f t="shared" si="1"/>
        <v>3110</v>
      </c>
      <c r="C19" s="279" t="s">
        <v>970</v>
      </c>
      <c r="D19" s="281">
        <v>-22260470</v>
      </c>
      <c r="E19" s="278">
        <f>SUMIF('AJE INC'!A:A,'TB INC'!B19,'AJE INC'!C:C)</f>
        <v>46468.639999999999</v>
      </c>
      <c r="F19" s="282">
        <f t="shared" si="2"/>
        <v>-22214001.359999999</v>
      </c>
      <c r="N19" s="250"/>
      <c r="O19" s="250"/>
    </row>
    <row r="20" spans="1:15" ht="15" x14ac:dyDescent="0.25">
      <c r="A20" s="277">
        <v>44</v>
      </c>
      <c r="B20" s="277" t="str">
        <f t="shared" si="1"/>
        <v>3130</v>
      </c>
      <c r="C20" s="279" t="s">
        <v>886</v>
      </c>
      <c r="D20" s="281">
        <v>172628.43</v>
      </c>
      <c r="E20" s="278">
        <f>SUMIF('AJE INC'!A:A,'TB INC'!B20,'AJE INC'!C:C)</f>
        <v>35463.35</v>
      </c>
      <c r="F20" s="282">
        <f t="shared" si="2"/>
        <v>208091.78</v>
      </c>
      <c r="N20" s="250"/>
      <c r="O20" s="250"/>
    </row>
    <row r="21" spans="1:15" ht="15" x14ac:dyDescent="0.25">
      <c r="A21" s="277">
        <v>48</v>
      </c>
      <c r="B21" s="277" t="str">
        <f t="shared" si="1"/>
        <v>3200</v>
      </c>
      <c r="C21" s="279" t="s">
        <v>887</v>
      </c>
      <c r="D21" s="281">
        <v>5478.16</v>
      </c>
      <c r="E21" s="278">
        <f>SUMIF('AJE INC'!A:A,'TB INC'!B21,'AJE INC'!C:C)</f>
        <v>-6891.3199999993667</v>
      </c>
      <c r="F21" s="282">
        <f t="shared" si="2"/>
        <v>-1413.1599999993668</v>
      </c>
      <c r="N21" s="250"/>
      <c r="O21" s="250"/>
    </row>
    <row r="22" spans="1:15" ht="15" x14ac:dyDescent="0.25">
      <c r="A22" s="277">
        <v>46</v>
      </c>
      <c r="B22" s="277" t="str">
        <f t="shared" si="1"/>
        <v>3210</v>
      </c>
      <c r="C22" s="279" t="s">
        <v>968</v>
      </c>
      <c r="D22" s="281">
        <v>-17790.689999999999</v>
      </c>
      <c r="E22" s="278">
        <f>SUMIF('AJE INC'!A:A,'TB INC'!B22,'AJE INC'!C:C)</f>
        <v>-55942.738030378539</v>
      </c>
      <c r="F22" s="282">
        <f t="shared" si="2"/>
        <v>-73733.428030378534</v>
      </c>
      <c r="N22" s="250"/>
      <c r="O22" s="250"/>
    </row>
    <row r="23" spans="1:15" ht="15" x14ac:dyDescent="0.25">
      <c r="A23" s="285">
        <v>51</v>
      </c>
      <c r="B23" s="277" t="str">
        <f t="shared" si="1"/>
        <v>4010</v>
      </c>
      <c r="C23" s="286" t="s">
        <v>888</v>
      </c>
      <c r="D23" s="281">
        <v>-392958.09</v>
      </c>
      <c r="E23" s="278">
        <f>SUMIF('AJE INC'!A:A,'TB INC'!B23,'AJE INC'!C:C)</f>
        <v>-11046.826715666044</v>
      </c>
      <c r="F23" s="282">
        <f t="shared" si="2"/>
        <v>-404004.91671566607</v>
      </c>
      <c r="N23" s="250"/>
      <c r="O23" s="250"/>
    </row>
    <row r="24" spans="1:15" ht="15" x14ac:dyDescent="0.25">
      <c r="A24" s="277">
        <v>54</v>
      </c>
      <c r="B24" s="277" t="str">
        <f t="shared" si="1"/>
        <v>6010</v>
      </c>
      <c r="C24" s="279" t="s">
        <v>889</v>
      </c>
      <c r="D24" s="281">
        <v>131057.77</v>
      </c>
      <c r="E24" s="278">
        <f>SUMIF('AJE INC'!A:A,'TB INC'!B24,'AJE INC'!C:C)</f>
        <v>0</v>
      </c>
      <c r="F24" s="282">
        <f t="shared" si="2"/>
        <v>131057.77</v>
      </c>
      <c r="N24" s="250"/>
      <c r="O24" s="250"/>
    </row>
    <row r="25" spans="1:15" ht="15" x14ac:dyDescent="0.25">
      <c r="A25" s="277">
        <v>54</v>
      </c>
      <c r="B25" s="277" t="str">
        <f t="shared" si="1"/>
        <v>6011</v>
      </c>
      <c r="C25" s="279" t="s">
        <v>971</v>
      </c>
      <c r="D25" s="281">
        <v>34999.980000000003</v>
      </c>
      <c r="E25" s="278">
        <f>SUMIF('AJE INC'!A:A,'TB INC'!B25,'AJE INC'!C:C)</f>
        <v>0</v>
      </c>
      <c r="F25" s="282">
        <f t="shared" si="2"/>
        <v>34999.980000000003</v>
      </c>
      <c r="N25" s="250"/>
      <c r="O25" s="250"/>
    </row>
    <row r="26" spans="1:15" ht="15" x14ac:dyDescent="0.25">
      <c r="A26" s="277">
        <v>54</v>
      </c>
      <c r="B26" s="277" t="str">
        <f t="shared" si="1"/>
        <v>6040</v>
      </c>
      <c r="C26" s="279" t="s">
        <v>890</v>
      </c>
      <c r="D26" s="281">
        <v>14520.25</v>
      </c>
      <c r="E26" s="278">
        <f>SUMIF('AJE INC'!A:A,'TB INC'!B26,'AJE INC'!C:C)</f>
        <v>0</v>
      </c>
      <c r="F26" s="282">
        <f t="shared" si="2"/>
        <v>14520.25</v>
      </c>
      <c r="N26" s="250"/>
      <c r="O26" s="250"/>
    </row>
    <row r="27" spans="1:15" ht="15" x14ac:dyDescent="0.25">
      <c r="A27" s="277">
        <v>54</v>
      </c>
      <c r="B27" s="277" t="str">
        <f t="shared" si="1"/>
        <v>6050</v>
      </c>
      <c r="C27" s="279" t="s">
        <v>891</v>
      </c>
      <c r="D27" s="281">
        <v>13403.72</v>
      </c>
      <c r="E27" s="278">
        <f>SUMIF('AJE INC'!A:A,'TB INC'!B27,'AJE INC'!C:C)</f>
        <v>0</v>
      </c>
      <c r="F27" s="282">
        <f t="shared" si="2"/>
        <v>13403.72</v>
      </c>
      <c r="N27" s="250"/>
      <c r="O27" s="250"/>
    </row>
    <row r="28" spans="1:15" ht="15" x14ac:dyDescent="0.25">
      <c r="A28" s="277">
        <v>54</v>
      </c>
      <c r="B28" s="277" t="str">
        <f t="shared" si="1"/>
        <v>6060</v>
      </c>
      <c r="C28" s="279" t="s">
        <v>892</v>
      </c>
      <c r="D28" s="281">
        <v>282.37</v>
      </c>
      <c r="E28" s="278">
        <f>SUMIF('AJE INC'!A:A,'TB INC'!B28,'AJE INC'!C:C)</f>
        <v>0</v>
      </c>
      <c r="F28" s="282">
        <f t="shared" si="2"/>
        <v>282.37</v>
      </c>
      <c r="N28" s="250"/>
      <c r="O28" s="250"/>
    </row>
    <row r="29" spans="1:15" ht="15" x14ac:dyDescent="0.25">
      <c r="A29" s="277">
        <v>54</v>
      </c>
      <c r="B29" s="277" t="str">
        <f t="shared" si="1"/>
        <v>6090</v>
      </c>
      <c r="C29" s="279" t="s">
        <v>893</v>
      </c>
      <c r="D29" s="281">
        <v>1812.5</v>
      </c>
      <c r="E29" s="278">
        <f>SUMIF('AJE INC'!A:A,'TB INC'!B29,'AJE INC'!C:C)</f>
        <v>0</v>
      </c>
      <c r="F29" s="282">
        <f t="shared" si="2"/>
        <v>1812.5</v>
      </c>
      <c r="N29" s="250"/>
      <c r="O29" s="250"/>
    </row>
    <row r="30" spans="1:15" ht="15" x14ac:dyDescent="0.25">
      <c r="A30" s="277">
        <v>55</v>
      </c>
      <c r="B30" s="277" t="str">
        <f t="shared" si="1"/>
        <v>6210</v>
      </c>
      <c r="C30" s="279" t="s">
        <v>894</v>
      </c>
      <c r="D30" s="281">
        <v>7889</v>
      </c>
      <c r="E30" s="278">
        <f>SUMIF('AJE INC'!A:A,'TB INC'!B30,'AJE INC'!C:C)</f>
        <v>0</v>
      </c>
      <c r="F30" s="282">
        <f t="shared" si="2"/>
        <v>7889</v>
      </c>
      <c r="N30" s="250"/>
      <c r="O30" s="250"/>
    </row>
    <row r="31" spans="1:15" ht="15" x14ac:dyDescent="0.25">
      <c r="A31" s="277">
        <v>55</v>
      </c>
      <c r="B31" s="277" t="str">
        <f t="shared" si="1"/>
        <v>6220</v>
      </c>
      <c r="C31" s="279" t="s">
        <v>895</v>
      </c>
      <c r="D31" s="281">
        <v>898</v>
      </c>
      <c r="E31" s="278">
        <f>SUMIF('AJE INC'!A:A,'TB INC'!B31,'AJE INC'!C:C)</f>
        <v>0</v>
      </c>
      <c r="F31" s="282">
        <f t="shared" si="2"/>
        <v>898</v>
      </c>
      <c r="N31" s="250"/>
      <c r="O31" s="250"/>
    </row>
    <row r="32" spans="1:15" ht="15.75" customHeight="1" x14ac:dyDescent="0.25">
      <c r="A32" s="277">
        <v>55</v>
      </c>
      <c r="B32" s="277" t="str">
        <f t="shared" si="1"/>
        <v>6230</v>
      </c>
      <c r="C32" s="279" t="s">
        <v>896</v>
      </c>
      <c r="D32" s="281">
        <v>88174.86</v>
      </c>
      <c r="E32" s="278">
        <f>SUMIF('AJE INC'!A:A,'TB INC'!B32,'AJE INC'!C:C)</f>
        <v>0</v>
      </c>
      <c r="F32" s="282">
        <f t="shared" si="2"/>
        <v>88174.86</v>
      </c>
      <c r="N32" s="250"/>
      <c r="O32" s="250"/>
    </row>
    <row r="33" spans="1:15" ht="15" x14ac:dyDescent="0.25">
      <c r="A33" s="277">
        <v>55</v>
      </c>
      <c r="B33" s="277" t="str">
        <f t="shared" si="1"/>
        <v>6240</v>
      </c>
      <c r="C33" s="279" t="s">
        <v>897</v>
      </c>
      <c r="D33" s="281">
        <v>150</v>
      </c>
      <c r="E33" s="278">
        <f>SUMIF('AJE INC'!A:A,'TB INC'!B33,'AJE INC'!C:C)</f>
        <v>0</v>
      </c>
      <c r="F33" s="282">
        <f t="shared" si="2"/>
        <v>150</v>
      </c>
      <c r="N33" s="250"/>
      <c r="O33" s="250"/>
    </row>
    <row r="34" spans="1:15" ht="15" x14ac:dyDescent="0.25">
      <c r="A34" s="277">
        <v>55</v>
      </c>
      <c r="B34" s="277" t="str">
        <f t="shared" si="1"/>
        <v>6270</v>
      </c>
      <c r="C34" s="279" t="s">
        <v>972</v>
      </c>
      <c r="D34" s="281">
        <v>1640</v>
      </c>
      <c r="E34" s="278">
        <f>SUMIF('AJE INC'!A:A,'TB INC'!B34,'AJE INC'!C:C)</f>
        <v>0</v>
      </c>
      <c r="F34" s="282">
        <f t="shared" si="2"/>
        <v>1640</v>
      </c>
      <c r="N34" s="250"/>
      <c r="O34" s="250"/>
    </row>
    <row r="35" spans="1:15" ht="15.75" customHeight="1" x14ac:dyDescent="0.25">
      <c r="A35" s="277">
        <v>55</v>
      </c>
      <c r="B35" s="277" t="str">
        <f t="shared" si="1"/>
        <v>6280</v>
      </c>
      <c r="C35" s="279" t="s">
        <v>973</v>
      </c>
      <c r="D35" s="281">
        <v>25000</v>
      </c>
      <c r="E35" s="278">
        <f>SUMIF('AJE INC'!A:A,'TB INC'!B35,'AJE INC'!C:C)</f>
        <v>0</v>
      </c>
      <c r="F35" s="282">
        <f t="shared" si="2"/>
        <v>25000</v>
      </c>
      <c r="N35" s="250"/>
      <c r="O35" s="250"/>
    </row>
    <row r="36" spans="1:15" ht="15" x14ac:dyDescent="0.25">
      <c r="A36" s="277">
        <v>55</v>
      </c>
      <c r="B36" s="277" t="str">
        <f t="shared" si="1"/>
        <v>6310</v>
      </c>
      <c r="C36" s="279" t="s">
        <v>898</v>
      </c>
      <c r="D36" s="281">
        <v>4586.46</v>
      </c>
      <c r="E36" s="278">
        <f>SUMIF('AJE INC'!A:A,'TB INC'!B36,'AJE INC'!C:C)</f>
        <v>6891.3199999993667</v>
      </c>
      <c r="F36" s="282">
        <f t="shared" si="2"/>
        <v>11477.779999999366</v>
      </c>
    </row>
    <row r="37" spans="1:15" ht="15" x14ac:dyDescent="0.25">
      <c r="A37" s="277">
        <v>55</v>
      </c>
      <c r="B37" s="277" t="str">
        <f t="shared" si="1"/>
        <v>6320</v>
      </c>
      <c r="C37" s="279" t="s">
        <v>899</v>
      </c>
      <c r="D37" s="281">
        <v>450.65</v>
      </c>
      <c r="E37" s="278">
        <f>SUMIF('AJE INC'!A:A,'TB INC'!B37,'AJE INC'!C:C)</f>
        <v>0</v>
      </c>
      <c r="F37" s="282">
        <f t="shared" si="2"/>
        <v>450.65</v>
      </c>
    </row>
    <row r="38" spans="1:15" ht="15" x14ac:dyDescent="0.25">
      <c r="A38" s="277">
        <v>55</v>
      </c>
      <c r="B38" s="277" t="str">
        <f t="shared" si="1"/>
        <v>6340</v>
      </c>
      <c r="C38" s="279" t="s">
        <v>900</v>
      </c>
      <c r="D38" s="281">
        <v>620.07000000000005</v>
      </c>
      <c r="E38" s="278">
        <f>SUMIF('AJE INC'!A:A,'TB INC'!B38,'AJE INC'!C:C)</f>
        <v>0</v>
      </c>
      <c r="F38" s="282">
        <f t="shared" si="2"/>
        <v>620.07000000000005</v>
      </c>
    </row>
    <row r="39" spans="1:15" ht="15" x14ac:dyDescent="0.25">
      <c r="A39" s="277">
        <v>54</v>
      </c>
      <c r="B39" s="277" t="str">
        <f t="shared" si="1"/>
        <v>6410</v>
      </c>
      <c r="C39" s="279" t="s">
        <v>901</v>
      </c>
      <c r="D39" s="281">
        <v>1642.95</v>
      </c>
      <c r="E39" s="278">
        <f>SUMIF('AJE INC'!A:A,'TB INC'!B39,'AJE INC'!C:C)</f>
        <v>0</v>
      </c>
      <c r="F39" s="282">
        <f t="shared" si="2"/>
        <v>1642.95</v>
      </c>
    </row>
    <row r="40" spans="1:15" ht="15" x14ac:dyDescent="0.25">
      <c r="A40" s="277">
        <v>54</v>
      </c>
      <c r="B40" s="277" t="str">
        <f t="shared" si="1"/>
        <v>6440</v>
      </c>
      <c r="C40" s="279" t="s">
        <v>902</v>
      </c>
      <c r="D40" s="281">
        <v>10000</v>
      </c>
      <c r="E40" s="278">
        <f>SUMIF('AJE INC'!A:A,'TB INC'!B40,'AJE INC'!C:C)</f>
        <v>0</v>
      </c>
      <c r="F40" s="282">
        <f t="shared" si="2"/>
        <v>10000</v>
      </c>
    </row>
    <row r="41" spans="1:15" ht="15" x14ac:dyDescent="0.25">
      <c r="A41" s="277">
        <v>54</v>
      </c>
      <c r="B41" s="277" t="str">
        <f t="shared" si="1"/>
        <v>6450</v>
      </c>
      <c r="C41" s="279" t="s">
        <v>903</v>
      </c>
      <c r="D41" s="281">
        <v>1764</v>
      </c>
      <c r="E41" s="278">
        <f>SUMIF('AJE INC'!A:A,'TB INC'!B41,'AJE INC'!C:C)</f>
        <v>0</v>
      </c>
      <c r="F41" s="282">
        <f t="shared" si="2"/>
        <v>1764</v>
      </c>
    </row>
    <row r="42" spans="1:15" ht="15" x14ac:dyDescent="0.25">
      <c r="A42" s="277">
        <v>55</v>
      </c>
      <c r="B42" s="277" t="str">
        <f t="shared" si="1"/>
        <v>6520</v>
      </c>
      <c r="C42" s="279" t="s">
        <v>974</v>
      </c>
      <c r="D42" s="281">
        <v>25</v>
      </c>
      <c r="E42" s="278">
        <f>SUMIF('AJE INC'!A:A,'TB INC'!B42,'AJE INC'!C:C)</f>
        <v>0</v>
      </c>
      <c r="F42" s="282">
        <f t="shared" si="2"/>
        <v>25</v>
      </c>
    </row>
    <row r="43" spans="1:15" ht="15" x14ac:dyDescent="0.25">
      <c r="A43" s="277">
        <v>55</v>
      </c>
      <c r="B43" s="277" t="str">
        <f t="shared" si="1"/>
        <v>6530</v>
      </c>
      <c r="C43" s="279" t="s">
        <v>975</v>
      </c>
      <c r="D43" s="281">
        <v>2376.33</v>
      </c>
      <c r="E43" s="278">
        <f>SUMIF('AJE INC'!A:A,'TB INC'!B43,'AJE INC'!C:C)</f>
        <v>0</v>
      </c>
      <c r="F43" s="282">
        <f t="shared" si="2"/>
        <v>2376.33</v>
      </c>
    </row>
    <row r="44" spans="1:15" ht="15" x14ac:dyDescent="0.25">
      <c r="A44" s="277">
        <v>55</v>
      </c>
      <c r="B44" s="277" t="str">
        <f t="shared" si="1"/>
        <v>6540</v>
      </c>
      <c r="C44" s="279" t="s">
        <v>976</v>
      </c>
      <c r="D44" s="281">
        <v>150</v>
      </c>
      <c r="E44" s="278">
        <f>SUMIF('AJE INC'!A:A,'TB INC'!B44,'AJE INC'!C:C)</f>
        <v>0</v>
      </c>
      <c r="F44" s="282">
        <f t="shared" si="2"/>
        <v>150</v>
      </c>
    </row>
    <row r="45" spans="1:15" ht="15" x14ac:dyDescent="0.25">
      <c r="A45" s="277">
        <v>55</v>
      </c>
      <c r="B45" s="277" t="str">
        <f t="shared" si="1"/>
        <v>6570</v>
      </c>
      <c r="C45" s="279" t="s">
        <v>977</v>
      </c>
      <c r="D45" s="281">
        <v>737.13</v>
      </c>
      <c r="E45" s="278">
        <f>SUMIF('AJE INC'!A:A,'TB INC'!B45,'AJE INC'!C:C)</f>
        <v>0</v>
      </c>
      <c r="F45" s="282">
        <f t="shared" si="2"/>
        <v>737.13</v>
      </c>
    </row>
    <row r="46" spans="1:15" ht="15" x14ac:dyDescent="0.25">
      <c r="A46" s="277">
        <v>55</v>
      </c>
      <c r="B46" s="277" t="str">
        <f t="shared" si="1"/>
        <v>6511</v>
      </c>
      <c r="C46" s="279" t="s">
        <v>904</v>
      </c>
      <c r="D46" s="281">
        <v>537.84</v>
      </c>
      <c r="E46" s="278">
        <f>SUMIF('AJE INC'!A:A,'TB INC'!B46,'AJE INC'!C:C)</f>
        <v>0</v>
      </c>
      <c r="F46" s="282">
        <f t="shared" si="2"/>
        <v>537.84</v>
      </c>
    </row>
    <row r="47" spans="1:15" ht="15" x14ac:dyDescent="0.25">
      <c r="A47" s="277">
        <v>55</v>
      </c>
      <c r="B47" s="277" t="str">
        <f t="shared" si="1"/>
        <v>6610</v>
      </c>
      <c r="C47" s="279" t="s">
        <v>905</v>
      </c>
      <c r="D47" s="281">
        <v>6133.33</v>
      </c>
      <c r="E47" s="278">
        <f>SUMIF('AJE INC'!A:A,'TB INC'!B47,'AJE INC'!C:C)</f>
        <v>0</v>
      </c>
      <c r="F47" s="282">
        <f t="shared" si="2"/>
        <v>6133.33</v>
      </c>
    </row>
    <row r="48" spans="1:15" ht="15" x14ac:dyDescent="0.25">
      <c r="A48" s="277">
        <v>55</v>
      </c>
      <c r="B48" s="277" t="str">
        <f t="shared" si="1"/>
        <v>6620</v>
      </c>
      <c r="C48" s="279" t="s">
        <v>906</v>
      </c>
      <c r="D48" s="281">
        <v>100</v>
      </c>
      <c r="E48" s="278">
        <f>SUMIF('AJE INC'!A:A,'TB INC'!B48,'AJE INC'!C:C)</f>
        <v>0</v>
      </c>
      <c r="F48" s="282">
        <f t="shared" si="2"/>
        <v>100</v>
      </c>
    </row>
    <row r="49" spans="1:6" ht="15" x14ac:dyDescent="0.25">
      <c r="A49" s="277">
        <v>55</v>
      </c>
      <c r="B49" s="277" t="str">
        <f t="shared" si="1"/>
        <v>6720</v>
      </c>
      <c r="C49" s="279" t="s">
        <v>907</v>
      </c>
      <c r="D49" s="281">
        <v>371</v>
      </c>
      <c r="E49" s="278">
        <f>SUMIF('AJE INC'!A:A,'TB INC'!B49,'AJE INC'!C:C)</f>
        <v>0</v>
      </c>
      <c r="F49" s="282">
        <f t="shared" si="2"/>
        <v>371</v>
      </c>
    </row>
    <row r="50" spans="1:6" ht="15" x14ac:dyDescent="0.25">
      <c r="A50" s="277">
        <v>55</v>
      </c>
      <c r="B50" s="277"/>
      <c r="C50" s="279" t="s">
        <v>908</v>
      </c>
      <c r="D50" s="281">
        <v>699.98</v>
      </c>
      <c r="E50" s="278">
        <f>SUMIF('AJE INC'!A:A,'TB INC'!B50,'AJE INC'!C:C)</f>
        <v>0</v>
      </c>
      <c r="F50" s="282">
        <f t="shared" si="2"/>
        <v>699.98</v>
      </c>
    </row>
    <row r="51" spans="1:6" ht="15" x14ac:dyDescent="0.25">
      <c r="A51" s="277">
        <v>58</v>
      </c>
      <c r="B51" s="277"/>
      <c r="C51" s="279" t="s">
        <v>909</v>
      </c>
      <c r="D51" s="281">
        <v>2500</v>
      </c>
      <c r="E51" s="278">
        <f>SUMIF('AJE INC'!A:A,'TB INC'!B51,'AJE INC'!C:C)</f>
        <v>0</v>
      </c>
      <c r="F51" s="282">
        <f t="shared" si="2"/>
        <v>2500</v>
      </c>
    </row>
    <row r="52" spans="1:6" ht="15" x14ac:dyDescent="0.25">
      <c r="A52" s="277">
        <v>58</v>
      </c>
      <c r="B52" s="277"/>
      <c r="C52" s="279" t="s">
        <v>910</v>
      </c>
      <c r="D52" s="281">
        <v>7956.46</v>
      </c>
      <c r="E52" s="278">
        <f>SUMIF('AJE INC'!A:A,'TB INC'!B52,'AJE INC'!C:C)</f>
        <v>0</v>
      </c>
      <c r="F52" s="282">
        <f t="shared" si="2"/>
        <v>7956.46</v>
      </c>
    </row>
    <row r="53" spans="1:6" ht="15" x14ac:dyDescent="0.25">
      <c r="A53" s="277">
        <v>56</v>
      </c>
      <c r="B53" s="277"/>
      <c r="C53" s="279" t="s">
        <v>911</v>
      </c>
      <c r="D53" s="281">
        <v>2216.3000000000002</v>
      </c>
      <c r="E53" s="278">
        <f>SUMIF('AJE INC'!A:A,'TB INC'!B53,'AJE INC'!C:C)</f>
        <v>0</v>
      </c>
      <c r="F53" s="282">
        <f t="shared" si="2"/>
        <v>2216.3000000000002</v>
      </c>
    </row>
    <row r="54" spans="1:6" ht="15" x14ac:dyDescent="0.25">
      <c r="A54" s="277">
        <v>56</v>
      </c>
      <c r="B54" s="277"/>
      <c r="C54" s="279" t="s">
        <v>912</v>
      </c>
      <c r="D54" s="281">
        <v>105.85</v>
      </c>
      <c r="E54" s="278">
        <f>SUMIF('AJE INC'!A:A,'TB INC'!B54,'AJE INC'!C:C)</f>
        <v>0</v>
      </c>
      <c r="F54" s="282">
        <f t="shared" si="2"/>
        <v>105.85</v>
      </c>
    </row>
    <row r="55" spans="1:6" ht="15" x14ac:dyDescent="0.25">
      <c r="A55" s="277">
        <v>58</v>
      </c>
      <c r="B55" s="277"/>
      <c r="C55" s="279" t="s">
        <v>913</v>
      </c>
      <c r="D55" s="281">
        <v>622.64</v>
      </c>
      <c r="E55" s="278">
        <f>SUMIF('AJE INC'!A:A,'TB INC'!B55,'AJE INC'!C:C)</f>
        <v>0</v>
      </c>
      <c r="F55" s="282">
        <f t="shared" si="2"/>
        <v>622.64</v>
      </c>
    </row>
    <row r="56" spans="1:6" ht="15" x14ac:dyDescent="0.25">
      <c r="A56" s="277">
        <v>56</v>
      </c>
      <c r="B56" s="277" t="str">
        <f t="shared" ref="B56" si="3">LEFT(C56,4)</f>
        <v>7010</v>
      </c>
      <c r="C56" t="s">
        <v>704</v>
      </c>
      <c r="D56">
        <v>-1897.85</v>
      </c>
      <c r="F56" s="282">
        <f>D56+E56</f>
        <v>-1897.85</v>
      </c>
    </row>
    <row r="57" spans="1:6" ht="15" x14ac:dyDescent="0.25">
      <c r="A57" s="277">
        <v>56</v>
      </c>
      <c r="C57" t="s">
        <v>914</v>
      </c>
      <c r="D57">
        <v>3012.79</v>
      </c>
      <c r="F57" s="282">
        <f t="shared" si="2"/>
        <v>3012.79</v>
      </c>
    </row>
    <row r="58" spans="1:6" ht="15" x14ac:dyDescent="0.25">
      <c r="A58" s="277">
        <v>56</v>
      </c>
      <c r="B58" s="277"/>
      <c r="C58" s="280" t="s">
        <v>915</v>
      </c>
      <c r="D58" s="277">
        <v>0</v>
      </c>
      <c r="E58" s="278">
        <f>SUMIF('AJE INC'!A:A,'TB INC'!B58,'AJE INC'!C:C)</f>
        <v>0</v>
      </c>
      <c r="F58" s="282">
        <f t="shared" si="2"/>
        <v>0</v>
      </c>
    </row>
    <row r="59" spans="1:6" ht="15" x14ac:dyDescent="0.25">
      <c r="A59" s="277">
        <v>54</v>
      </c>
      <c r="B59" s="277" t="s">
        <v>113</v>
      </c>
      <c r="C59" t="s">
        <v>916</v>
      </c>
      <c r="D59" s="277"/>
      <c r="E59" s="278">
        <f>SUMIF('AJE INC'!A:A,'TB INC'!B59,'AJE INC'!C:C)</f>
        <v>707.59677180597328</v>
      </c>
      <c r="F59" s="282">
        <f t="shared" si="2"/>
        <v>707.59677180597328</v>
      </c>
    </row>
    <row r="60" spans="1:6" ht="15" x14ac:dyDescent="0.25">
      <c r="A60" s="277">
        <v>55</v>
      </c>
      <c r="B60" s="277" t="s">
        <v>736</v>
      </c>
      <c r="C60" t="s">
        <v>1043</v>
      </c>
      <c r="D60" s="277"/>
      <c r="E60" s="278">
        <f>SUMIF('AJE INC'!A:A,'TB INC'!B60,'AJE INC'!C:C)</f>
        <v>9655.0902424364031</v>
      </c>
      <c r="F60" s="282">
        <f t="shared" si="2"/>
        <v>9655.0902424364031</v>
      </c>
    </row>
    <row r="61" spans="1:6" ht="15" x14ac:dyDescent="0.25">
      <c r="A61" s="277">
        <v>40</v>
      </c>
      <c r="B61" s="277" t="s">
        <v>873</v>
      </c>
      <c r="C61" s="277" t="s">
        <v>85</v>
      </c>
      <c r="D61" s="277"/>
      <c r="E61" s="278">
        <f>SUMIF('AJE INC'!A:A,'TB INC'!B61,'AJE INC'!C:C)</f>
        <v>-20105</v>
      </c>
      <c r="F61" s="282">
        <f t="shared" si="2"/>
        <v>-20105</v>
      </c>
    </row>
    <row r="62" spans="1:6" ht="15" x14ac:dyDescent="0.25">
      <c r="A62" s="277">
        <v>42</v>
      </c>
      <c r="B62" s="277" t="s">
        <v>934</v>
      </c>
      <c r="C62" s="277" t="s">
        <v>1035</v>
      </c>
      <c r="D62" s="277"/>
      <c r="E62" s="278">
        <f>SUMIF('AJE INC'!A:A,'TB INC'!B62,'AJE INC'!C:C)</f>
        <v>-16000</v>
      </c>
      <c r="F62" s="282">
        <f t="shared" si="2"/>
        <v>-16000</v>
      </c>
    </row>
    <row r="63" spans="1:6" ht="15" x14ac:dyDescent="0.25">
      <c r="A63" s="277">
        <v>43</v>
      </c>
      <c r="B63" s="277" t="s">
        <v>935</v>
      </c>
      <c r="C63" t="s">
        <v>86</v>
      </c>
      <c r="E63" s="278">
        <f>SUMIF('AJE INC'!A:A,'TB INC'!B63,'AJE INC'!C:C)</f>
        <v>-10363.64</v>
      </c>
      <c r="F63" s="282">
        <f t="shared" si="2"/>
        <v>-10363.64</v>
      </c>
    </row>
    <row r="64" spans="1:6" ht="15" x14ac:dyDescent="0.25">
      <c r="E64" s="278">
        <f>SUMIF('AJE INC'!A:A,'TB INC'!B64,'AJE INC'!C:C)</f>
        <v>0</v>
      </c>
      <c r="F64" s="282">
        <f t="shared" si="2"/>
        <v>0</v>
      </c>
    </row>
    <row r="65" spans="1:6" ht="15" x14ac:dyDescent="0.25">
      <c r="A65" s="277"/>
      <c r="B65" s="277"/>
      <c r="C65" s="277"/>
      <c r="D65" s="277"/>
      <c r="E65" s="278">
        <f>SUMIF('AJE INC'!A:A,'TB INC'!B65,'AJE INC'!C:C)</f>
        <v>0</v>
      </c>
      <c r="F65" s="282">
        <f t="shared" si="2"/>
        <v>0</v>
      </c>
    </row>
    <row r="66" spans="1:6" ht="15" x14ac:dyDescent="0.25">
      <c r="A66" s="277"/>
      <c r="B66" s="277"/>
      <c r="C66" s="277"/>
      <c r="D66" s="277"/>
      <c r="E66" s="278">
        <f>SUMIF('AJE INC'!A:A,'TB INC'!B66,'AJE INC'!C:C)</f>
        <v>0</v>
      </c>
      <c r="F66" s="282">
        <f t="shared" si="2"/>
        <v>0</v>
      </c>
    </row>
    <row r="67" spans="1:6" ht="15" x14ac:dyDescent="0.25">
      <c r="A67" s="277"/>
      <c r="B67" s="277"/>
      <c r="C67" s="277"/>
      <c r="D67" s="277"/>
      <c r="E67" s="278">
        <f>SUMIF('AJE INC'!A:A,'TB INC'!B67,'AJE INC'!C:C)</f>
        <v>0</v>
      </c>
      <c r="F67" s="282">
        <f t="shared" si="2"/>
        <v>0</v>
      </c>
    </row>
    <row r="68" spans="1:6" ht="15" x14ac:dyDescent="0.25">
      <c r="A68" s="277"/>
      <c r="B68" s="277"/>
      <c r="C68" s="277"/>
      <c r="D68" s="277"/>
      <c r="E68" s="278">
        <f>SUMIF('AJE INC'!A:A,'TB INC'!B68,'AJE INC'!C:C)</f>
        <v>0</v>
      </c>
      <c r="F68" s="282">
        <f t="shared" ref="F68:F79" si="4">D68+E68</f>
        <v>0</v>
      </c>
    </row>
    <row r="69" spans="1:6" ht="15" x14ac:dyDescent="0.25">
      <c r="E69" s="278">
        <f>SUMIF('AJE INC'!A:A,'TB INC'!B69,'AJE INC'!C:C)</f>
        <v>0</v>
      </c>
      <c r="F69" s="282">
        <f t="shared" si="4"/>
        <v>0</v>
      </c>
    </row>
    <row r="70" spans="1:6" ht="15" x14ac:dyDescent="0.25">
      <c r="E70" s="278">
        <f>SUMIF('AJE INC'!A:A,'TB INC'!B70,'AJE INC'!C:C)</f>
        <v>0</v>
      </c>
      <c r="F70" s="282">
        <f t="shared" si="4"/>
        <v>0</v>
      </c>
    </row>
    <row r="71" spans="1:6" ht="15" x14ac:dyDescent="0.25">
      <c r="A71" s="277"/>
      <c r="B71" s="277"/>
      <c r="C71" s="277"/>
      <c r="D71" s="277"/>
      <c r="E71" s="278">
        <f>SUMIF('AJE INC'!A:A,'TB INC'!B71,'AJE INC'!C:C)</f>
        <v>0</v>
      </c>
      <c r="F71" s="282">
        <f t="shared" si="4"/>
        <v>0</v>
      </c>
    </row>
    <row r="72" spans="1:6" ht="15" x14ac:dyDescent="0.25">
      <c r="A72" s="277"/>
      <c r="B72" s="277"/>
      <c r="C72" s="277"/>
      <c r="D72" s="277"/>
      <c r="E72" s="278">
        <f>SUMIF('AJE INC'!A:A,'TB INC'!B72,'AJE INC'!C:C)</f>
        <v>0</v>
      </c>
      <c r="F72" s="282">
        <f t="shared" si="4"/>
        <v>0</v>
      </c>
    </row>
    <row r="73" spans="1:6" ht="15" x14ac:dyDescent="0.25">
      <c r="A73" s="277"/>
      <c r="B73" s="277"/>
      <c r="C73" s="277"/>
      <c r="D73" s="277"/>
      <c r="E73" s="278">
        <f>SUMIF('AJE INC'!A:A,'TB INC'!B73,'AJE INC'!C:C)</f>
        <v>0</v>
      </c>
      <c r="F73" s="282">
        <f t="shared" si="4"/>
        <v>0</v>
      </c>
    </row>
    <row r="74" spans="1:6" ht="15" x14ac:dyDescent="0.25">
      <c r="A74" s="277"/>
      <c r="B74" s="277"/>
      <c r="C74" s="277"/>
      <c r="D74" s="277"/>
      <c r="E74" s="278">
        <f>SUMIF('AJE INC'!A:A,'TB INC'!B74,'AJE INC'!C:C)</f>
        <v>0</v>
      </c>
      <c r="F74" s="282">
        <f t="shared" si="4"/>
        <v>0</v>
      </c>
    </row>
    <row r="75" spans="1:6" ht="15" x14ac:dyDescent="0.25">
      <c r="A75" s="277"/>
      <c r="B75" s="277"/>
      <c r="C75" s="277"/>
      <c r="D75" s="277"/>
      <c r="E75" s="278">
        <f>SUMIF('AJE INC'!A:A,'TB INC'!B75,'AJE INC'!C:C)</f>
        <v>0</v>
      </c>
      <c r="F75" s="282">
        <f t="shared" si="4"/>
        <v>0</v>
      </c>
    </row>
    <row r="76" spans="1:6" ht="15" x14ac:dyDescent="0.25">
      <c r="A76" s="277"/>
      <c r="B76" s="277"/>
      <c r="C76" s="277"/>
      <c r="D76" s="277"/>
      <c r="E76" s="278">
        <f>SUMIF('AJE INC'!A:A,'TB INC'!B76,'AJE INC'!C:C)</f>
        <v>0</v>
      </c>
      <c r="F76" s="282">
        <f t="shared" si="4"/>
        <v>0</v>
      </c>
    </row>
    <row r="77" spans="1:6" ht="15" x14ac:dyDescent="0.25">
      <c r="A77" s="277"/>
      <c r="B77" s="277"/>
      <c r="C77" s="277"/>
      <c r="D77" s="277"/>
      <c r="E77" s="278">
        <f>SUMIF('AJE INC'!A:A,'TB INC'!B77,'AJE INC'!C:C)</f>
        <v>0</v>
      </c>
      <c r="F77" s="282">
        <f t="shared" si="4"/>
        <v>0</v>
      </c>
    </row>
    <row r="78" spans="1:6" ht="15" x14ac:dyDescent="0.25">
      <c r="A78" s="277"/>
      <c r="B78" s="277"/>
      <c r="C78" s="277"/>
      <c r="D78" s="277"/>
      <c r="E78" s="278">
        <f>SUMIF('AJE INC'!A:A,'TB INC'!B78,'AJE INC'!C:C)</f>
        <v>0</v>
      </c>
      <c r="F78" s="282">
        <f t="shared" si="4"/>
        <v>0</v>
      </c>
    </row>
    <row r="79" spans="1:6" ht="15" x14ac:dyDescent="0.25">
      <c r="A79" s="277"/>
      <c r="B79" s="277"/>
      <c r="C79" s="277"/>
      <c r="D79" s="277"/>
      <c r="E79" s="278">
        <f>SUMIF('AJE INC'!A:A,'TB INC'!B79,'AJE INC'!C:C)</f>
        <v>0</v>
      </c>
      <c r="F79" s="282">
        <f t="shared" si="4"/>
        <v>0</v>
      </c>
    </row>
    <row r="80" spans="1:6" x14ac:dyDescent="0.2">
      <c r="A80" s="277"/>
      <c r="B80" s="277"/>
      <c r="C80" s="277"/>
      <c r="D80" s="277"/>
      <c r="E80" s="277"/>
      <c r="F80" s="277"/>
    </row>
    <row r="81" spans="1:6" x14ac:dyDescent="0.2">
      <c r="A81" s="277"/>
      <c r="B81" s="277"/>
      <c r="C81" s="277"/>
      <c r="D81" s="277"/>
      <c r="E81" s="277"/>
      <c r="F81" s="277"/>
    </row>
    <row r="82" spans="1:6" x14ac:dyDescent="0.2">
      <c r="A82" s="277"/>
      <c r="B82" s="277"/>
      <c r="C82" s="277"/>
      <c r="D82" s="277"/>
      <c r="E82" s="277"/>
      <c r="F82" s="277"/>
    </row>
    <row r="83" spans="1:6" x14ac:dyDescent="0.2">
      <c r="A83" s="277"/>
      <c r="B83" s="277"/>
      <c r="C83" s="277"/>
      <c r="D83" s="277"/>
      <c r="E83" s="277"/>
      <c r="F83" s="277"/>
    </row>
    <row r="84" spans="1:6" x14ac:dyDescent="0.2">
      <c r="A84" s="277"/>
      <c r="B84" s="277"/>
      <c r="C84" s="277"/>
      <c r="D84" s="277"/>
      <c r="E84" s="277"/>
      <c r="F84" s="277"/>
    </row>
    <row r="85" spans="1:6" x14ac:dyDescent="0.2">
      <c r="A85" s="277"/>
      <c r="B85" s="277"/>
      <c r="C85" s="277"/>
      <c r="D85" s="277"/>
      <c r="E85" s="277"/>
      <c r="F85" s="277"/>
    </row>
    <row r="86" spans="1:6" x14ac:dyDescent="0.2">
      <c r="A86" s="277"/>
      <c r="B86" s="277"/>
      <c r="C86" s="277"/>
      <c r="D86" s="277"/>
      <c r="E86" s="277"/>
      <c r="F86" s="277"/>
    </row>
    <row r="87" spans="1:6" x14ac:dyDescent="0.2">
      <c r="A87" s="277"/>
      <c r="B87" s="277"/>
      <c r="C87" s="277"/>
      <c r="D87" s="277"/>
      <c r="E87" s="277"/>
      <c r="F87" s="277"/>
    </row>
    <row r="88" spans="1:6" x14ac:dyDescent="0.2">
      <c r="A88" s="277"/>
      <c r="B88" s="277"/>
      <c r="C88" s="277"/>
      <c r="D88" s="277"/>
      <c r="E88" s="277"/>
      <c r="F88" s="277"/>
    </row>
    <row r="89" spans="1:6" x14ac:dyDescent="0.2">
      <c r="A89" s="277"/>
      <c r="B89" s="277"/>
      <c r="C89" s="277"/>
      <c r="D89" s="277"/>
      <c r="E89" s="277"/>
      <c r="F89" s="277"/>
    </row>
    <row r="90" spans="1:6" x14ac:dyDescent="0.2">
      <c r="A90" s="277"/>
      <c r="B90" s="277"/>
      <c r="C90" s="277"/>
      <c r="D90" s="277"/>
      <c r="E90" s="277"/>
      <c r="F90" s="277"/>
    </row>
    <row r="91" spans="1:6" x14ac:dyDescent="0.2">
      <c r="A91" s="277"/>
      <c r="B91" s="277"/>
      <c r="C91" s="277"/>
      <c r="D91" s="277"/>
      <c r="E91" s="277"/>
      <c r="F91" s="277"/>
    </row>
    <row r="92" spans="1:6" x14ac:dyDescent="0.2">
      <c r="A92" s="277"/>
      <c r="B92" s="277"/>
      <c r="C92" s="277"/>
      <c r="D92" s="277"/>
      <c r="E92" s="277"/>
      <c r="F92" s="277"/>
    </row>
    <row r="93" spans="1:6" x14ac:dyDescent="0.2">
      <c r="A93" s="277"/>
      <c r="B93" s="277"/>
      <c r="C93" s="277"/>
      <c r="D93" s="277"/>
      <c r="E93" s="277"/>
      <c r="F93" s="277"/>
    </row>
    <row r="94" spans="1:6" x14ac:dyDescent="0.2">
      <c r="A94" s="277"/>
      <c r="B94" s="277"/>
      <c r="C94" s="277"/>
      <c r="D94" s="277"/>
      <c r="E94" s="277"/>
      <c r="F94" s="277"/>
    </row>
    <row r="95" spans="1:6" x14ac:dyDescent="0.2">
      <c r="A95" s="277"/>
      <c r="B95" s="277"/>
      <c r="C95" s="277"/>
      <c r="D95" s="277"/>
      <c r="E95" s="277"/>
      <c r="F95" s="277"/>
    </row>
    <row r="96" spans="1:6" x14ac:dyDescent="0.2">
      <c r="A96" s="277"/>
      <c r="B96" s="277"/>
      <c r="C96" s="277"/>
      <c r="D96" s="277"/>
      <c r="E96" s="277"/>
      <c r="F96" s="277"/>
    </row>
    <row r="97" spans="1:6" x14ac:dyDescent="0.2">
      <c r="A97" s="277"/>
      <c r="B97" s="277"/>
      <c r="C97" s="277"/>
      <c r="D97" s="277"/>
      <c r="E97" s="277"/>
      <c r="F97" s="277"/>
    </row>
    <row r="98" spans="1:6" x14ac:dyDescent="0.2">
      <c r="A98" s="277"/>
      <c r="B98" s="277"/>
      <c r="C98" s="277"/>
      <c r="D98" s="277"/>
      <c r="E98" s="277"/>
      <c r="F98" s="277"/>
    </row>
    <row r="99" spans="1:6" x14ac:dyDescent="0.2">
      <c r="A99" s="277"/>
      <c r="B99" s="277"/>
      <c r="C99" s="277"/>
      <c r="D99" s="277"/>
      <c r="E99" s="277"/>
      <c r="F99" s="277"/>
    </row>
    <row r="100" spans="1:6" x14ac:dyDescent="0.2">
      <c r="A100" s="277"/>
      <c r="B100" s="277"/>
      <c r="C100" s="277"/>
      <c r="D100" s="277"/>
      <c r="E100" s="277"/>
      <c r="F100" s="277"/>
    </row>
    <row r="101" spans="1:6" x14ac:dyDescent="0.2">
      <c r="A101" s="277"/>
      <c r="B101" s="277"/>
      <c r="C101" s="277"/>
      <c r="D101" s="277"/>
      <c r="E101" s="277"/>
      <c r="F101" s="277"/>
    </row>
    <row r="102" spans="1:6" x14ac:dyDescent="0.2">
      <c r="A102" s="277"/>
      <c r="B102" s="277"/>
      <c r="C102" s="277"/>
      <c r="D102" s="277"/>
      <c r="E102" s="277"/>
      <c r="F102" s="277"/>
    </row>
    <row r="103" spans="1:6" x14ac:dyDescent="0.2">
      <c r="A103" s="277"/>
      <c r="B103" s="277"/>
      <c r="C103" s="277"/>
      <c r="D103" s="277"/>
      <c r="E103" s="277"/>
      <c r="F103" s="277"/>
    </row>
    <row r="104" spans="1:6" x14ac:dyDescent="0.2">
      <c r="A104" s="277"/>
      <c r="B104" s="277"/>
      <c r="C104" s="277"/>
      <c r="D104" s="277"/>
      <c r="E104" s="277"/>
      <c r="F104" s="277"/>
    </row>
    <row r="105" spans="1:6" x14ac:dyDescent="0.2">
      <c r="A105" s="277"/>
      <c r="B105" s="277"/>
      <c r="C105" s="277"/>
      <c r="D105" s="277"/>
      <c r="E105" s="277"/>
      <c r="F105" s="277"/>
    </row>
    <row r="106" spans="1:6" x14ac:dyDescent="0.2">
      <c r="A106" s="277"/>
      <c r="B106" s="277"/>
      <c r="C106" s="277"/>
      <c r="D106" s="277"/>
      <c r="E106" s="277"/>
      <c r="F106" s="277"/>
    </row>
    <row r="107" spans="1:6" x14ac:dyDescent="0.2">
      <c r="A107" s="277"/>
      <c r="B107" s="277"/>
      <c r="C107" s="277"/>
      <c r="D107" s="277"/>
      <c r="E107" s="277"/>
      <c r="F107" s="277"/>
    </row>
  </sheetData>
  <autoFilter ref="A2:F79" xr:uid="{A24B6D95-0FF6-415C-97A2-1A086B2E8035}"/>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A5DA-1DDD-42A2-AA27-14A9095ED5ED}">
  <sheetPr codeName="Sheet5">
    <tabColor rgb="FF00B0F0"/>
  </sheetPr>
  <dimension ref="A2:E32"/>
  <sheetViews>
    <sheetView workbookViewId="0">
      <selection activeCell="D25" sqref="D25:D26"/>
    </sheetView>
  </sheetViews>
  <sheetFormatPr defaultRowHeight="14.25" x14ac:dyDescent="0.2"/>
  <cols>
    <col min="2" max="2" width="29.5" bestFit="1" customWidth="1"/>
    <col min="3" max="3" width="22.25" customWidth="1"/>
    <col min="4" max="4" width="31.875" customWidth="1"/>
    <col min="5" max="5" width="10.875" bestFit="1" customWidth="1"/>
  </cols>
  <sheetData>
    <row r="2" spans="1:5" ht="15" x14ac:dyDescent="0.25">
      <c r="A2" s="34" t="s">
        <v>115</v>
      </c>
      <c r="B2" s="34" t="s">
        <v>116</v>
      </c>
      <c r="C2" s="34" t="s">
        <v>102</v>
      </c>
      <c r="D2" s="34" t="s">
        <v>114</v>
      </c>
    </row>
    <row r="4" spans="1:5" x14ac:dyDescent="0.2">
      <c r="A4" s="30"/>
      <c r="B4" s="30"/>
      <c r="C4" s="30"/>
      <c r="D4" s="30"/>
      <c r="E4" s="30"/>
    </row>
    <row r="5" spans="1:5" ht="15" thickBot="1" x14ac:dyDescent="0.25">
      <c r="D5" s="287"/>
    </row>
    <row r="6" spans="1:5" x14ac:dyDescent="0.2">
      <c r="A6" s="419">
        <v>1410</v>
      </c>
      <c r="B6" s="266" t="s">
        <v>703</v>
      </c>
      <c r="C6" s="343">
        <f>'AJE LTD'!D9*-1</f>
        <v>40267.021016136161</v>
      </c>
      <c r="D6" s="455" t="s">
        <v>917</v>
      </c>
    </row>
    <row r="7" spans="1:5" ht="15" thickBot="1" x14ac:dyDescent="0.25">
      <c r="A7" s="420">
        <v>3210</v>
      </c>
      <c r="B7" s="268" t="s">
        <v>739</v>
      </c>
      <c r="C7" s="344">
        <f>-C6</f>
        <v>-40267.021016136161</v>
      </c>
      <c r="D7" s="457"/>
    </row>
    <row r="8" spans="1:5" ht="15" thickBot="1" x14ac:dyDescent="0.25">
      <c r="A8" s="273"/>
      <c r="C8" s="274"/>
      <c r="D8" s="287"/>
    </row>
    <row r="9" spans="1:5" x14ac:dyDescent="0.2">
      <c r="A9" s="419" t="s">
        <v>113</v>
      </c>
      <c r="B9" s="266" t="s">
        <v>916</v>
      </c>
      <c r="C9" s="343">
        <v>707.59677180597328</v>
      </c>
      <c r="D9" s="455" t="s">
        <v>917</v>
      </c>
    </row>
    <row r="10" spans="1:5" ht="15" thickBot="1" x14ac:dyDescent="0.25">
      <c r="A10" s="392">
        <f>A7</f>
        <v>3210</v>
      </c>
      <c r="B10" s="268" t="s">
        <v>739</v>
      </c>
      <c r="C10" s="344">
        <f>-C9</f>
        <v>-707.59677180597328</v>
      </c>
      <c r="D10" s="457"/>
    </row>
    <row r="11" spans="1:5" x14ac:dyDescent="0.2">
      <c r="A11" s="273"/>
      <c r="C11" s="274"/>
    </row>
    <row r="12" spans="1:5" ht="15" thickBot="1" x14ac:dyDescent="0.25">
      <c r="A12" s="273"/>
      <c r="C12" s="274"/>
    </row>
    <row r="13" spans="1:5" x14ac:dyDescent="0.2">
      <c r="A13" s="421" t="str">
        <f t="shared" ref="A13" si="0">LEFT(B13,4)</f>
        <v>3200</v>
      </c>
      <c r="B13" s="345" t="s">
        <v>887</v>
      </c>
      <c r="C13" s="343">
        <f>-C14</f>
        <v>-6891.3199999993667</v>
      </c>
      <c r="D13" s="453" t="s">
        <v>981</v>
      </c>
    </row>
    <row r="14" spans="1:5" ht="15" thickBot="1" x14ac:dyDescent="0.25">
      <c r="A14" s="392" t="s">
        <v>980</v>
      </c>
      <c r="B14" s="346" t="s">
        <v>898</v>
      </c>
      <c r="C14" s="344">
        <v>6891.3199999993667</v>
      </c>
      <c r="D14" s="454"/>
    </row>
    <row r="15" spans="1:5" ht="15" thickBot="1" x14ac:dyDescent="0.25">
      <c r="A15" s="273"/>
      <c r="C15" s="274"/>
    </row>
    <row r="16" spans="1:5" x14ac:dyDescent="0.2">
      <c r="A16" s="419" t="s">
        <v>986</v>
      </c>
      <c r="B16" s="266" t="s">
        <v>703</v>
      </c>
      <c r="C16" s="343">
        <v>5313.03</v>
      </c>
      <c r="D16" s="166" t="s">
        <v>984</v>
      </c>
    </row>
    <row r="17" spans="1:4" ht="15" thickBot="1" x14ac:dyDescent="0.25">
      <c r="A17" s="392" t="s">
        <v>983</v>
      </c>
      <c r="B17" s="268" t="s">
        <v>968</v>
      </c>
      <c r="C17" s="344">
        <v>-5313.03</v>
      </c>
      <c r="D17" s="347" t="s">
        <v>985</v>
      </c>
    </row>
    <row r="18" spans="1:4" ht="15" thickBot="1" x14ac:dyDescent="0.25">
      <c r="A18" s="273"/>
    </row>
    <row r="19" spans="1:4" x14ac:dyDescent="0.2">
      <c r="A19" s="419" t="s">
        <v>986</v>
      </c>
      <c r="B19" s="266" t="s">
        <v>703</v>
      </c>
      <c r="C19" s="267">
        <f>'AJE LTD'!D21</f>
        <v>-35463.35</v>
      </c>
      <c r="D19" s="455" t="s">
        <v>1011</v>
      </c>
    </row>
    <row r="20" spans="1:4" ht="15" thickBot="1" x14ac:dyDescent="0.25">
      <c r="A20" s="392" t="s">
        <v>1010</v>
      </c>
      <c r="B20" s="268" t="s">
        <v>886</v>
      </c>
      <c r="C20" s="389">
        <f>-C19</f>
        <v>35463.35</v>
      </c>
      <c r="D20" s="457"/>
    </row>
    <row r="21" spans="1:4" ht="15" thickBot="1" x14ac:dyDescent="0.25">
      <c r="A21" s="273"/>
    </row>
    <row r="22" spans="1:4" x14ac:dyDescent="0.2">
      <c r="A22" s="419" t="s">
        <v>736</v>
      </c>
      <c r="B22" s="391" t="s">
        <v>1043</v>
      </c>
      <c r="C22" s="267">
        <f>Warrants!C20</f>
        <v>9655.0902424364031</v>
      </c>
      <c r="D22" s="455" t="s">
        <v>1042</v>
      </c>
    </row>
    <row r="23" spans="1:4" ht="15" thickBot="1" x14ac:dyDescent="0.25">
      <c r="A23" s="392">
        <v>3210</v>
      </c>
      <c r="B23" s="393" t="s">
        <v>739</v>
      </c>
      <c r="C23" s="389">
        <f>-C22</f>
        <v>-9655.0902424364031</v>
      </c>
      <c r="D23" s="457"/>
    </row>
    <row r="24" spans="1:4" ht="15" thickBot="1" x14ac:dyDescent="0.25">
      <c r="A24" s="273"/>
    </row>
    <row r="25" spans="1:4" x14ac:dyDescent="0.2">
      <c r="A25" s="419" t="s">
        <v>1030</v>
      </c>
      <c r="B25" s="266" t="s">
        <v>888</v>
      </c>
      <c r="C25" s="343">
        <f>'TP 2021'!C7*-1</f>
        <v>-11046.826715666044</v>
      </c>
      <c r="D25" s="455" t="s">
        <v>1031</v>
      </c>
    </row>
    <row r="26" spans="1:4" ht="15" thickBot="1" x14ac:dyDescent="0.25">
      <c r="A26" s="392" t="s">
        <v>986</v>
      </c>
      <c r="B26" s="268" t="s">
        <v>703</v>
      </c>
      <c r="C26" s="344">
        <f>-C25</f>
        <v>11046.826715666044</v>
      </c>
      <c r="D26" s="457"/>
    </row>
    <row r="27" spans="1:4" x14ac:dyDescent="0.2">
      <c r="A27" s="273"/>
    </row>
    <row r="28" spans="1:4" ht="15" thickBot="1" x14ac:dyDescent="0.25">
      <c r="A28" s="273"/>
    </row>
    <row r="29" spans="1:4" x14ac:dyDescent="0.2">
      <c r="A29" s="446" t="str">
        <f t="shared" ref="A29" si="1">LEFT(B29,4)</f>
        <v>3110</v>
      </c>
      <c r="B29" s="266" t="s">
        <v>970</v>
      </c>
      <c r="C29" s="267">
        <f>SUM(C30:C32)*-1</f>
        <v>46468.639999999999</v>
      </c>
      <c r="D29" s="458" t="s">
        <v>1036</v>
      </c>
    </row>
    <row r="30" spans="1:4" x14ac:dyDescent="0.2">
      <c r="A30" s="447" t="s">
        <v>873</v>
      </c>
      <c r="B30" t="s">
        <v>85</v>
      </c>
      <c r="C30" s="257">
        <f>-'Equity '!D11</f>
        <v>-20105</v>
      </c>
      <c r="D30" s="460"/>
    </row>
    <row r="31" spans="1:4" x14ac:dyDescent="0.2">
      <c r="A31" s="271" t="s">
        <v>934</v>
      </c>
      <c r="B31" t="s">
        <v>1035</v>
      </c>
      <c r="C31" s="257">
        <f>-'Equity '!F6</f>
        <v>-16000</v>
      </c>
      <c r="D31" s="460"/>
    </row>
    <row r="32" spans="1:4" ht="15" thickBot="1" x14ac:dyDescent="0.25">
      <c r="A32" s="167" t="s">
        <v>935</v>
      </c>
      <c r="B32" s="268" t="s">
        <v>86</v>
      </c>
      <c r="C32" s="389">
        <f>-'Equity '!H7</f>
        <v>-10363.64</v>
      </c>
      <c r="D32" s="459"/>
    </row>
  </sheetData>
  <mergeCells count="7">
    <mergeCell ref="D29:D32"/>
    <mergeCell ref="D25:D26"/>
    <mergeCell ref="D6:D7"/>
    <mergeCell ref="D9:D10"/>
    <mergeCell ref="D13:D14"/>
    <mergeCell ref="D19:D20"/>
    <mergeCell ref="D22:D2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EBB95-AF9B-443D-A057-FC9F411A2890}">
  <sheetPr codeName="Sheet10">
    <tabColor theme="5" tint="0.39997558519241921"/>
  </sheetPr>
  <dimension ref="A2:N29"/>
  <sheetViews>
    <sheetView topLeftCell="B1" zoomScale="90" zoomScaleNormal="90" workbookViewId="0">
      <selection activeCell="C19" sqref="C19"/>
    </sheetView>
  </sheetViews>
  <sheetFormatPr defaultColWidth="9" defaultRowHeight="15.75" x14ac:dyDescent="0.25"/>
  <cols>
    <col min="1" max="1" width="4.25" style="348" customWidth="1"/>
    <col min="2" max="2" width="44.5" style="348" bestFit="1" customWidth="1"/>
    <col min="3" max="3" width="18.125" style="348" customWidth="1"/>
    <col min="4" max="5" width="15.875" style="348" customWidth="1"/>
    <col min="6" max="6" width="16.5" style="348" customWidth="1"/>
    <col min="7" max="7" width="12.5" style="348" bestFit="1" customWidth="1"/>
    <col min="8" max="8" width="21.125" style="348" customWidth="1"/>
    <col min="9" max="9" width="12" style="348" bestFit="1" customWidth="1"/>
    <col min="10" max="10" width="14.625" style="348" bestFit="1" customWidth="1"/>
    <col min="11" max="11" width="13.125" style="348" bestFit="1" customWidth="1"/>
    <col min="12" max="12" width="13.5" style="348" bestFit="1" customWidth="1"/>
    <col min="13" max="13" width="9.5" style="348" bestFit="1" customWidth="1"/>
    <col min="14" max="14" width="11.5" style="348" bestFit="1" customWidth="1"/>
    <col min="15" max="16384" width="9" style="348"/>
  </cols>
  <sheetData>
    <row r="2" spans="2:14" x14ac:dyDescent="0.25">
      <c r="B2" s="365" t="s">
        <v>1048</v>
      </c>
      <c r="C2" s="366"/>
      <c r="D2" s="366"/>
      <c r="E2" s="366"/>
      <c r="F2" s="366"/>
      <c r="G2" s="366"/>
      <c r="H2" s="366"/>
      <c r="I2" s="366"/>
      <c r="J2" s="351"/>
    </row>
    <row r="3" spans="2:14" x14ac:dyDescent="0.25">
      <c r="B3" s="367"/>
      <c r="C3" s="367"/>
      <c r="D3" s="367"/>
      <c r="E3" s="367"/>
      <c r="F3" s="367"/>
      <c r="G3" s="367"/>
      <c r="H3" s="367"/>
      <c r="I3" s="367"/>
    </row>
    <row r="4" spans="2:14" x14ac:dyDescent="0.25">
      <c r="B4" s="461" t="s">
        <v>918</v>
      </c>
      <c r="C4" s="462"/>
      <c r="D4" s="462"/>
      <c r="E4" s="462"/>
      <c r="F4" s="462"/>
      <c r="G4" s="462"/>
      <c r="H4" s="462"/>
      <c r="I4" s="462"/>
      <c r="J4" s="462"/>
      <c r="K4" s="462"/>
      <c r="L4" s="463"/>
    </row>
    <row r="5" spans="2:14" ht="47.25" x14ac:dyDescent="0.25">
      <c r="B5" s="368"/>
      <c r="C5" s="369" t="s">
        <v>919</v>
      </c>
      <c r="D5" s="369" t="s">
        <v>920</v>
      </c>
      <c r="E5" s="369" t="s">
        <v>921</v>
      </c>
      <c r="F5" s="369" t="s">
        <v>922</v>
      </c>
      <c r="G5" s="369" t="s">
        <v>923</v>
      </c>
      <c r="H5" s="369" t="s">
        <v>924</v>
      </c>
      <c r="I5" s="369" t="s">
        <v>925</v>
      </c>
      <c r="J5" s="369" t="s">
        <v>88</v>
      </c>
      <c r="K5" s="369" t="s">
        <v>91</v>
      </c>
      <c r="L5" s="370" t="s">
        <v>735</v>
      </c>
    </row>
    <row r="6" spans="2:14" x14ac:dyDescent="0.25">
      <c r="B6" s="371" t="s">
        <v>928</v>
      </c>
      <c r="C6" s="372">
        <v>2000000</v>
      </c>
      <c r="D6" s="372">
        <v>20000</v>
      </c>
      <c r="E6" s="372">
        <v>1600000</v>
      </c>
      <c r="F6" s="372">
        <f>E6*0.01</f>
        <v>16000</v>
      </c>
      <c r="G6" s="372">
        <v>0</v>
      </c>
      <c r="H6" s="372">
        <v>0</v>
      </c>
      <c r="I6" s="372">
        <v>-85128</v>
      </c>
      <c r="J6" s="372">
        <f>7896662.25917829-I6</f>
        <v>7981790.2591782901</v>
      </c>
      <c r="K6" s="372">
        <v>-1248109</v>
      </c>
      <c r="L6" s="385">
        <f>D6+F6+I6+J6+K6</f>
        <v>6684553.2591782901</v>
      </c>
      <c r="N6" s="435">
        <f>K6+1248109</f>
        <v>0</v>
      </c>
    </row>
    <row r="7" spans="2:14" x14ac:dyDescent="0.25">
      <c r="B7" s="373" t="s">
        <v>1006</v>
      </c>
      <c r="C7" s="372"/>
      <c r="D7" s="372"/>
      <c r="E7" s="352"/>
      <c r="F7" s="352"/>
      <c r="G7" s="372">
        <f>'Investment 2021'!C11</f>
        <v>1036364</v>
      </c>
      <c r="H7" s="372">
        <f>'Investment 2021'!D11</f>
        <v>10363.64</v>
      </c>
      <c r="I7" s="448">
        <f>'Investment 2021'!B25*-1</f>
        <v>-122963.78</v>
      </c>
      <c r="J7" s="448">
        <f>'Investment 2021'!F11</f>
        <v>14239633.859999999</v>
      </c>
      <c r="K7" s="372"/>
      <c r="L7" s="385">
        <f>D7+H7+I7+J7+K7+F7</f>
        <v>14127033.719999999</v>
      </c>
    </row>
    <row r="8" spans="2:14" x14ac:dyDescent="0.25">
      <c r="B8" s="373" t="s">
        <v>926</v>
      </c>
      <c r="C8" s="372"/>
      <c r="D8" s="372"/>
      <c r="E8" s="372"/>
      <c r="F8" s="372">
        <f>E8/1000</f>
        <v>0</v>
      </c>
      <c r="G8" s="372"/>
      <c r="H8" s="372"/>
      <c r="I8" s="448"/>
      <c r="J8" s="448">
        <f>'AJE INC'!C7*-1+'AJE INC'!C10*-1+'AJE INC'!C17*-1+'AJE INC'!C23*-1</f>
        <v>55942.738030378539</v>
      </c>
      <c r="K8" s="372"/>
      <c r="L8" s="385">
        <f t="shared" ref="L8:L9" si="0">D8+H8+I8+J8+K8</f>
        <v>55942.738030378539</v>
      </c>
    </row>
    <row r="9" spans="2:14" x14ac:dyDescent="0.25">
      <c r="B9" s="373" t="s">
        <v>987</v>
      </c>
      <c r="C9" s="372">
        <f>'Investment 2021'!C18</f>
        <v>10500</v>
      </c>
      <c r="D9" s="372">
        <f>'Investment 2021'!D18</f>
        <v>105</v>
      </c>
      <c r="E9" s="372"/>
      <c r="F9" s="372"/>
      <c r="G9" s="372"/>
      <c r="H9" s="372"/>
      <c r="I9" s="448"/>
      <c r="J9" s="448">
        <f>'Investment 2021'!F18</f>
        <v>10367.5</v>
      </c>
      <c r="K9" s="352"/>
      <c r="L9" s="385">
        <f t="shared" si="0"/>
        <v>10472.5</v>
      </c>
    </row>
    <row r="10" spans="2:14" x14ac:dyDescent="0.25">
      <c r="B10" s="374" t="s">
        <v>927</v>
      </c>
      <c r="C10" s="375"/>
      <c r="D10" s="375"/>
      <c r="E10" s="375"/>
      <c r="F10" s="375"/>
      <c r="G10" s="375"/>
      <c r="H10" s="375"/>
      <c r="I10" s="375"/>
      <c r="J10" s="375"/>
      <c r="K10" s="386">
        <f>'2021'!E43*-1</f>
        <v>-2702097.7280303789</v>
      </c>
      <c r="L10" s="386">
        <f>D10+H10+I10+J10+K10</f>
        <v>-2702097.7280303789</v>
      </c>
    </row>
    <row r="11" spans="2:14" x14ac:dyDescent="0.25">
      <c r="B11" s="371" t="s">
        <v>929</v>
      </c>
      <c r="C11" s="372">
        <f t="shared" ref="C11:L11" si="1">SUM(C6:C10)</f>
        <v>2010500</v>
      </c>
      <c r="D11" s="372">
        <f t="shared" si="1"/>
        <v>20105</v>
      </c>
      <c r="E11" s="372">
        <f t="shared" si="1"/>
        <v>1600000</v>
      </c>
      <c r="F11" s="372">
        <f t="shared" si="1"/>
        <v>16000</v>
      </c>
      <c r="G11" s="372">
        <f t="shared" si="1"/>
        <v>1036364</v>
      </c>
      <c r="H11" s="372">
        <f t="shared" si="1"/>
        <v>10363.64</v>
      </c>
      <c r="I11" s="372">
        <f t="shared" si="1"/>
        <v>-208091.78</v>
      </c>
      <c r="J11" s="372">
        <f t="shared" si="1"/>
        <v>22287734.357208665</v>
      </c>
      <c r="K11" s="372">
        <f t="shared" si="1"/>
        <v>-3950206.7280303789</v>
      </c>
      <c r="L11" s="376">
        <f t="shared" si="1"/>
        <v>18175904.489178285</v>
      </c>
      <c r="M11" s="349"/>
    </row>
    <row r="12" spans="2:14" x14ac:dyDescent="0.25">
      <c r="B12" s="373"/>
      <c r="D12" s="377"/>
      <c r="E12" s="377"/>
      <c r="F12" s="377"/>
      <c r="G12" s="378"/>
      <c r="I12" s="377"/>
      <c r="J12" s="379"/>
      <c r="K12" s="379"/>
      <c r="L12" s="387"/>
      <c r="M12" s="351"/>
    </row>
    <row r="13" spans="2:14" x14ac:dyDescent="0.25">
      <c r="B13" s="373"/>
      <c r="C13" s="377"/>
      <c r="D13" s="377"/>
      <c r="E13" s="377"/>
      <c r="F13" s="377"/>
      <c r="G13" s="377"/>
      <c r="H13" s="377"/>
      <c r="I13" s="377"/>
      <c r="L13" s="388"/>
    </row>
    <row r="14" spans="2:14" x14ac:dyDescent="0.25">
      <c r="B14" s="394" t="s">
        <v>693</v>
      </c>
      <c r="C14" s="395"/>
      <c r="D14" s="395"/>
      <c r="E14" s="395"/>
      <c r="F14" s="395"/>
      <c r="G14" s="395"/>
      <c r="H14" s="395"/>
      <c r="I14" s="396"/>
      <c r="J14" s="395"/>
      <c r="K14" s="395"/>
      <c r="L14" s="436">
        <f>L11+SUM('2021'!E22:E30)</f>
        <v>4.9178287386894226E-2</v>
      </c>
    </row>
    <row r="16" spans="2:14" x14ac:dyDescent="0.25">
      <c r="B16" s="380"/>
      <c r="C16" s="380"/>
      <c r="D16" s="380"/>
      <c r="E16" s="380"/>
      <c r="F16" s="380"/>
      <c r="G16" s="380"/>
      <c r="H16" s="380"/>
      <c r="J16" s="351">
        <f>J7+I7*-1</f>
        <v>14362597.639999999</v>
      </c>
    </row>
    <row r="17" spans="1:12" x14ac:dyDescent="0.25">
      <c r="A17" s="381"/>
      <c r="B17" s="381"/>
      <c r="C17" s="381"/>
      <c r="D17" s="381"/>
      <c r="E17" s="381"/>
      <c r="F17" s="381"/>
      <c r="G17" s="381"/>
      <c r="H17" s="381"/>
      <c r="I17" s="381"/>
    </row>
    <row r="18" spans="1:12" x14ac:dyDescent="0.25">
      <c r="A18" s="382"/>
      <c r="B18" s="382"/>
      <c r="C18" s="382"/>
      <c r="D18" s="382"/>
      <c r="E18" s="382"/>
      <c r="F18" s="382"/>
      <c r="G18" s="382"/>
      <c r="H18" s="382"/>
      <c r="I18" s="382"/>
      <c r="L18" s="351"/>
    </row>
    <row r="19" spans="1:12" x14ac:dyDescent="0.25">
      <c r="A19" s="378"/>
      <c r="B19" s="378"/>
      <c r="C19" s="378"/>
      <c r="D19" s="378"/>
      <c r="E19" s="378"/>
      <c r="F19" s="378"/>
      <c r="G19" s="378"/>
      <c r="H19" s="378"/>
      <c r="I19" s="378"/>
    </row>
    <row r="20" spans="1:12" x14ac:dyDescent="0.25">
      <c r="B20" s="383"/>
      <c r="C20" s="378"/>
      <c r="D20" s="378"/>
      <c r="E20" s="378"/>
      <c r="F20" s="378"/>
      <c r="G20" s="378"/>
      <c r="H20" s="378"/>
      <c r="I20" s="378"/>
    </row>
    <row r="21" spans="1:12" x14ac:dyDescent="0.25">
      <c r="B21" s="383"/>
      <c r="C21" s="378"/>
      <c r="D21" s="378"/>
      <c r="E21" s="378"/>
      <c r="F21" s="378"/>
      <c r="G21" s="378"/>
      <c r="H21" s="378"/>
      <c r="I21" s="378"/>
    </row>
    <row r="22" spans="1:12" x14ac:dyDescent="0.25">
      <c r="B22" s="384"/>
      <c r="C22" s="382"/>
      <c r="D22" s="382"/>
      <c r="E22" s="382"/>
      <c r="F22" s="382"/>
      <c r="G22" s="382"/>
      <c r="H22" s="382"/>
      <c r="I22" s="382"/>
    </row>
    <row r="23" spans="1:12" x14ac:dyDescent="0.25">
      <c r="B23" s="383"/>
      <c r="C23" s="378"/>
      <c r="D23" s="378"/>
      <c r="E23" s="378"/>
      <c r="F23" s="378"/>
      <c r="G23" s="378"/>
      <c r="H23" s="378"/>
      <c r="I23" s="378"/>
    </row>
    <row r="24" spans="1:12" x14ac:dyDescent="0.25">
      <c r="B24" s="383"/>
      <c r="C24" s="378"/>
      <c r="D24" s="378"/>
      <c r="E24" s="378"/>
      <c r="F24" s="378"/>
      <c r="G24" s="378"/>
      <c r="H24" s="378"/>
      <c r="I24" s="378"/>
    </row>
    <row r="25" spans="1:12" x14ac:dyDescent="0.25">
      <c r="B25" s="383"/>
      <c r="C25" s="378"/>
      <c r="D25" s="378"/>
      <c r="E25" s="378"/>
      <c r="F25" s="378"/>
      <c r="G25" s="378"/>
      <c r="H25" s="378"/>
      <c r="I25" s="378"/>
    </row>
    <row r="26" spans="1:12" x14ac:dyDescent="0.25">
      <c r="B26" s="383"/>
      <c r="C26" s="378"/>
      <c r="D26" s="378"/>
      <c r="E26" s="378"/>
      <c r="F26" s="378"/>
      <c r="G26" s="378"/>
      <c r="H26" s="378"/>
      <c r="I26" s="378"/>
    </row>
    <row r="27" spans="1:12" x14ac:dyDescent="0.25">
      <c r="B27" s="384"/>
      <c r="C27" s="382"/>
      <c r="D27" s="382"/>
      <c r="E27" s="382"/>
      <c r="F27" s="382"/>
      <c r="G27" s="382"/>
      <c r="H27" s="382"/>
      <c r="I27" s="382"/>
    </row>
    <row r="28" spans="1:12" x14ac:dyDescent="0.25">
      <c r="B28" s="383"/>
      <c r="C28" s="378"/>
      <c r="D28" s="378"/>
      <c r="E28" s="378"/>
      <c r="F28" s="378"/>
      <c r="G28" s="378"/>
      <c r="H28" s="378"/>
      <c r="I28" s="378"/>
    </row>
    <row r="29" spans="1:12" x14ac:dyDescent="0.25">
      <c r="B29" s="383"/>
      <c r="I29" s="378"/>
    </row>
  </sheetData>
  <mergeCells count="1">
    <mergeCell ref="B4:L4"/>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DB044-107A-443E-9525-5A14DFFEE4BF}">
  <sheetPr codeName="Sheet11">
    <tabColor rgb="FF7030A0"/>
  </sheetPr>
  <dimension ref="A1:O60"/>
  <sheetViews>
    <sheetView topLeftCell="A10" zoomScaleNormal="100" workbookViewId="0">
      <selection activeCell="C10" sqref="C10"/>
    </sheetView>
  </sheetViews>
  <sheetFormatPr defaultColWidth="9" defaultRowHeight="14.25" x14ac:dyDescent="0.2"/>
  <cols>
    <col min="1" max="1" width="41.5" style="288" bestFit="1" customWidth="1"/>
    <col min="2" max="2" width="12.25" style="288" bestFit="1" customWidth="1"/>
    <col min="3" max="3" width="12.125" style="288" bestFit="1" customWidth="1"/>
    <col min="4" max="4" width="11.5" style="288" bestFit="1" customWidth="1"/>
    <col min="5" max="5" width="13.5" style="288" bestFit="1" customWidth="1"/>
    <col min="6" max="6" width="12.125" style="288" bestFit="1" customWidth="1"/>
    <col min="7" max="7" width="15.5" style="288" customWidth="1"/>
    <col min="8" max="8" width="13.125" style="288" bestFit="1" customWidth="1"/>
    <col min="9" max="9" width="11.5" style="288" bestFit="1" customWidth="1"/>
    <col min="10" max="10" width="12.125" style="288" bestFit="1" customWidth="1"/>
    <col min="11" max="12" width="9" style="288"/>
    <col min="13" max="13" width="36.75" style="288" bestFit="1" customWidth="1"/>
    <col min="14" max="14" width="11.5" style="288" bestFit="1" customWidth="1"/>
    <col min="15" max="15" width="10.75" style="288" bestFit="1" customWidth="1"/>
    <col min="16" max="16" width="12.25" style="288" bestFit="1" customWidth="1"/>
    <col min="17" max="19" width="9" style="288"/>
    <col min="20" max="21" width="11.75" style="288" bestFit="1" customWidth="1"/>
    <col min="22" max="16384" width="9" style="288"/>
  </cols>
  <sheetData>
    <row r="1" spans="1:15" ht="15" thickBot="1" x14ac:dyDescent="0.25"/>
    <row r="2" spans="1:15" ht="15" thickBot="1" x14ac:dyDescent="0.25">
      <c r="A2" s="464" t="s">
        <v>937</v>
      </c>
      <c r="B2" s="464"/>
      <c r="C2" s="464"/>
      <c r="D2" s="464"/>
      <c r="E2" s="464"/>
      <c r="F2" s="464"/>
      <c r="G2" s="464"/>
      <c r="H2" s="464"/>
      <c r="I2" s="464"/>
      <c r="J2" s="464"/>
      <c r="K2" s="464"/>
      <c r="M2" s="443"/>
      <c r="N2" s="444">
        <v>44196</v>
      </c>
      <c r="O2" s="445">
        <v>44561</v>
      </c>
    </row>
    <row r="3" spans="1:15" x14ac:dyDescent="0.2">
      <c r="A3" s="289"/>
      <c r="B3" s="290" t="s">
        <v>621</v>
      </c>
      <c r="C3" s="291" t="s">
        <v>498</v>
      </c>
      <c r="D3" s="290"/>
      <c r="E3" s="290" t="s">
        <v>500</v>
      </c>
      <c r="F3" s="290" t="s">
        <v>501</v>
      </c>
      <c r="G3" s="290" t="s">
        <v>502</v>
      </c>
      <c r="H3" s="290" t="s">
        <v>503</v>
      </c>
      <c r="I3" s="290" t="s">
        <v>866</v>
      </c>
      <c r="J3" s="292" t="s">
        <v>504</v>
      </c>
      <c r="K3" s="292" t="s">
        <v>505</v>
      </c>
      <c r="M3" s="437" t="s">
        <v>1028</v>
      </c>
      <c r="N3" s="438">
        <v>41186.379999999997</v>
      </c>
      <c r="O3" s="439">
        <f>'2021'!E10</f>
        <v>214203</v>
      </c>
    </row>
    <row r="4" spans="1:15" ht="15" thickBot="1" x14ac:dyDescent="0.25">
      <c r="A4" s="294" t="s">
        <v>938</v>
      </c>
      <c r="B4" s="295">
        <v>6801987.9052255061</v>
      </c>
      <c r="C4" s="296"/>
      <c r="D4" s="297"/>
      <c r="E4" s="297"/>
      <c r="F4" s="297"/>
      <c r="G4" s="298"/>
      <c r="H4" s="297">
        <f>I4-B4</f>
        <v>11417174.994774492</v>
      </c>
      <c r="I4" s="295">
        <f>'2021'!E5</f>
        <v>18219162.899999999</v>
      </c>
      <c r="J4" s="297">
        <f>I4-B4</f>
        <v>11417174.994774492</v>
      </c>
      <c r="K4" s="297">
        <f>J4-C4-E4-F4-G4-H4-D4</f>
        <v>0</v>
      </c>
      <c r="M4" s="440" t="s">
        <v>951</v>
      </c>
      <c r="N4" s="441">
        <v>-7303.9599999999991</v>
      </c>
      <c r="O4" s="442">
        <f>'2021'!E11</f>
        <v>-23340.340000000004</v>
      </c>
    </row>
    <row r="5" spans="1:15" x14ac:dyDescent="0.2">
      <c r="A5" s="294" t="s">
        <v>73</v>
      </c>
      <c r="B5" s="295">
        <v>31111.514774494561</v>
      </c>
      <c r="C5" s="297">
        <f>I5-B5</f>
        <v>1053.4952255054377</v>
      </c>
      <c r="D5" s="297"/>
      <c r="F5" s="297"/>
      <c r="G5" s="298"/>
      <c r="H5" s="297"/>
      <c r="I5" s="295">
        <f>'2021'!E6</f>
        <v>32165.01</v>
      </c>
      <c r="J5" s="297">
        <f t="shared" ref="J5" si="0">I5-B5</f>
        <v>1053.4952255054377</v>
      </c>
      <c r="K5" s="297">
        <f>J5-C5-E5-F5-G5-H5-D5</f>
        <v>0</v>
      </c>
    </row>
    <row r="6" spans="1:15" x14ac:dyDescent="0.2">
      <c r="A6" s="294" t="s">
        <v>939</v>
      </c>
      <c r="B6" s="295"/>
      <c r="C6" s="296"/>
      <c r="D6" s="299"/>
      <c r="E6" s="300"/>
      <c r="F6" s="299"/>
      <c r="G6" s="298"/>
      <c r="H6" s="297"/>
      <c r="J6" s="297">
        <f t="shared" ref="J6:J9" si="1">I6-B6</f>
        <v>0</v>
      </c>
      <c r="K6" s="297">
        <f t="shared" ref="K6:K8" si="2">J6-C6-E6-F6-G6-H6-D6</f>
        <v>0</v>
      </c>
    </row>
    <row r="7" spans="1:15" x14ac:dyDescent="0.2">
      <c r="A7" s="294" t="s">
        <v>940</v>
      </c>
      <c r="B7" s="295">
        <v>15055.009999999998</v>
      </c>
      <c r="C7" s="296">
        <f>I7-B7</f>
        <v>45455.799999999988</v>
      </c>
      <c r="D7" s="298"/>
      <c r="E7" s="300"/>
      <c r="F7" s="299"/>
      <c r="G7" s="298"/>
      <c r="H7" s="297"/>
      <c r="I7" s="295">
        <f>'2021'!E8+'2021'!E9</f>
        <v>60510.80999999999</v>
      </c>
      <c r="J7" s="297">
        <f t="shared" si="1"/>
        <v>45455.799999999988</v>
      </c>
      <c r="K7" s="297">
        <f t="shared" si="2"/>
        <v>0</v>
      </c>
    </row>
    <row r="8" spans="1:15" x14ac:dyDescent="0.2">
      <c r="A8" s="294" t="s">
        <v>941</v>
      </c>
      <c r="B8" s="295">
        <v>33882.42</v>
      </c>
      <c r="C8" s="296">
        <f>O4-N4</f>
        <v>-16036.380000000005</v>
      </c>
      <c r="D8" s="299"/>
      <c r="E8" s="300">
        <f>O3-N3</f>
        <v>173016.62</v>
      </c>
      <c r="F8" s="298"/>
      <c r="G8" s="298"/>
      <c r="H8" s="297"/>
      <c r="I8" s="295">
        <f>'2021'!E10+'2021'!E11</f>
        <v>190862.66</v>
      </c>
      <c r="J8" s="297">
        <f t="shared" si="1"/>
        <v>156980.24</v>
      </c>
      <c r="K8" s="297">
        <f t="shared" si="2"/>
        <v>0</v>
      </c>
    </row>
    <row r="9" spans="1:15" x14ac:dyDescent="0.2">
      <c r="A9" s="294" t="s">
        <v>1044</v>
      </c>
      <c r="B9" s="295">
        <v>-10200</v>
      </c>
      <c r="C9" s="296">
        <f>I9-B9</f>
        <v>-44467</v>
      </c>
      <c r="D9" s="299"/>
      <c r="E9" s="300"/>
      <c r="F9" s="298"/>
      <c r="G9" s="298"/>
      <c r="H9" s="297"/>
      <c r="I9" s="295">
        <v>-54667</v>
      </c>
      <c r="J9" s="297">
        <f t="shared" si="1"/>
        <v>-44467</v>
      </c>
      <c r="K9" s="297"/>
    </row>
    <row r="10" spans="1:15" x14ac:dyDescent="0.2">
      <c r="A10" s="294" t="s">
        <v>1045</v>
      </c>
      <c r="B10" s="295">
        <v>-34663</v>
      </c>
      <c r="C10" s="296">
        <f>I10-B10</f>
        <v>4575</v>
      </c>
      <c r="D10" s="298"/>
      <c r="E10" s="300"/>
      <c r="F10" s="300"/>
      <c r="G10" s="298"/>
      <c r="H10" s="297"/>
      <c r="I10" s="295">
        <v>-30088</v>
      </c>
      <c r="J10" s="297">
        <f>I10-B10</f>
        <v>4575</v>
      </c>
      <c r="K10" s="297">
        <f>J10-C10-E10-F10-G10-H10-D10</f>
        <v>0</v>
      </c>
    </row>
    <row r="11" spans="1:15" x14ac:dyDescent="0.2">
      <c r="A11" s="294" t="s">
        <v>942</v>
      </c>
      <c r="B11" s="295">
        <v>-152620.65999999997</v>
      </c>
      <c r="C11" s="296">
        <f>I11-B11</f>
        <v>-89421.369999999966</v>
      </c>
      <c r="D11" s="298"/>
      <c r="E11" s="300"/>
      <c r="F11" s="300"/>
      <c r="G11" s="298"/>
      <c r="H11" s="297"/>
      <c r="I11" s="295">
        <f>'2021'!E17+'2021'!E18</f>
        <v>-242042.02999999994</v>
      </c>
      <c r="J11" s="297">
        <f>I11-B11</f>
        <v>-89421.369999999966</v>
      </c>
      <c r="K11" s="297">
        <f>J11-C11-E11-F11-G11-H11-D11</f>
        <v>0</v>
      </c>
    </row>
    <row r="12" spans="1:15" x14ac:dyDescent="0.2">
      <c r="A12" s="294" t="s">
        <v>943</v>
      </c>
      <c r="B12" s="295"/>
      <c r="C12" s="296"/>
      <c r="D12" s="298"/>
      <c r="E12" s="300"/>
      <c r="F12" s="300"/>
      <c r="G12" s="298"/>
      <c r="H12" s="297"/>
      <c r="I12" s="295"/>
      <c r="J12" s="297">
        <f>I12-B12</f>
        <v>0</v>
      </c>
      <c r="K12" s="297"/>
    </row>
    <row r="13" spans="1:15" x14ac:dyDescent="0.2">
      <c r="A13" s="294" t="s">
        <v>85</v>
      </c>
      <c r="B13" s="295">
        <v>-20000</v>
      </c>
      <c r="C13" s="296"/>
      <c r="D13" s="298"/>
      <c r="E13" s="300"/>
      <c r="F13" s="298">
        <f>I13-B13</f>
        <v>-105</v>
      </c>
      <c r="G13" s="298"/>
      <c r="H13" s="297"/>
      <c r="I13" s="295">
        <f>B13+'Investment 2021'!D18*-1</f>
        <v>-20105</v>
      </c>
      <c r="J13" s="297">
        <f>I13-B13</f>
        <v>-105</v>
      </c>
      <c r="K13" s="297">
        <f t="shared" ref="K13:K20" si="3">J13-C13-E13-F13-G13-H13-D13</f>
        <v>0</v>
      </c>
    </row>
    <row r="14" spans="1:15" x14ac:dyDescent="0.2">
      <c r="A14" s="294" t="s">
        <v>944</v>
      </c>
      <c r="B14" s="295">
        <v>-16000</v>
      </c>
      <c r="C14" s="296"/>
      <c r="D14" s="298"/>
      <c r="E14" s="300"/>
      <c r="F14" s="298">
        <f>I14-B14</f>
        <v>-10363.64</v>
      </c>
      <c r="G14" s="298"/>
      <c r="H14" s="297"/>
      <c r="I14" s="295">
        <f>B14+'Investment 2021'!D11*-1</f>
        <v>-26363.64</v>
      </c>
      <c r="J14" s="297">
        <f t="shared" ref="J14:J20" si="4">I14-B14</f>
        <v>-10363.64</v>
      </c>
      <c r="K14" s="297">
        <f t="shared" si="3"/>
        <v>0</v>
      </c>
    </row>
    <row r="15" spans="1:15" x14ac:dyDescent="0.2">
      <c r="A15" s="294" t="s">
        <v>945</v>
      </c>
      <c r="B15" s="295"/>
      <c r="C15" s="296"/>
      <c r="D15" s="298"/>
      <c r="E15" s="300"/>
      <c r="F15" s="298"/>
      <c r="G15" s="298"/>
      <c r="H15" s="297"/>
      <c r="I15" s="295"/>
      <c r="J15" s="297">
        <f t="shared" si="4"/>
        <v>0</v>
      </c>
      <c r="K15" s="297">
        <f t="shared" si="3"/>
        <v>0</v>
      </c>
    </row>
    <row r="16" spans="1:15" x14ac:dyDescent="0.2">
      <c r="A16" s="294" t="s">
        <v>946</v>
      </c>
      <c r="B16" s="295">
        <v>-17790.691526661911</v>
      </c>
      <c r="C16" s="296">
        <f>I16-B16</f>
        <v>-55942.736503716624</v>
      </c>
      <c r="D16" s="298"/>
      <c r="E16" s="300"/>
      <c r="F16" s="298"/>
      <c r="G16" s="298"/>
      <c r="H16" s="297"/>
      <c r="I16" s="295">
        <f>'2021'!E27</f>
        <v>-73733.428030378534</v>
      </c>
      <c r="J16" s="297">
        <f t="shared" si="4"/>
        <v>-55942.736503716624</v>
      </c>
      <c r="K16" s="297">
        <f t="shared" si="3"/>
        <v>0</v>
      </c>
    </row>
    <row r="17" spans="1:11" x14ac:dyDescent="0.2">
      <c r="A17" s="294" t="s">
        <v>88</v>
      </c>
      <c r="B17" s="295">
        <v>-7964000</v>
      </c>
      <c r="C17" s="296"/>
      <c r="D17" s="298"/>
      <c r="E17" s="300"/>
      <c r="F17" s="298">
        <f>I17-B17</f>
        <v>-14250001.359999999</v>
      </c>
      <c r="G17" s="298"/>
      <c r="H17" s="297"/>
      <c r="I17" s="295">
        <f>'2021'!E25</f>
        <v>-22214001.359999999</v>
      </c>
      <c r="J17" s="297">
        <f t="shared" si="4"/>
        <v>-14250001.359999999</v>
      </c>
      <c r="K17" s="297">
        <f t="shared" si="3"/>
        <v>0</v>
      </c>
    </row>
    <row r="18" spans="1:11" x14ac:dyDescent="0.2">
      <c r="A18" s="294" t="s">
        <v>925</v>
      </c>
      <c r="B18" s="295">
        <v>85128.43234836703</v>
      </c>
      <c r="C18" s="296"/>
      <c r="D18" s="298"/>
      <c r="E18" s="300"/>
      <c r="F18" s="298">
        <f>I18-B18</f>
        <v>122963.34765163297</v>
      </c>
      <c r="G18" s="298"/>
      <c r="H18" s="297"/>
      <c r="I18" s="295">
        <f>'2021'!E26</f>
        <v>208091.78</v>
      </c>
      <c r="J18" s="297">
        <f t="shared" si="4"/>
        <v>122963.34765163297</v>
      </c>
      <c r="K18" s="297">
        <f t="shared" si="3"/>
        <v>0</v>
      </c>
    </row>
    <row r="19" spans="1:11" x14ac:dyDescent="0.2">
      <c r="A19" s="294" t="s">
        <v>91</v>
      </c>
      <c r="B19" s="295">
        <v>1248109.1815266619</v>
      </c>
      <c r="C19" s="296">
        <f>I19-B19</f>
        <v>2702098.0265037175</v>
      </c>
      <c r="D19" s="298"/>
      <c r="E19" s="300"/>
      <c r="F19" s="298"/>
      <c r="G19" s="298"/>
      <c r="H19" s="297"/>
      <c r="I19" s="295">
        <f>'2021'!E29+'2021'!E30</f>
        <v>3950207.2080303794</v>
      </c>
      <c r="J19" s="297">
        <f t="shared" si="4"/>
        <v>2702098.0265037175</v>
      </c>
      <c r="K19" s="297">
        <f t="shared" si="3"/>
        <v>0</v>
      </c>
    </row>
    <row r="20" spans="1:11" x14ac:dyDescent="0.2">
      <c r="A20" s="289"/>
      <c r="B20" s="295"/>
      <c r="C20" s="296"/>
      <c r="D20" s="301"/>
      <c r="E20" s="302"/>
      <c r="F20" s="295"/>
      <c r="G20" s="298"/>
      <c r="H20" s="289"/>
      <c r="I20" s="303">
        <f>E49+E50+E51</f>
        <v>0</v>
      </c>
      <c r="J20" s="297">
        <f t="shared" si="4"/>
        <v>0</v>
      </c>
      <c r="K20" s="297">
        <f t="shared" si="3"/>
        <v>0</v>
      </c>
    </row>
    <row r="21" spans="1:11" x14ac:dyDescent="0.2">
      <c r="A21" s="289"/>
      <c r="B21" s="304">
        <f t="shared" ref="B21:K21" si="5">SUM(B4:B20)</f>
        <v>0.11234836769290268</v>
      </c>
      <c r="C21" s="304">
        <f t="shared" si="5"/>
        <v>2547314.8352255062</v>
      </c>
      <c r="D21" s="304">
        <f t="shared" si="5"/>
        <v>0</v>
      </c>
      <c r="E21" s="304">
        <f t="shared" si="5"/>
        <v>173016.62</v>
      </c>
      <c r="F21" s="304">
        <f t="shared" si="5"/>
        <v>-14137506.652348367</v>
      </c>
      <c r="G21" s="304">
        <f t="shared" si="5"/>
        <v>0</v>
      </c>
      <c r="H21" s="304">
        <f t="shared" si="5"/>
        <v>11417174.994774492</v>
      </c>
      <c r="I21" s="304">
        <f t="shared" si="5"/>
        <v>-9.0000002179294825E-2</v>
      </c>
      <c r="J21" s="304">
        <f t="shared" si="5"/>
        <v>-0.20234836591407657</v>
      </c>
      <c r="K21" s="304">
        <f t="shared" si="5"/>
        <v>0</v>
      </c>
    </row>
    <row r="26" spans="1:11" ht="15" thickBot="1" x14ac:dyDescent="0.25"/>
    <row r="27" spans="1:11" ht="15" x14ac:dyDescent="0.2">
      <c r="A27" s="305" t="s">
        <v>947</v>
      </c>
      <c r="B27" s="306"/>
      <c r="C27" s="307" t="s">
        <v>948</v>
      </c>
    </row>
    <row r="28" spans="1:11" ht="15.75" x14ac:dyDescent="0.25">
      <c r="A28" s="308"/>
      <c r="B28" s="309"/>
      <c r="C28" s="310"/>
    </row>
    <row r="29" spans="1:11" ht="15.75" x14ac:dyDescent="0.25">
      <c r="A29" s="308" t="s">
        <v>949</v>
      </c>
      <c r="B29" s="309"/>
      <c r="C29" s="310">
        <f>'2021'!E43*-1</f>
        <v>-2702097.7280303789</v>
      </c>
    </row>
    <row r="30" spans="1:11" ht="30" x14ac:dyDescent="0.2">
      <c r="A30" s="311" t="s">
        <v>950</v>
      </c>
      <c r="B30" s="309"/>
      <c r="C30" s="312"/>
    </row>
    <row r="31" spans="1:11" ht="15.75" x14ac:dyDescent="0.25">
      <c r="A31" s="311" t="s">
        <v>951</v>
      </c>
      <c r="B31" s="309"/>
      <c r="C31" s="313">
        <f>-C8</f>
        <v>16036.380000000005</v>
      </c>
    </row>
    <row r="32" spans="1:11" ht="15.75" x14ac:dyDescent="0.25">
      <c r="A32" s="311" t="s">
        <v>946</v>
      </c>
      <c r="B32" s="309"/>
      <c r="C32" s="314">
        <f>-C16</f>
        <v>55942.736503716624</v>
      </c>
    </row>
    <row r="33" spans="1:3" ht="15.75" x14ac:dyDescent="0.25">
      <c r="A33" s="308" t="s">
        <v>952</v>
      </c>
      <c r="B33" s="309"/>
      <c r="C33" s="314"/>
    </row>
    <row r="34" spans="1:3" ht="30" x14ac:dyDescent="0.25">
      <c r="A34" s="311" t="s">
        <v>953</v>
      </c>
      <c r="B34" s="309"/>
      <c r="C34" s="313">
        <f>-C7</f>
        <v>-45455.799999999988</v>
      </c>
    </row>
    <row r="35" spans="1:3" ht="30" x14ac:dyDescent="0.25">
      <c r="A35" s="311" t="s">
        <v>954</v>
      </c>
      <c r="B35" s="309"/>
      <c r="C35" s="313">
        <f>-C10-C11</f>
        <v>84846.369999999966</v>
      </c>
    </row>
    <row r="36" spans="1:3" ht="15.75" x14ac:dyDescent="0.25">
      <c r="A36" s="311" t="s">
        <v>955</v>
      </c>
      <c r="B36" s="309"/>
      <c r="C36" s="313"/>
    </row>
    <row r="37" spans="1:3" ht="15.75" x14ac:dyDescent="0.25">
      <c r="A37" s="311"/>
      <c r="B37" s="309"/>
      <c r="C37" s="314">
        <f>SUM(C31:C36)</f>
        <v>111369.6865037166</v>
      </c>
    </row>
    <row r="38" spans="1:3" ht="15.75" x14ac:dyDescent="0.25">
      <c r="A38" s="311"/>
      <c r="B38" s="309"/>
      <c r="C38" s="314"/>
    </row>
    <row r="39" spans="1:3" ht="15.75" x14ac:dyDescent="0.25">
      <c r="A39" s="308" t="s">
        <v>956</v>
      </c>
      <c r="B39" s="309"/>
      <c r="C39" s="315">
        <f>C29+C37</f>
        <v>-2590728.0415266622</v>
      </c>
    </row>
    <row r="40" spans="1:3" ht="15.75" x14ac:dyDescent="0.25">
      <c r="A40" s="308"/>
      <c r="B40" s="309"/>
      <c r="C40" s="315"/>
    </row>
    <row r="41" spans="1:3" ht="15.75" x14ac:dyDescent="0.25">
      <c r="A41" s="316" t="s">
        <v>957</v>
      </c>
      <c r="B41" s="309"/>
      <c r="C41" s="310"/>
    </row>
    <row r="42" spans="1:3" ht="15.75" x14ac:dyDescent="0.25">
      <c r="A42" s="308" t="s">
        <v>1041</v>
      </c>
      <c r="B42" s="309"/>
      <c r="C42" s="310">
        <f>-C5</f>
        <v>-1053.4952255054377</v>
      </c>
    </row>
    <row r="43" spans="1:3" ht="15.75" x14ac:dyDescent="0.25">
      <c r="A43" s="308" t="s">
        <v>958</v>
      </c>
      <c r="B43" s="309"/>
      <c r="C43" s="310">
        <f>-E8</f>
        <v>-173016.62</v>
      </c>
    </row>
    <row r="44" spans="1:3" ht="15.75" x14ac:dyDescent="0.25">
      <c r="A44" s="308" t="s">
        <v>959</v>
      </c>
      <c r="B44" s="309"/>
      <c r="C44" s="310">
        <f>C43+C42</f>
        <v>-174070.11522550543</v>
      </c>
    </row>
    <row r="45" spans="1:3" ht="15.75" x14ac:dyDescent="0.25">
      <c r="A45" s="308"/>
      <c r="B45" s="309"/>
      <c r="C45" s="310"/>
    </row>
    <row r="46" spans="1:3" ht="15.75" x14ac:dyDescent="0.25">
      <c r="A46" s="316" t="s">
        <v>960</v>
      </c>
      <c r="B46" s="309"/>
      <c r="C46" s="310"/>
    </row>
    <row r="47" spans="1:3" ht="30" x14ac:dyDescent="0.25">
      <c r="A47" s="308" t="s">
        <v>961</v>
      </c>
      <c r="C47" s="310">
        <f>-F17-F18</f>
        <v>14127038.012348367</v>
      </c>
    </row>
    <row r="48" spans="1:3" ht="15.75" x14ac:dyDescent="0.25">
      <c r="A48" s="308" t="s">
        <v>944</v>
      </c>
      <c r="C48" s="310">
        <f>-F14-F13</f>
        <v>10468.64</v>
      </c>
    </row>
    <row r="49" spans="1:5" ht="15.75" x14ac:dyDescent="0.25">
      <c r="A49" s="308"/>
      <c r="C49" s="310"/>
    </row>
    <row r="50" spans="1:5" ht="15.75" x14ac:dyDescent="0.25">
      <c r="A50" s="308" t="s">
        <v>962</v>
      </c>
      <c r="B50" s="309"/>
      <c r="C50" s="310">
        <f>C47+C49+C48</f>
        <v>14137506.652348367</v>
      </c>
    </row>
    <row r="51" spans="1:5" ht="15.75" x14ac:dyDescent="0.25">
      <c r="A51" s="308"/>
      <c r="B51" s="309"/>
      <c r="C51" s="310"/>
    </row>
    <row r="52" spans="1:5" ht="15.75" x14ac:dyDescent="0.25">
      <c r="A52" s="308" t="s">
        <v>963</v>
      </c>
      <c r="B52" s="309"/>
      <c r="C52" s="310">
        <f>C39+C44+C50</f>
        <v>11372708.4955962</v>
      </c>
      <c r="E52" s="293"/>
    </row>
    <row r="53" spans="1:5" ht="15.75" x14ac:dyDescent="0.25">
      <c r="A53" s="308" t="s">
        <v>964</v>
      </c>
      <c r="B53" s="309"/>
      <c r="C53" s="310">
        <f>B4</f>
        <v>6801987.9052255061</v>
      </c>
      <c r="E53" s="317"/>
    </row>
    <row r="54" spans="1:5" ht="15.75" x14ac:dyDescent="0.25">
      <c r="A54" s="308" t="s">
        <v>965</v>
      </c>
      <c r="B54" s="309"/>
      <c r="C54" s="315">
        <f>C52+C53</f>
        <v>18174696.400821708</v>
      </c>
      <c r="E54" s="317"/>
    </row>
    <row r="55" spans="1:5" ht="15.75" x14ac:dyDescent="0.25">
      <c r="A55" s="308"/>
      <c r="B55" s="309"/>
      <c r="C55" s="315"/>
    </row>
    <row r="56" spans="1:5" x14ac:dyDescent="0.2">
      <c r="A56" s="318"/>
      <c r="C56" s="312"/>
    </row>
    <row r="57" spans="1:5" ht="28.5" x14ac:dyDescent="0.2">
      <c r="A57" s="319" t="s">
        <v>966</v>
      </c>
      <c r="C57" s="312"/>
    </row>
    <row r="58" spans="1:5" x14ac:dyDescent="0.2">
      <c r="A58" s="318"/>
      <c r="C58" s="312"/>
    </row>
    <row r="59" spans="1:5" x14ac:dyDescent="0.2">
      <c r="A59" s="318"/>
      <c r="C59" s="312"/>
    </row>
    <row r="60" spans="1:5" ht="15" thickBot="1" x14ac:dyDescent="0.25">
      <c r="A60" s="320" t="s">
        <v>967</v>
      </c>
      <c r="B60" s="321"/>
      <c r="C60" s="322">
        <f>G12</f>
        <v>0</v>
      </c>
    </row>
  </sheetData>
  <mergeCells count="1">
    <mergeCell ref="A2:K2"/>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0492A-F532-4E39-A09B-8A117F6CD67E}">
  <sheetPr codeName="Sheet6"/>
  <dimension ref="A2:J23"/>
  <sheetViews>
    <sheetView workbookViewId="0">
      <selection activeCell="B10" sqref="B10"/>
    </sheetView>
  </sheetViews>
  <sheetFormatPr defaultRowHeight="14.25" x14ac:dyDescent="0.2"/>
  <cols>
    <col min="1" max="1" width="5.875" bestFit="1" customWidth="1"/>
    <col min="2" max="2" width="38.5" bestFit="1" customWidth="1"/>
    <col min="3" max="3" width="10.875" bestFit="1" customWidth="1"/>
    <col min="4" max="4" width="9.875" bestFit="1" customWidth="1"/>
    <col min="9" max="9" width="10.875" bestFit="1" customWidth="1"/>
    <col min="10" max="10" width="9.875" bestFit="1" customWidth="1"/>
  </cols>
  <sheetData>
    <row r="2" spans="1:10" ht="15" x14ac:dyDescent="0.25">
      <c r="A2" s="31" t="s">
        <v>640</v>
      </c>
      <c r="G2" s="264" t="s">
        <v>738</v>
      </c>
      <c r="H2" s="264" t="s">
        <v>737</v>
      </c>
      <c r="I2" s="264" t="s">
        <v>103</v>
      </c>
      <c r="J2" s="264" t="s">
        <v>102</v>
      </c>
    </row>
    <row r="3" spans="1:10" ht="15" x14ac:dyDescent="0.2">
      <c r="C3" s="33" t="s">
        <v>111</v>
      </c>
      <c r="D3" s="33" t="s">
        <v>102</v>
      </c>
      <c r="G3" s="262" t="s">
        <v>732</v>
      </c>
      <c r="H3" s="262">
        <v>10</v>
      </c>
      <c r="I3" s="263">
        <f>$C$23*H3/$H$6</f>
        <v>256287.19374999998</v>
      </c>
      <c r="J3" s="263">
        <f>$D$23*H3/$H$6</f>
        <v>78920.731249999983</v>
      </c>
    </row>
    <row r="4" spans="1:10" x14ac:dyDescent="0.2">
      <c r="A4" t="s">
        <v>705</v>
      </c>
      <c r="B4" t="s">
        <v>670</v>
      </c>
      <c r="C4" s="261">
        <f>SUMIF('TB LTD 2021'!B:B,'Allocation - G&amp;A'!A4,'TB LTD 2021'!F:F)</f>
        <v>12696.36</v>
      </c>
      <c r="D4" s="261">
        <f>SUMIF('TB LTD 2021'!B:B,'Allocation - G&amp;A'!A4,'TB LTD 2021'!I:I)</f>
        <v>3806.82</v>
      </c>
      <c r="G4" s="262" t="s">
        <v>733</v>
      </c>
      <c r="H4" s="262">
        <v>2</v>
      </c>
      <c r="I4" s="263">
        <f>$C$23*H4/$H$6</f>
        <v>51257.438749999994</v>
      </c>
      <c r="J4" s="263">
        <f>$D$23*H4/$H$6</f>
        <v>15784.146249999998</v>
      </c>
    </row>
    <row r="5" spans="1:10" x14ac:dyDescent="0.2">
      <c r="A5" t="s">
        <v>706</v>
      </c>
      <c r="B5" t="s">
        <v>671</v>
      </c>
      <c r="C5" s="261">
        <f>SUMIF('TB LTD 2021'!B:B,'Allocation - G&amp;A'!A5,'TB LTD 2021'!F:F)</f>
        <v>18983</v>
      </c>
      <c r="D5" s="261">
        <f>SUMIF('TB LTD 2021'!B:B,'Allocation - G&amp;A'!A5,'TB LTD 2021'!I:I)</f>
        <v>5821.41</v>
      </c>
      <c r="G5" s="262" t="s">
        <v>734</v>
      </c>
      <c r="H5" s="262">
        <v>4</v>
      </c>
      <c r="I5" s="263">
        <f>$C$23*H5/$H$6</f>
        <v>102514.87749999999</v>
      </c>
      <c r="J5" s="263">
        <f>$D$23*H5/$H$6</f>
        <v>31568.292499999996</v>
      </c>
    </row>
    <row r="6" spans="1:10" ht="15" x14ac:dyDescent="0.25">
      <c r="A6" t="s">
        <v>707</v>
      </c>
      <c r="B6" t="s">
        <v>672</v>
      </c>
      <c r="C6" s="261">
        <f>SUMIF('TB LTD 2021'!B:B,'Allocation - G&amp;A'!A6,'TB LTD 2021'!F:F)</f>
        <v>194210.24</v>
      </c>
      <c r="D6" s="261">
        <f>SUMIF('TB LTD 2021'!B:B,'Allocation - G&amp;A'!A6,'TB LTD 2021'!I:I)</f>
        <v>60343.81</v>
      </c>
      <c r="G6" s="264" t="s">
        <v>735</v>
      </c>
      <c r="H6" s="264">
        <f>SUM(H3:H5)</f>
        <v>16</v>
      </c>
      <c r="I6" s="265">
        <f>$C$23*H6/$H$6</f>
        <v>410059.50999999995</v>
      </c>
      <c r="J6" s="265">
        <f>$D$23*H6/$H$6</f>
        <v>126273.16999999998</v>
      </c>
    </row>
    <row r="7" spans="1:10" x14ac:dyDescent="0.2">
      <c r="A7" t="s">
        <v>708</v>
      </c>
      <c r="B7" t="s">
        <v>709</v>
      </c>
      <c r="C7" s="261">
        <f>SUMIF('TB LTD 2021'!B:B,'Allocation - G&amp;A'!A7,'TB LTD 2021'!F:F)</f>
        <v>5429.96</v>
      </c>
      <c r="D7" s="261">
        <f>SUMIF('TB LTD 2021'!B:B,'Allocation - G&amp;A'!A7,'TB LTD 2021'!I:I)</f>
        <v>1707.64</v>
      </c>
    </row>
    <row r="8" spans="1:10" x14ac:dyDescent="0.2">
      <c r="A8" t="s">
        <v>710</v>
      </c>
      <c r="B8" t="s">
        <v>673</v>
      </c>
      <c r="C8" s="261">
        <f>SUMIF('TB LTD 2021'!B:B,'Allocation - G&amp;A'!A8,'TB LTD 2021'!F:F)</f>
        <v>5402</v>
      </c>
      <c r="D8" s="261">
        <f>SUMIF('TB LTD 2021'!B:B,'Allocation - G&amp;A'!A8,'TB LTD 2021'!I:I)</f>
        <v>1690.96</v>
      </c>
    </row>
    <row r="9" spans="1:10" x14ac:dyDescent="0.2">
      <c r="A9" t="s">
        <v>711</v>
      </c>
      <c r="B9" t="s">
        <v>712</v>
      </c>
      <c r="C9" s="261">
        <f>SUMIF('TB LTD 2021'!B:B,'Allocation - G&amp;A'!A9,'TB LTD 2021'!F:F)</f>
        <v>140.30000000000001</v>
      </c>
      <c r="D9" s="261">
        <f>SUMIF('TB LTD 2021'!B:B,'Allocation - G&amp;A'!A9,'TB LTD 2021'!I:I)</f>
        <v>43.31</v>
      </c>
    </row>
    <row r="10" spans="1:10" x14ac:dyDescent="0.2">
      <c r="A10" t="s">
        <v>713</v>
      </c>
      <c r="B10" t="s">
        <v>714</v>
      </c>
      <c r="C10" s="261">
        <f>SUMIF('TB LTD 2021'!B:B,'Allocation - G&amp;A'!A10,'TB LTD 2021'!F:F)</f>
        <v>1799.39</v>
      </c>
      <c r="D10" s="261">
        <f>SUMIF('TB LTD 2021'!B:B,'Allocation - G&amp;A'!A10,'TB LTD 2021'!I:I)</f>
        <v>555.29999999999995</v>
      </c>
    </row>
    <row r="11" spans="1:10" x14ac:dyDescent="0.2">
      <c r="A11" t="s">
        <v>715</v>
      </c>
      <c r="B11" t="s">
        <v>458</v>
      </c>
      <c r="C11" s="261">
        <f>SUMIF('TB LTD 2021'!B:B,'Allocation - G&amp;A'!A11,'TB LTD 2021'!F:F)</f>
        <v>33448.699999999997</v>
      </c>
      <c r="D11" s="261">
        <f>SUMIF('TB LTD 2021'!B:B,'Allocation - G&amp;A'!A11,'TB LTD 2021'!I:I)</f>
        <v>10334.39</v>
      </c>
    </row>
    <row r="12" spans="1:10" x14ac:dyDescent="0.2">
      <c r="A12" t="s">
        <v>716</v>
      </c>
      <c r="B12" t="s">
        <v>717</v>
      </c>
      <c r="C12" s="261">
        <f>SUMIF('TB LTD 2021'!B:B,'Allocation - G&amp;A'!A12,'TB LTD 2021'!F:F)</f>
        <v>7388.66</v>
      </c>
      <c r="D12" s="261">
        <f>SUMIF('TB LTD 2021'!B:B,'Allocation - G&amp;A'!A12,'TB LTD 2021'!I:I)</f>
        <v>2304.5100000000002</v>
      </c>
    </row>
    <row r="13" spans="1:10" x14ac:dyDescent="0.2">
      <c r="A13" t="s">
        <v>718</v>
      </c>
      <c r="B13" t="s">
        <v>719</v>
      </c>
      <c r="C13" s="261">
        <f>SUMIF('TB LTD 2021'!B:B,'Allocation - G&amp;A'!A13,'TB LTD 2021'!F:F)</f>
        <v>40937.870000000003</v>
      </c>
      <c r="D13" s="261">
        <f>SUMIF('TB LTD 2021'!B:B,'Allocation - G&amp;A'!A13,'TB LTD 2021'!I:I)</f>
        <v>12758.21</v>
      </c>
    </row>
    <row r="14" spans="1:10" x14ac:dyDescent="0.2">
      <c r="A14" t="s">
        <v>720</v>
      </c>
      <c r="B14" t="s">
        <v>721</v>
      </c>
      <c r="C14" s="261">
        <f>SUMIF('TB LTD 2021'!B:B,'Allocation - G&amp;A'!A14,'TB LTD 2021'!F:F)</f>
        <v>2744.33</v>
      </c>
      <c r="D14" s="261">
        <f>SUMIF('TB LTD 2021'!B:B,'Allocation - G&amp;A'!A14,'TB LTD 2021'!I:I)</f>
        <v>847.26</v>
      </c>
    </row>
    <row r="15" spans="1:10" x14ac:dyDescent="0.2">
      <c r="A15" t="s">
        <v>722</v>
      </c>
      <c r="B15" t="s">
        <v>605</v>
      </c>
      <c r="C15" s="261">
        <f>SUMIF('TB LTD 2021'!B:B,'Allocation - G&amp;A'!A15,'TB LTD 2021'!F:F)</f>
        <v>1505</v>
      </c>
      <c r="D15" s="261">
        <f>SUMIF('TB LTD 2021'!B:B,'Allocation - G&amp;A'!A15,'TB LTD 2021'!I:I)</f>
        <v>466.38</v>
      </c>
    </row>
    <row r="16" spans="1:10" x14ac:dyDescent="0.2">
      <c r="A16" t="s">
        <v>723</v>
      </c>
      <c r="B16" t="s">
        <v>53</v>
      </c>
      <c r="C16" s="261">
        <f>SUMIF('TB LTD 2021'!B:B,'Allocation - G&amp;A'!A16,'TB LTD 2021'!F:F)</f>
        <v>7814.9</v>
      </c>
      <c r="D16" s="261">
        <f>SUMIF('TB LTD 2021'!B:B,'Allocation - G&amp;A'!A16,'TB LTD 2021'!I:I)</f>
        <v>2445.41</v>
      </c>
    </row>
    <row r="17" spans="1:4" x14ac:dyDescent="0.2">
      <c r="A17" t="s">
        <v>724</v>
      </c>
      <c r="B17" t="s">
        <v>725</v>
      </c>
      <c r="C17" s="261">
        <f>SUMIF('TB LTD 2021'!B:B,'Allocation - G&amp;A'!A17,'TB LTD 2021'!F:F)</f>
        <v>33923.870000000003</v>
      </c>
      <c r="D17" s="261">
        <f>SUMIF('TB LTD 2021'!B:B,'Allocation - G&amp;A'!A17,'TB LTD 2021'!I:I)</f>
        <v>10483.5</v>
      </c>
    </row>
    <row r="18" spans="1:4" x14ac:dyDescent="0.2">
      <c r="A18" t="s">
        <v>726</v>
      </c>
      <c r="B18" t="s">
        <v>681</v>
      </c>
      <c r="C18" s="261">
        <f>SUMIF('TB LTD 2021'!B:B,'Allocation - G&amp;A'!A18,'TB LTD 2021'!F:F)</f>
        <v>41785.949999999997</v>
      </c>
      <c r="D18" s="261">
        <f>SUMIF('TB LTD 2021'!B:B,'Allocation - G&amp;A'!A18,'TB LTD 2021'!I:I)</f>
        <v>12127.58</v>
      </c>
    </row>
    <row r="19" spans="1:4" x14ac:dyDescent="0.2">
      <c r="A19" t="s">
        <v>727</v>
      </c>
      <c r="B19" t="s">
        <v>728</v>
      </c>
      <c r="C19" s="261">
        <f>SUMIF('TB LTD 2021'!B:B,'Allocation - G&amp;A'!A19,'TB LTD 2021'!F:F)</f>
        <v>1848.98</v>
      </c>
      <c r="D19" s="261">
        <f>SUMIF('TB LTD 2021'!B:B,'Allocation - G&amp;A'!A19,'TB LTD 2021'!I:I)</f>
        <v>536.67999999999995</v>
      </c>
    </row>
    <row r="20" spans="1:4" x14ac:dyDescent="0.2">
      <c r="A20" t="s">
        <v>729</v>
      </c>
      <c r="B20" t="s">
        <v>69</v>
      </c>
      <c r="C20" s="261">
        <f>SUMIF('TB LTD 2021'!B:B,'Allocation - G&amp;A'!A20,'TB LTD 2021'!F:F)</f>
        <v>2352.1999999999998</v>
      </c>
      <c r="D20" s="261">
        <f>SUMIF('TB LTD 2021'!B:B,'Allocation - G&amp;A'!A20,'TB LTD 2021'!I:I)</f>
        <v>709.68</v>
      </c>
    </row>
    <row r="21" spans="1:4" x14ac:dyDescent="0.2">
      <c r="A21" t="s">
        <v>730</v>
      </c>
      <c r="B21" t="s">
        <v>731</v>
      </c>
      <c r="C21" s="261">
        <f>SUMIF('TB LTD 2021'!B:B,'Allocation - G&amp;A'!A21,'TB LTD 2021'!F:F)</f>
        <v>6853.29</v>
      </c>
      <c r="D21" s="261">
        <f>SUMIF('TB LTD 2021'!B:B,'Allocation - G&amp;A'!A21,'TB LTD 2021'!I:I)</f>
        <v>2124.6</v>
      </c>
    </row>
    <row r="23" spans="1:4" ht="17.25" x14ac:dyDescent="0.4">
      <c r="C23" s="32">
        <f>SUM(C4:C19)</f>
        <v>410059.50999999995</v>
      </c>
      <c r="D23" s="32">
        <f>SUM(D4:D19)</f>
        <v>126273.16999999998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448CA-49BB-4C43-864C-A555BC6EEE27}">
  <sheetPr codeName="Sheet7"/>
  <dimension ref="A1:K809"/>
  <sheetViews>
    <sheetView zoomScale="115" zoomScaleNormal="115" workbookViewId="0">
      <selection activeCell="E13" sqref="E13"/>
    </sheetView>
  </sheetViews>
  <sheetFormatPr defaultRowHeight="14.25" x14ac:dyDescent="0.2"/>
  <cols>
    <col min="1" max="1" width="42.5" bestFit="1" customWidth="1"/>
    <col min="2" max="2" width="22.25" bestFit="1" customWidth="1"/>
    <col min="3" max="3" width="19" bestFit="1" customWidth="1"/>
    <col min="4" max="4" width="19.875" bestFit="1" customWidth="1"/>
    <col min="5" max="5" width="19" bestFit="1" customWidth="1"/>
  </cols>
  <sheetData>
    <row r="1" spans="1:7" ht="15.75" x14ac:dyDescent="0.2">
      <c r="A1" s="38" t="s">
        <v>122</v>
      </c>
    </row>
    <row r="2" spans="1:7" ht="15.75" x14ac:dyDescent="0.2">
      <c r="A2" s="40"/>
    </row>
    <row r="3" spans="1:7" ht="15.75" x14ac:dyDescent="0.2">
      <c r="A3" s="41" t="s">
        <v>622</v>
      </c>
    </row>
    <row r="4" spans="1:7" ht="15.75" x14ac:dyDescent="0.2">
      <c r="A4" s="40"/>
    </row>
    <row r="5" spans="1:7" ht="15.75" x14ac:dyDescent="0.2">
      <c r="A5" s="49" t="s">
        <v>126</v>
      </c>
    </row>
    <row r="6" spans="1:7" ht="15.75" x14ac:dyDescent="0.2">
      <c r="A6" s="43"/>
    </row>
    <row r="7" spans="1:7" x14ac:dyDescent="0.2">
      <c r="A7" s="42"/>
    </row>
    <row r="8" spans="1:7" ht="16.5" thickBot="1" x14ac:dyDescent="0.25">
      <c r="A8" s="50"/>
      <c r="B8" s="47"/>
      <c r="C8" s="47"/>
      <c r="D8" s="47"/>
      <c r="E8" s="465" t="s">
        <v>127</v>
      </c>
      <c r="F8" s="465"/>
      <c r="G8" s="465"/>
    </row>
    <row r="9" spans="1:7" ht="16.5" thickBot="1" x14ac:dyDescent="0.25">
      <c r="A9" s="50"/>
      <c r="B9" s="47"/>
      <c r="C9" s="47"/>
      <c r="D9" s="47"/>
      <c r="E9" s="46">
        <v>2020</v>
      </c>
      <c r="F9" s="47"/>
      <c r="G9" s="46">
        <v>2019</v>
      </c>
    </row>
    <row r="10" spans="1:7" ht="16.5" thickBot="1" x14ac:dyDescent="0.25">
      <c r="A10" s="51"/>
      <c r="B10" s="47"/>
      <c r="C10" s="46" t="s">
        <v>128</v>
      </c>
      <c r="D10" s="47"/>
      <c r="E10" s="465" t="s">
        <v>129</v>
      </c>
      <c r="F10" s="465"/>
      <c r="G10" s="465"/>
    </row>
    <row r="11" spans="1:7" ht="15.75" x14ac:dyDescent="0.2">
      <c r="A11" s="52" t="s">
        <v>130</v>
      </c>
      <c r="B11" s="47"/>
      <c r="C11" s="47"/>
      <c r="D11" s="47"/>
      <c r="E11" s="47"/>
      <c r="F11" s="53"/>
      <c r="G11" s="53"/>
    </row>
    <row r="12" spans="1:7" ht="15.75" x14ac:dyDescent="0.2">
      <c r="A12" s="54"/>
      <c r="B12" s="47"/>
      <c r="C12" s="47"/>
      <c r="D12" s="47"/>
      <c r="E12" s="47"/>
      <c r="F12" s="47"/>
      <c r="G12" s="47"/>
    </row>
    <row r="13" spans="1:7" ht="15.75" x14ac:dyDescent="0.2">
      <c r="A13" s="54" t="s">
        <v>131</v>
      </c>
      <c r="B13" s="47"/>
      <c r="C13" s="47" t="str">
        <f>A300</f>
        <v>ה.</v>
      </c>
      <c r="D13" s="55"/>
      <c r="E13" s="178">
        <f>'2021'!G5/1000</f>
        <v>2968.5042899999999</v>
      </c>
      <c r="F13" s="55"/>
      <c r="G13" s="55">
        <v>0</v>
      </c>
    </row>
    <row r="14" spans="1:7" ht="15.75" x14ac:dyDescent="0.2">
      <c r="A14" s="54" t="s">
        <v>132</v>
      </c>
      <c r="B14" s="47"/>
      <c r="C14" s="47" t="str">
        <f>A309</f>
        <v>ו.</v>
      </c>
      <c r="D14" s="55"/>
      <c r="E14" s="55">
        <v>0</v>
      </c>
      <c r="F14" s="55"/>
      <c r="G14" s="55">
        <v>0</v>
      </c>
    </row>
    <row r="15" spans="1:7" ht="15.75" x14ac:dyDescent="0.2">
      <c r="A15" s="54" t="s">
        <v>133</v>
      </c>
      <c r="B15" s="47"/>
      <c r="C15" s="47" t="str">
        <f>A313</f>
        <v>ז.</v>
      </c>
      <c r="D15" s="55"/>
      <c r="E15" s="55">
        <v>0</v>
      </c>
      <c r="F15" s="55"/>
      <c r="G15" s="55">
        <v>0</v>
      </c>
    </row>
    <row r="16" spans="1:7" ht="15.75" x14ac:dyDescent="0.2">
      <c r="A16" s="54" t="s">
        <v>134</v>
      </c>
      <c r="B16" s="47"/>
      <c r="C16" s="47"/>
      <c r="D16" s="55"/>
      <c r="E16" s="55">
        <v>0</v>
      </c>
      <c r="F16" s="55"/>
      <c r="G16" s="55">
        <v>0</v>
      </c>
    </row>
    <row r="17" spans="1:7" ht="15.75" x14ac:dyDescent="0.2">
      <c r="A17" s="54" t="s">
        <v>507</v>
      </c>
      <c r="B17" s="47"/>
      <c r="C17" s="47"/>
      <c r="D17" s="55"/>
      <c r="E17" s="178"/>
      <c r="F17" s="55"/>
      <c r="G17" s="55">
        <v>0</v>
      </c>
    </row>
    <row r="18" spans="1:7" ht="15.75" x14ac:dyDescent="0.2">
      <c r="A18" s="54" t="s">
        <v>135</v>
      </c>
      <c r="B18" s="47"/>
      <c r="C18" s="47"/>
      <c r="D18" s="55"/>
      <c r="E18" s="178">
        <f>'2021'!G9/1000+'2021'!G8/1000</f>
        <v>157.71149999999997</v>
      </c>
      <c r="F18" s="55"/>
      <c r="G18" s="55">
        <v>0</v>
      </c>
    </row>
    <row r="19" spans="1:7" ht="16.5" thickBot="1" x14ac:dyDescent="0.25">
      <c r="A19" s="54" t="s">
        <v>136</v>
      </c>
      <c r="B19" s="47"/>
      <c r="C19" s="43" t="s">
        <v>420</v>
      </c>
      <c r="D19" s="55"/>
      <c r="E19" s="56">
        <v>0</v>
      </c>
      <c r="F19" s="55"/>
      <c r="G19" s="56">
        <v>0</v>
      </c>
    </row>
    <row r="20" spans="1:7" ht="15.75" x14ac:dyDescent="0.2">
      <c r="A20" s="57"/>
      <c r="B20" s="58"/>
      <c r="C20" s="58"/>
      <c r="D20" s="55"/>
      <c r="E20" s="47"/>
      <c r="F20" s="55"/>
      <c r="G20" s="47"/>
    </row>
    <row r="21" spans="1:7" ht="16.5" thickBot="1" x14ac:dyDescent="0.25">
      <c r="A21" s="57"/>
      <c r="B21" s="47"/>
      <c r="C21" s="47"/>
      <c r="D21" s="58"/>
      <c r="E21" s="177">
        <f>SUM(E13:E20)</f>
        <v>3126.2157899999997</v>
      </c>
      <c r="F21" s="55"/>
      <c r="G21" s="56">
        <f>SUM(G13:G20)</f>
        <v>0</v>
      </c>
    </row>
    <row r="22" spans="1:7" ht="15.75" x14ac:dyDescent="0.2">
      <c r="A22" s="54"/>
      <c r="B22" s="47"/>
      <c r="C22" s="47"/>
      <c r="D22" s="209"/>
      <c r="E22" s="47"/>
      <c r="F22" s="47"/>
      <c r="G22" s="47"/>
    </row>
    <row r="23" spans="1:7" ht="15.75" x14ac:dyDescent="0.2">
      <c r="A23" s="52" t="s">
        <v>137</v>
      </c>
      <c r="B23" s="47"/>
      <c r="C23" s="47"/>
      <c r="D23" s="58"/>
      <c r="E23" s="47"/>
      <c r="F23" s="47"/>
      <c r="G23" s="47"/>
    </row>
    <row r="24" spans="1:7" ht="15.75" x14ac:dyDescent="0.2">
      <c r="A24" s="54"/>
      <c r="B24" s="47"/>
      <c r="C24" s="47"/>
      <c r="D24" s="58"/>
      <c r="E24" s="47"/>
      <c r="F24" s="47"/>
      <c r="G24" s="47"/>
    </row>
    <row r="25" spans="1:7" ht="15.75" x14ac:dyDescent="0.2">
      <c r="A25" s="54" t="s">
        <v>138</v>
      </c>
      <c r="B25" s="47"/>
      <c r="C25" s="47"/>
      <c r="D25" s="55"/>
      <c r="E25" s="55">
        <v>0</v>
      </c>
      <c r="F25" s="55"/>
      <c r="G25" s="55">
        <v>0</v>
      </c>
    </row>
    <row r="26" spans="1:7" ht="15.75" x14ac:dyDescent="0.2">
      <c r="A26" s="54" t="s">
        <v>139</v>
      </c>
      <c r="B26" s="47"/>
      <c r="C26" s="47" t="str">
        <f>_Toc26607242</f>
        <v>באור 3: -</v>
      </c>
      <c r="D26" s="55"/>
      <c r="E26" s="178">
        <f>'2021'!G10/1000+'2021'!G11/1000</f>
        <v>605.64504000000011</v>
      </c>
      <c r="F26" s="55"/>
      <c r="G26" s="55">
        <v>0</v>
      </c>
    </row>
    <row r="27" spans="1:7" ht="16.5" thickBot="1" x14ac:dyDescent="0.25">
      <c r="A27" s="54" t="s">
        <v>136</v>
      </c>
      <c r="B27" s="47"/>
      <c r="C27" s="43" t="s">
        <v>420</v>
      </c>
      <c r="D27" s="55"/>
      <c r="E27" s="56">
        <v>0</v>
      </c>
      <c r="F27" s="55"/>
      <c r="G27" s="56">
        <v>0</v>
      </c>
    </row>
    <row r="28" spans="1:7" ht="15.75" x14ac:dyDescent="0.2">
      <c r="A28" s="54"/>
      <c r="B28" s="47"/>
      <c r="C28" s="47"/>
      <c r="D28" s="55"/>
      <c r="E28" s="55"/>
      <c r="F28" s="55"/>
      <c r="G28" s="55"/>
    </row>
    <row r="29" spans="1:7" ht="16.5" thickBot="1" x14ac:dyDescent="0.25">
      <c r="A29" s="54"/>
      <c r="B29" s="47"/>
      <c r="C29" s="47"/>
      <c r="D29" s="55"/>
      <c r="E29" s="177">
        <f>SUM(E25:E28)</f>
        <v>605.64504000000011</v>
      </c>
      <c r="F29" s="55"/>
      <c r="G29" s="56">
        <f>SUM(G25:G28)</f>
        <v>0</v>
      </c>
    </row>
    <row r="30" spans="1:7" ht="15.75" x14ac:dyDescent="0.2">
      <c r="A30" s="54"/>
      <c r="B30" s="47"/>
      <c r="C30" s="47"/>
      <c r="D30" s="47"/>
      <c r="E30" s="47"/>
      <c r="F30" s="47"/>
      <c r="G30" s="47"/>
    </row>
    <row r="31" spans="1:7" ht="15.75" x14ac:dyDescent="0.2">
      <c r="A31" s="54"/>
      <c r="B31" s="47"/>
      <c r="C31" s="47"/>
      <c r="D31" s="47"/>
      <c r="E31" s="47"/>
      <c r="F31" s="47"/>
      <c r="G31" s="47"/>
    </row>
    <row r="32" spans="1:7" ht="16.5" thickBot="1" x14ac:dyDescent="0.25">
      <c r="A32" s="54" t="s">
        <v>140</v>
      </c>
      <c r="B32" s="47"/>
      <c r="C32" s="47"/>
      <c r="D32" s="55"/>
      <c r="E32" s="176">
        <f>E21+E29-1</f>
        <v>3730.8608299999996</v>
      </c>
      <c r="F32" s="55"/>
      <c r="G32" s="59">
        <f>G21+G29</f>
        <v>0</v>
      </c>
    </row>
    <row r="33" spans="1:7" ht="16.5" thickTop="1" x14ac:dyDescent="0.2">
      <c r="A33" s="43"/>
    </row>
    <row r="34" spans="1:7" ht="15.75" x14ac:dyDescent="0.2">
      <c r="A34" s="43"/>
    </row>
    <row r="35" spans="1:7" ht="31.5" x14ac:dyDescent="0.2">
      <c r="A35" s="43" t="s">
        <v>141</v>
      </c>
    </row>
    <row r="36" spans="1:7" ht="15" thickBot="1" x14ac:dyDescent="0.25">
      <c r="A36" s="48"/>
    </row>
    <row r="37" spans="1:7" ht="16.5" thickTop="1" x14ac:dyDescent="0.2">
      <c r="A37" s="49" t="s">
        <v>123</v>
      </c>
    </row>
    <row r="38" spans="1:7" ht="15.75" x14ac:dyDescent="0.2">
      <c r="A38" s="43"/>
    </row>
    <row r="39" spans="1:7" ht="15.75" x14ac:dyDescent="0.2">
      <c r="A39" s="43"/>
    </row>
    <row r="40" spans="1:7" ht="16.5" thickBot="1" x14ac:dyDescent="0.25">
      <c r="A40" s="50"/>
      <c r="B40" s="47"/>
      <c r="C40" s="47"/>
      <c r="D40" s="47"/>
      <c r="E40" s="465" t="s">
        <v>127</v>
      </c>
      <c r="F40" s="465"/>
      <c r="G40" s="465"/>
    </row>
    <row r="41" spans="1:7" ht="16.5" thickBot="1" x14ac:dyDescent="0.25">
      <c r="A41" s="50"/>
      <c r="B41" s="47"/>
      <c r="C41" s="47"/>
      <c r="D41" s="47"/>
      <c r="E41" s="46">
        <f>E9</f>
        <v>2020</v>
      </c>
      <c r="F41" s="47"/>
      <c r="G41" s="46">
        <f>G9</f>
        <v>2019</v>
      </c>
    </row>
    <row r="42" spans="1:7" ht="16.5" thickBot="1" x14ac:dyDescent="0.25">
      <c r="A42" s="51"/>
      <c r="B42" s="47"/>
      <c r="C42" s="46" t="s">
        <v>128</v>
      </c>
      <c r="D42" s="47"/>
      <c r="E42" s="465" t="s">
        <v>129</v>
      </c>
      <c r="F42" s="465"/>
      <c r="G42" s="465"/>
    </row>
    <row r="43" spans="1:7" ht="15.75" x14ac:dyDescent="0.2">
      <c r="A43" s="60"/>
      <c r="B43" s="47"/>
      <c r="C43" s="47"/>
      <c r="D43" s="47"/>
      <c r="E43" s="47"/>
      <c r="F43" s="53"/>
      <c r="G43" s="53"/>
    </row>
    <row r="44" spans="1:7" ht="15.75" x14ac:dyDescent="0.2">
      <c r="A44" s="52" t="s">
        <v>142</v>
      </c>
      <c r="B44" s="47"/>
      <c r="C44" s="47"/>
      <c r="D44" s="47"/>
      <c r="E44" s="47"/>
      <c r="F44" s="47"/>
      <c r="G44" s="47"/>
    </row>
    <row r="45" spans="1:7" ht="15.75" x14ac:dyDescent="0.2">
      <c r="A45" s="54" t="s">
        <v>143</v>
      </c>
      <c r="B45" s="47"/>
      <c r="C45" s="47"/>
      <c r="D45" s="55"/>
      <c r="E45" s="61">
        <v>0</v>
      </c>
      <c r="F45" s="55"/>
      <c r="G45" s="61">
        <v>0</v>
      </c>
    </row>
    <row r="46" spans="1:7" ht="15.75" x14ac:dyDescent="0.2">
      <c r="A46" s="54" t="s">
        <v>144</v>
      </c>
      <c r="B46" s="47"/>
      <c r="C46" s="47"/>
      <c r="D46" s="178"/>
      <c r="E46" s="175">
        <f>-('2021'!G15)/1000</f>
        <v>-21.521959999999908</v>
      </c>
      <c r="F46" s="55"/>
      <c r="G46" s="61">
        <v>0</v>
      </c>
    </row>
    <row r="47" spans="1:7" ht="15.75" x14ac:dyDescent="0.2">
      <c r="A47" s="54" t="s">
        <v>145</v>
      </c>
      <c r="B47" s="47"/>
      <c r="C47" s="47" t="str">
        <f>A502</f>
        <v>באור 5: -</v>
      </c>
      <c r="D47" s="55"/>
      <c r="E47" s="175">
        <f>-(+'2021'!G16+'2021'!G17+'2021'!G18+'2021'!G19)/1000</f>
        <v>1000.21344</v>
      </c>
      <c r="F47" s="55"/>
      <c r="G47" s="61">
        <v>0</v>
      </c>
    </row>
    <row r="48" spans="1:7" ht="16.5" thickBot="1" x14ac:dyDescent="0.25">
      <c r="A48" s="54" t="s">
        <v>136</v>
      </c>
      <c r="B48" s="47"/>
      <c r="C48" s="43" t="s">
        <v>420</v>
      </c>
      <c r="D48" s="55"/>
      <c r="E48" s="62">
        <v>0</v>
      </c>
      <c r="F48" s="55"/>
      <c r="G48" s="62">
        <v>0</v>
      </c>
    </row>
    <row r="49" spans="1:10" ht="15.75" x14ac:dyDescent="0.2">
      <c r="A49" s="54"/>
      <c r="B49" s="47"/>
      <c r="C49" s="47"/>
      <c r="D49" s="55"/>
      <c r="E49" s="55"/>
      <c r="F49" s="55"/>
      <c r="G49" s="55"/>
    </row>
    <row r="50" spans="1:10" ht="16.5" thickBot="1" x14ac:dyDescent="0.25">
      <c r="A50" s="54"/>
      <c r="B50" s="47"/>
      <c r="C50" s="47"/>
      <c r="D50" s="55"/>
      <c r="E50" s="174">
        <f>SUM(E45:E49)</f>
        <v>978.69148000000007</v>
      </c>
      <c r="F50" s="55"/>
      <c r="G50" s="62">
        <f>SUM(G45:G49)</f>
        <v>0</v>
      </c>
    </row>
    <row r="51" spans="1:10" ht="15.75" x14ac:dyDescent="0.2">
      <c r="A51" s="52" t="s">
        <v>146</v>
      </c>
      <c r="B51" s="47"/>
      <c r="C51" s="47"/>
      <c r="D51" s="58"/>
      <c r="E51" s="58"/>
      <c r="F51" s="58"/>
      <c r="G51" s="58"/>
    </row>
    <row r="52" spans="1:10" ht="15.75" x14ac:dyDescent="0.2">
      <c r="A52" s="54" t="s">
        <v>143</v>
      </c>
      <c r="B52" s="47"/>
      <c r="C52" s="47" t="str">
        <f>A518</f>
        <v>באור 6: -</v>
      </c>
      <c r="D52" s="55"/>
      <c r="E52" s="61">
        <v>0</v>
      </c>
      <c r="F52" s="55"/>
      <c r="G52" s="61">
        <v>0</v>
      </c>
    </row>
    <row r="53" spans="1:10" ht="15.75" x14ac:dyDescent="0.2">
      <c r="A53" s="54" t="s">
        <v>147</v>
      </c>
      <c r="B53" s="47"/>
      <c r="C53" s="47" t="str">
        <f>A531</f>
        <v xml:space="preserve">באור 8: - </v>
      </c>
      <c r="D53" s="55"/>
      <c r="E53" s="61">
        <v>0</v>
      </c>
      <c r="F53" s="55"/>
      <c r="G53" s="61">
        <v>0</v>
      </c>
    </row>
    <row r="54" spans="1:10" ht="16.5" thickBot="1" x14ac:dyDescent="0.25">
      <c r="A54" s="54" t="s">
        <v>136</v>
      </c>
      <c r="B54" s="47"/>
      <c r="C54" s="43" t="s">
        <v>420</v>
      </c>
      <c r="D54" s="55"/>
      <c r="E54" s="62">
        <v>0</v>
      </c>
      <c r="F54" s="55"/>
      <c r="G54" s="62">
        <v>0</v>
      </c>
    </row>
    <row r="55" spans="1:10" ht="15.75" x14ac:dyDescent="0.2">
      <c r="A55" s="54"/>
      <c r="B55" s="47"/>
      <c r="C55" s="47"/>
      <c r="D55" s="55"/>
      <c r="E55" s="55"/>
      <c r="F55" s="55"/>
      <c r="G55" s="55"/>
    </row>
    <row r="56" spans="1:10" ht="16.5" thickBot="1" x14ac:dyDescent="0.25">
      <c r="A56" s="54"/>
      <c r="B56" s="47"/>
      <c r="C56" s="47"/>
      <c r="D56" s="55"/>
      <c r="E56" s="62">
        <f>SUM(E52:E55)</f>
        <v>0</v>
      </c>
      <c r="F56" s="55"/>
      <c r="G56" s="62">
        <f>SUM(G52:G55)</f>
        <v>0</v>
      </c>
    </row>
    <row r="57" spans="1:10" ht="15.75" x14ac:dyDescent="0.2">
      <c r="A57" s="54"/>
      <c r="B57" s="47"/>
      <c r="C57" s="47"/>
      <c r="D57" s="58"/>
      <c r="E57" s="58"/>
      <c r="F57" s="58"/>
      <c r="G57" s="58"/>
    </row>
    <row r="58" spans="1:10" ht="16.5" thickBot="1" x14ac:dyDescent="0.25">
      <c r="A58" s="54" t="s">
        <v>148</v>
      </c>
      <c r="B58" s="47"/>
      <c r="C58" s="47"/>
      <c r="D58" s="55"/>
      <c r="E58" s="174">
        <f>E50+E56</f>
        <v>978.69148000000007</v>
      </c>
      <c r="F58" s="55"/>
      <c r="G58" s="174">
        <f>G50+G56</f>
        <v>0</v>
      </c>
    </row>
    <row r="59" spans="1:10" ht="15.75" x14ac:dyDescent="0.2">
      <c r="A59" s="50"/>
      <c r="B59" s="47"/>
      <c r="C59" s="47"/>
      <c r="D59" s="58"/>
      <c r="E59" s="58"/>
      <c r="F59" s="58"/>
      <c r="G59" s="58"/>
    </row>
    <row r="60" spans="1:10" ht="16.5" thickBot="1" x14ac:dyDescent="0.25">
      <c r="A60" s="54" t="s">
        <v>149</v>
      </c>
      <c r="B60" s="47"/>
      <c r="C60" s="47"/>
      <c r="D60" s="55"/>
      <c r="E60" s="62">
        <v>0</v>
      </c>
      <c r="F60" s="55"/>
      <c r="G60" s="62">
        <v>0</v>
      </c>
      <c r="J60" t="s">
        <v>521</v>
      </c>
    </row>
    <row r="61" spans="1:10" ht="15.75" x14ac:dyDescent="0.2">
      <c r="A61" s="54"/>
      <c r="B61" s="47"/>
      <c r="C61" s="47"/>
      <c r="D61" s="58"/>
      <c r="E61" s="58"/>
      <c r="F61" s="58"/>
      <c r="G61" s="58"/>
    </row>
    <row r="62" spans="1:10" ht="15.75" x14ac:dyDescent="0.2">
      <c r="A62" s="52" t="s">
        <v>150</v>
      </c>
      <c r="B62" s="47"/>
      <c r="C62" s="47"/>
      <c r="D62" s="58"/>
      <c r="E62" s="58"/>
      <c r="F62" s="58"/>
      <c r="G62" s="58"/>
    </row>
    <row r="63" spans="1:10" ht="15.75" x14ac:dyDescent="0.2">
      <c r="A63" s="54" t="s">
        <v>151</v>
      </c>
      <c r="B63" s="47"/>
      <c r="C63" s="92" t="s">
        <v>385</v>
      </c>
      <c r="D63" s="55"/>
      <c r="E63" s="61">
        <v>0</v>
      </c>
      <c r="F63" s="55"/>
      <c r="G63" s="61">
        <v>0</v>
      </c>
    </row>
    <row r="64" spans="1:10" ht="15.75" x14ac:dyDescent="0.2">
      <c r="A64" s="54" t="s">
        <v>152</v>
      </c>
      <c r="B64" s="47"/>
      <c r="C64" s="92" t="s">
        <v>385</v>
      </c>
      <c r="D64" s="55"/>
      <c r="E64" s="175" t="e">
        <f>-('2021'!G26+'2021'!#REF!+'2021'!G27)/1000</f>
        <v>#REF!</v>
      </c>
      <c r="F64" s="55"/>
      <c r="G64" s="61">
        <v>0</v>
      </c>
    </row>
    <row r="65" spans="1:7" ht="16.5" thickBot="1" x14ac:dyDescent="0.25">
      <c r="A65" s="54" t="s">
        <v>153</v>
      </c>
      <c r="B65" s="47"/>
      <c r="C65" s="92" t="s">
        <v>385</v>
      </c>
      <c r="D65" s="55"/>
      <c r="E65" s="174">
        <f>'2021'!G30/1000</f>
        <v>8843.6575720531291</v>
      </c>
      <c r="F65" s="55"/>
      <c r="G65" s="62">
        <v>0</v>
      </c>
    </row>
    <row r="66" spans="1:7" ht="15.75" x14ac:dyDescent="0.2">
      <c r="A66" s="54"/>
      <c r="B66" s="47"/>
      <c r="C66" s="47"/>
      <c r="D66" s="58"/>
      <c r="E66" s="58"/>
      <c r="F66" s="58"/>
      <c r="G66" s="58"/>
    </row>
    <row r="67" spans="1:7" ht="16.5" thickBot="1" x14ac:dyDescent="0.25">
      <c r="A67" s="54" t="s">
        <v>154</v>
      </c>
      <c r="B67" s="47"/>
      <c r="C67" s="47"/>
      <c r="D67" s="55"/>
      <c r="E67" s="174" t="e">
        <f>SUM(E63:E66)</f>
        <v>#REF!</v>
      </c>
      <c r="F67" s="55"/>
      <c r="G67" s="62">
        <f>SUM(G63:G66)</f>
        <v>0</v>
      </c>
    </row>
    <row r="68" spans="1:7" ht="15.75" x14ac:dyDescent="0.2">
      <c r="A68" s="54"/>
      <c r="B68" s="47"/>
      <c r="C68" s="47"/>
      <c r="D68" s="58"/>
      <c r="E68" s="58"/>
      <c r="F68" s="58"/>
      <c r="G68" s="58"/>
    </row>
    <row r="69" spans="1:7" ht="16.5" thickBot="1" x14ac:dyDescent="0.25">
      <c r="A69" s="54" t="s">
        <v>155</v>
      </c>
      <c r="B69" s="47"/>
      <c r="C69" s="47"/>
      <c r="D69" s="55"/>
      <c r="E69" s="179" t="e">
        <f>E67+E58</f>
        <v>#REF!</v>
      </c>
      <c r="F69" s="55"/>
      <c r="G69" s="179">
        <f>G67+G58</f>
        <v>0</v>
      </c>
    </row>
    <row r="70" spans="1:7" ht="16.5" thickTop="1" x14ac:dyDescent="0.2">
      <c r="A70" s="43"/>
    </row>
    <row r="71" spans="1:7" ht="15.75" x14ac:dyDescent="0.2">
      <c r="A71" s="43"/>
    </row>
    <row r="72" spans="1:7" ht="15.75" x14ac:dyDescent="0.2">
      <c r="A72" s="43"/>
    </row>
    <row r="73" spans="1:7" ht="31.5" x14ac:dyDescent="0.2">
      <c r="A73" s="43" t="s">
        <v>141</v>
      </c>
    </row>
    <row r="74" spans="1:7" ht="15.75" x14ac:dyDescent="0.2">
      <c r="A74" s="43"/>
    </row>
    <row r="75" spans="1:7" ht="16.5" thickBot="1" x14ac:dyDescent="0.25">
      <c r="A75" s="46"/>
      <c r="B75" s="47"/>
      <c r="C75" s="47"/>
      <c r="D75" s="47"/>
      <c r="E75" s="47"/>
      <c r="F75" s="46"/>
    </row>
    <row r="76" spans="1:7" ht="15.75" x14ac:dyDescent="0.2">
      <c r="A76" s="47" t="s">
        <v>156</v>
      </c>
      <c r="B76" s="47"/>
      <c r="C76" s="47"/>
      <c r="D76" s="47"/>
      <c r="E76" s="47"/>
      <c r="F76" s="47" t="s">
        <v>157</v>
      </c>
    </row>
    <row r="77" spans="1:7" ht="15" thickBot="1" x14ac:dyDescent="0.25">
      <c r="A77" s="48"/>
    </row>
    <row r="78" spans="1:7" ht="16.5" thickTop="1" x14ac:dyDescent="0.2">
      <c r="A78" s="43"/>
    </row>
    <row r="79" spans="1:7" ht="15.75" x14ac:dyDescent="0.2">
      <c r="A79" s="49" t="s">
        <v>124</v>
      </c>
    </row>
    <row r="80" spans="1:7" ht="15.75" x14ac:dyDescent="0.2">
      <c r="A80" s="64"/>
    </row>
    <row r="81" spans="1:5" ht="15.75" x14ac:dyDescent="0.2">
      <c r="A81" s="64"/>
    </row>
    <row r="82" spans="1:5" ht="15.75" customHeight="1" x14ac:dyDescent="0.2">
      <c r="A82" s="466"/>
      <c r="B82" s="467"/>
      <c r="C82" s="467" t="s">
        <v>158</v>
      </c>
      <c r="D82" s="467"/>
      <c r="E82" s="467"/>
    </row>
    <row r="83" spans="1:5" ht="16.5" thickBot="1" x14ac:dyDescent="0.25">
      <c r="A83" s="466"/>
      <c r="B83" s="467"/>
      <c r="C83" s="465" t="s">
        <v>159</v>
      </c>
      <c r="D83" s="465"/>
      <c r="E83" s="465"/>
    </row>
    <row r="84" spans="1:5" ht="16.5" thickBot="1" x14ac:dyDescent="0.25">
      <c r="A84" s="50"/>
      <c r="B84" s="47"/>
      <c r="C84" s="46">
        <f>E41</f>
        <v>2020</v>
      </c>
      <c r="D84" s="47"/>
      <c r="E84" s="46">
        <f>G41</f>
        <v>2019</v>
      </c>
    </row>
    <row r="85" spans="1:5" ht="16.5" thickBot="1" x14ac:dyDescent="0.25">
      <c r="A85" s="51"/>
      <c r="B85" s="47"/>
      <c r="C85" s="465" t="s">
        <v>129</v>
      </c>
      <c r="D85" s="465"/>
      <c r="E85" s="465"/>
    </row>
    <row r="86" spans="1:5" ht="15.75" x14ac:dyDescent="0.2">
      <c r="A86" s="60"/>
      <c r="B86" s="47"/>
      <c r="C86" s="47"/>
      <c r="D86" s="53"/>
      <c r="E86" s="53"/>
    </row>
    <row r="87" spans="1:5" ht="15.75" x14ac:dyDescent="0.2">
      <c r="A87" s="65" t="s">
        <v>160</v>
      </c>
      <c r="B87" s="47"/>
      <c r="C87" s="61">
        <v>0</v>
      </c>
      <c r="D87" s="47"/>
      <c r="E87" s="61">
        <v>0</v>
      </c>
    </row>
    <row r="88" spans="1:5" ht="16.5" thickBot="1" x14ac:dyDescent="0.25">
      <c r="A88" s="65" t="s">
        <v>161</v>
      </c>
      <c r="B88" s="47"/>
      <c r="C88" s="62">
        <v>0</v>
      </c>
      <c r="D88" s="47"/>
      <c r="E88" s="62">
        <v>0</v>
      </c>
    </row>
    <row r="89" spans="1:5" ht="15.75" x14ac:dyDescent="0.2">
      <c r="A89" s="65"/>
      <c r="B89" s="47"/>
      <c r="C89" s="55"/>
      <c r="D89" s="47"/>
      <c r="E89" s="55"/>
    </row>
    <row r="90" spans="1:5" ht="16.5" thickBot="1" x14ac:dyDescent="0.25">
      <c r="A90" s="65" t="s">
        <v>162</v>
      </c>
      <c r="B90" s="47"/>
      <c r="C90" s="62">
        <f>C87-C88</f>
        <v>0</v>
      </c>
      <c r="D90" s="47"/>
      <c r="E90" s="62">
        <f>E87-E88</f>
        <v>0</v>
      </c>
    </row>
    <row r="91" spans="1:5" ht="15.75" x14ac:dyDescent="0.2">
      <c r="A91" s="65"/>
      <c r="B91" s="47"/>
      <c r="C91" s="55"/>
      <c r="D91" s="47"/>
      <c r="E91" s="55"/>
    </row>
    <row r="92" spans="1:5" ht="15.75" x14ac:dyDescent="0.2">
      <c r="A92" s="65"/>
      <c r="B92" s="47"/>
      <c r="C92" s="58"/>
      <c r="D92" s="47"/>
      <c r="E92" s="58"/>
    </row>
    <row r="93" spans="1:5" ht="15.75" x14ac:dyDescent="0.2">
      <c r="A93" s="65" t="s">
        <v>163</v>
      </c>
      <c r="B93" s="43" t="s">
        <v>399</v>
      </c>
      <c r="C93" s="175">
        <f>'2021'!G37/1000</f>
        <v>5316.284803242379</v>
      </c>
      <c r="D93" s="47"/>
      <c r="E93" s="61">
        <v>0</v>
      </c>
    </row>
    <row r="94" spans="1:5" ht="15.75" x14ac:dyDescent="0.2">
      <c r="A94" s="65" t="s">
        <v>164</v>
      </c>
      <c r="B94" s="43" t="s">
        <v>399</v>
      </c>
      <c r="C94" s="175">
        <f>'2021'!G38/1000</f>
        <v>761.00213878393527</v>
      </c>
      <c r="D94" s="47"/>
      <c r="E94" s="61">
        <v>0</v>
      </c>
    </row>
    <row r="95" spans="1:5" ht="16.5" thickBot="1" x14ac:dyDescent="0.25">
      <c r="A95" s="65" t="s">
        <v>165</v>
      </c>
      <c r="B95" s="43" t="s">
        <v>399</v>
      </c>
      <c r="C95" s="174">
        <f>'2021'!G39/1000</f>
        <v>1479.4539089410935</v>
      </c>
      <c r="D95" s="47"/>
      <c r="E95" s="62">
        <v>0</v>
      </c>
    </row>
    <row r="96" spans="1:5" ht="15.75" x14ac:dyDescent="0.2">
      <c r="A96" s="65"/>
      <c r="B96" s="47"/>
      <c r="C96" s="55"/>
      <c r="D96" s="47"/>
      <c r="E96" s="55"/>
    </row>
    <row r="97" spans="1:5" ht="16.5" thickBot="1" x14ac:dyDescent="0.25">
      <c r="A97" s="65" t="s">
        <v>166</v>
      </c>
      <c r="B97" s="47"/>
      <c r="C97" s="174">
        <f>SUM(C93:C96)</f>
        <v>7556.7408509674078</v>
      </c>
      <c r="D97" s="47"/>
      <c r="E97" s="62">
        <f>SUM(E93:E96)</f>
        <v>0</v>
      </c>
    </row>
    <row r="98" spans="1:5" ht="15.75" x14ac:dyDescent="0.2">
      <c r="A98" s="65"/>
      <c r="B98" s="47"/>
      <c r="C98" s="55"/>
      <c r="D98" s="47"/>
      <c r="E98" s="55"/>
    </row>
    <row r="99" spans="1:5" ht="15.75" x14ac:dyDescent="0.2">
      <c r="A99" s="65" t="s">
        <v>167</v>
      </c>
      <c r="B99" s="47"/>
      <c r="C99" s="175">
        <f>C90-C97</f>
        <v>-7556.7408509674078</v>
      </c>
      <c r="D99" s="47"/>
      <c r="E99" s="61">
        <f>E90-E97</f>
        <v>0</v>
      </c>
    </row>
    <row r="100" spans="1:5" ht="15.75" x14ac:dyDescent="0.2">
      <c r="A100" s="65"/>
      <c r="B100" s="47"/>
      <c r="C100" s="58"/>
      <c r="D100" s="47"/>
      <c r="E100" s="58"/>
    </row>
    <row r="101" spans="1:5" ht="15.75" x14ac:dyDescent="0.2">
      <c r="A101" s="65" t="s">
        <v>168</v>
      </c>
      <c r="B101" s="47"/>
      <c r="C101" s="175">
        <f>-'2021'!G41/1000</f>
        <v>-7.6883900000000365</v>
      </c>
      <c r="D101" s="47"/>
      <c r="E101" s="61">
        <v>0</v>
      </c>
    </row>
    <row r="102" spans="1:5" ht="15.75" x14ac:dyDescent="0.2">
      <c r="A102" s="65"/>
      <c r="B102" s="47"/>
      <c r="C102" s="58"/>
      <c r="D102" s="47"/>
      <c r="E102" s="58"/>
    </row>
    <row r="103" spans="1:5" ht="15.75" x14ac:dyDescent="0.2">
      <c r="A103" s="65" t="s">
        <v>169</v>
      </c>
      <c r="B103" s="47"/>
      <c r="C103" s="175">
        <f>C99+C101</f>
        <v>-7564.4292409674081</v>
      </c>
      <c r="D103" s="47"/>
      <c r="E103" s="61">
        <f>E99-E101</f>
        <v>0</v>
      </c>
    </row>
    <row r="104" spans="1:5" ht="16.5" thickBot="1" x14ac:dyDescent="0.25">
      <c r="A104" s="65" t="s">
        <v>170</v>
      </c>
      <c r="B104" s="47"/>
      <c r="C104" s="62">
        <v>0</v>
      </c>
      <c r="D104" s="47"/>
      <c r="E104" s="62">
        <v>0</v>
      </c>
    </row>
    <row r="105" spans="1:5" ht="15.75" x14ac:dyDescent="0.2">
      <c r="A105" s="54"/>
      <c r="B105" s="47"/>
      <c r="C105" s="61"/>
      <c r="D105" s="47"/>
      <c r="E105" s="61"/>
    </row>
    <row r="106" spans="1:5" ht="16.5" thickBot="1" x14ac:dyDescent="0.25">
      <c r="A106" s="54" t="s">
        <v>171</v>
      </c>
      <c r="B106" s="47"/>
      <c r="C106" s="179">
        <f>C103-C104</f>
        <v>-7564.4292409674081</v>
      </c>
      <c r="D106" s="47"/>
      <c r="E106" s="63">
        <f>E103-E104</f>
        <v>0</v>
      </c>
    </row>
    <row r="107" spans="1:5" ht="16.5" thickTop="1" x14ac:dyDescent="0.2">
      <c r="A107" s="64"/>
    </row>
    <row r="108" spans="1:5" ht="15.75" x14ac:dyDescent="0.2">
      <c r="A108" s="64"/>
    </row>
    <row r="109" spans="1:5" ht="15.75" x14ac:dyDescent="0.2">
      <c r="A109" s="64"/>
    </row>
    <row r="110" spans="1:5" ht="15.75" x14ac:dyDescent="0.2">
      <c r="A110" s="45"/>
      <c r="B110" s="45"/>
      <c r="C110" s="45"/>
      <c r="D110" s="45"/>
    </row>
    <row r="111" spans="1:5" ht="15.75" x14ac:dyDescent="0.2">
      <c r="A111" s="66"/>
    </row>
    <row r="112" spans="1:5" ht="15.75" x14ac:dyDescent="0.2">
      <c r="A112" s="66"/>
    </row>
    <row r="113" spans="1:11" ht="31.5" x14ac:dyDescent="0.2">
      <c r="A113" s="64" t="s">
        <v>172</v>
      </c>
    </row>
    <row r="114" spans="1:11" ht="15" thickBot="1" x14ac:dyDescent="0.25">
      <c r="A114" s="48"/>
    </row>
    <row r="115" spans="1:11" ht="16.5" thickTop="1" x14ac:dyDescent="0.2">
      <c r="A115" s="49" t="s">
        <v>173</v>
      </c>
    </row>
    <row r="116" spans="1:11" ht="15.75" x14ac:dyDescent="0.2">
      <c r="A116" s="43"/>
    </row>
    <row r="117" spans="1:11" ht="15.75" x14ac:dyDescent="0.2">
      <c r="A117" s="43"/>
    </row>
    <row r="118" spans="1:11" ht="15.75" x14ac:dyDescent="0.2">
      <c r="A118" s="43"/>
    </row>
    <row r="119" spans="1:11" ht="15" x14ac:dyDescent="0.2">
      <c r="A119" s="468"/>
      <c r="B119" s="469"/>
      <c r="C119" s="469" t="s">
        <v>174</v>
      </c>
      <c r="D119" s="469"/>
      <c r="E119" s="67" t="s">
        <v>175</v>
      </c>
      <c r="F119" s="469"/>
      <c r="G119" s="469" t="s">
        <v>152</v>
      </c>
      <c r="H119" s="469"/>
      <c r="I119" s="67" t="s">
        <v>177</v>
      </c>
      <c r="J119" s="469"/>
      <c r="K119" s="469" t="s">
        <v>179</v>
      </c>
    </row>
    <row r="120" spans="1:11" ht="30.75" thickBot="1" x14ac:dyDescent="0.25">
      <c r="A120" s="468"/>
      <c r="B120" s="469"/>
      <c r="C120" s="470"/>
      <c r="D120" s="469"/>
      <c r="E120" s="68" t="s">
        <v>176</v>
      </c>
      <c r="F120" s="469"/>
      <c r="G120" s="470"/>
      <c r="H120" s="469"/>
      <c r="I120" s="68" t="s">
        <v>178</v>
      </c>
      <c r="J120" s="469"/>
      <c r="K120" s="470"/>
    </row>
    <row r="121" spans="1:11" ht="15.75" thickBot="1" x14ac:dyDescent="0.25">
      <c r="A121" s="69"/>
      <c r="B121" s="61"/>
      <c r="C121" s="470" t="s">
        <v>129</v>
      </c>
      <c r="D121" s="470"/>
      <c r="E121" s="470"/>
      <c r="F121" s="470"/>
      <c r="G121" s="470"/>
      <c r="H121" s="470"/>
      <c r="I121" s="470"/>
      <c r="J121" s="470"/>
      <c r="K121" s="470"/>
    </row>
    <row r="122" spans="1:11" ht="15" x14ac:dyDescent="0.2">
      <c r="A122" s="69"/>
      <c r="B122" s="61"/>
      <c r="C122" s="61"/>
      <c r="D122" s="70"/>
      <c r="E122" s="70"/>
      <c r="F122" s="70"/>
      <c r="G122" s="70"/>
      <c r="H122" s="70"/>
      <c r="I122" s="70"/>
      <c r="J122" s="70"/>
      <c r="K122" s="70"/>
    </row>
    <row r="123" spans="1:11" ht="15" x14ac:dyDescent="0.2">
      <c r="A123" s="71" t="s">
        <v>623</v>
      </c>
      <c r="B123" s="61"/>
      <c r="C123" s="72">
        <v>0</v>
      </c>
      <c r="D123" s="61"/>
      <c r="E123" s="72">
        <v>0</v>
      </c>
      <c r="F123" s="61"/>
      <c r="G123" s="72">
        <v>0</v>
      </c>
      <c r="H123" s="61"/>
      <c r="I123" s="72">
        <v>0</v>
      </c>
      <c r="J123" s="61"/>
      <c r="K123" s="72">
        <f t="shared" ref="K123:K128" si="0">SUM(C123:I123)</f>
        <v>0</v>
      </c>
    </row>
    <row r="124" spans="1:11" ht="15" x14ac:dyDescent="0.2">
      <c r="A124" s="69" t="s">
        <v>180</v>
      </c>
      <c r="B124" s="67"/>
      <c r="C124" s="67" t="s">
        <v>181</v>
      </c>
      <c r="D124" s="67"/>
      <c r="E124" s="67" t="s">
        <v>181</v>
      </c>
      <c r="F124" s="67"/>
      <c r="G124" s="67" t="s">
        <v>181</v>
      </c>
      <c r="H124" s="61"/>
      <c r="I124" s="72">
        <v>0</v>
      </c>
      <c r="J124" s="61"/>
      <c r="K124" s="72">
        <f t="shared" si="0"/>
        <v>0</v>
      </c>
    </row>
    <row r="125" spans="1:11" ht="15" x14ac:dyDescent="0.2">
      <c r="A125" s="69" t="s">
        <v>182</v>
      </c>
      <c r="B125" s="61"/>
      <c r="C125" s="72">
        <v>0</v>
      </c>
      <c r="D125" s="67"/>
      <c r="E125" s="67" t="s">
        <v>181</v>
      </c>
      <c r="F125" s="61"/>
      <c r="G125" s="72">
        <v>0</v>
      </c>
      <c r="H125" s="67"/>
      <c r="I125" s="67" t="s">
        <v>181</v>
      </c>
      <c r="J125" s="61"/>
      <c r="K125" s="72">
        <f t="shared" si="0"/>
        <v>0</v>
      </c>
    </row>
    <row r="126" spans="1:11" ht="15" x14ac:dyDescent="0.2">
      <c r="A126" s="69" t="s">
        <v>183</v>
      </c>
      <c r="B126" s="67"/>
      <c r="C126" s="67" t="s">
        <v>181</v>
      </c>
      <c r="D126" s="61"/>
      <c r="E126" s="72">
        <v>0</v>
      </c>
      <c r="F126" s="61"/>
      <c r="G126" s="72">
        <v>0</v>
      </c>
      <c r="H126" s="67"/>
      <c r="I126" s="67" t="s">
        <v>181</v>
      </c>
      <c r="J126" s="61"/>
      <c r="K126" s="72">
        <f t="shared" si="0"/>
        <v>0</v>
      </c>
    </row>
    <row r="127" spans="1:11" ht="15" x14ac:dyDescent="0.2">
      <c r="A127" s="69" t="s">
        <v>184</v>
      </c>
      <c r="B127" s="67"/>
      <c r="C127" s="67" t="s">
        <v>181</v>
      </c>
      <c r="D127" s="67"/>
      <c r="E127" s="67" t="s">
        <v>181</v>
      </c>
      <c r="F127" s="61"/>
      <c r="G127" s="72">
        <v>0</v>
      </c>
      <c r="H127" s="67"/>
      <c r="I127" s="67" t="s">
        <v>181</v>
      </c>
      <c r="J127" s="61"/>
      <c r="K127" s="72">
        <f t="shared" si="0"/>
        <v>0</v>
      </c>
    </row>
    <row r="128" spans="1:11" ht="15.75" thickBot="1" x14ac:dyDescent="0.25">
      <c r="A128" s="69" t="s">
        <v>185</v>
      </c>
      <c r="B128" s="67"/>
      <c r="C128" s="68" t="s">
        <v>181</v>
      </c>
      <c r="D128" s="67"/>
      <c r="E128" s="68" t="s">
        <v>181</v>
      </c>
      <c r="F128" s="61"/>
      <c r="G128" s="73">
        <v>0</v>
      </c>
      <c r="H128" s="67"/>
      <c r="I128" s="68" t="s">
        <v>181</v>
      </c>
      <c r="J128" s="61"/>
      <c r="K128" s="73">
        <f t="shared" si="0"/>
        <v>0</v>
      </c>
    </row>
    <row r="129" spans="1:11" ht="15" x14ac:dyDescent="0.2">
      <c r="A129" s="69"/>
      <c r="B129" s="61"/>
      <c r="C129" s="61"/>
      <c r="D129" s="61"/>
      <c r="E129" s="61"/>
      <c r="F129" s="61"/>
      <c r="G129" s="61"/>
      <c r="H129" s="61"/>
      <c r="I129" s="61"/>
      <c r="J129" s="61"/>
      <c r="K129" s="61"/>
    </row>
    <row r="130" spans="1:11" ht="15" x14ac:dyDescent="0.2">
      <c r="A130" s="71" t="s">
        <v>186</v>
      </c>
      <c r="B130" s="61"/>
      <c r="C130" s="72">
        <f>SUM(C123:C128)</f>
        <v>0</v>
      </c>
      <c r="D130" s="61"/>
      <c r="E130" s="72">
        <f>SUM(E123:E128)</f>
        <v>0</v>
      </c>
      <c r="F130" s="61"/>
      <c r="G130" s="72">
        <f>SUM(G123:G128)</f>
        <v>0</v>
      </c>
      <c r="H130" s="61"/>
      <c r="I130" s="72">
        <f>SUM(I123:I128)</f>
        <v>0</v>
      </c>
      <c r="J130" s="61"/>
      <c r="K130" s="72">
        <f>SUM(K123:K128)</f>
        <v>0</v>
      </c>
    </row>
    <row r="131" spans="1:11" ht="15" x14ac:dyDescent="0.2">
      <c r="A131" s="69"/>
      <c r="B131" s="67"/>
      <c r="C131" s="67"/>
      <c r="D131" s="67"/>
      <c r="E131" s="67"/>
      <c r="F131" s="67"/>
      <c r="G131" s="67"/>
      <c r="H131" s="61"/>
      <c r="I131" s="61"/>
      <c r="J131" s="61"/>
      <c r="K131" s="61"/>
    </row>
    <row r="132" spans="1:11" ht="15" x14ac:dyDescent="0.2">
      <c r="A132" s="69" t="s">
        <v>180</v>
      </c>
      <c r="B132" s="67"/>
      <c r="C132" s="67" t="s">
        <v>181</v>
      </c>
      <c r="D132" s="67"/>
      <c r="E132" s="67" t="s">
        <v>181</v>
      </c>
      <c r="F132" s="67"/>
      <c r="G132" s="67" t="s">
        <v>181</v>
      </c>
      <c r="H132" s="61"/>
      <c r="I132" s="180">
        <f>-('2021'!G30)/1000</f>
        <v>-8843.6575720531291</v>
      </c>
      <c r="J132" s="61"/>
      <c r="K132" s="180">
        <f>SUM(C132:I132)</f>
        <v>-8843.6575720531291</v>
      </c>
    </row>
    <row r="133" spans="1:11" ht="15" x14ac:dyDescent="0.2">
      <c r="A133" s="69" t="s">
        <v>182</v>
      </c>
      <c r="B133" s="61"/>
      <c r="C133" s="72">
        <v>0</v>
      </c>
      <c r="D133" s="67"/>
      <c r="E133" s="67" t="s">
        <v>181</v>
      </c>
      <c r="F133" s="61"/>
      <c r="G133" s="180" t="e">
        <f>-('2021'!#REF!+'2021'!G26)/1000</f>
        <v>#REF!</v>
      </c>
      <c r="H133" s="67"/>
      <c r="I133" s="67" t="s">
        <v>181</v>
      </c>
      <c r="J133" s="61"/>
      <c r="K133" s="211">
        <v>16181</v>
      </c>
    </row>
    <row r="134" spans="1:11" ht="15.75" thickBot="1" x14ac:dyDescent="0.25">
      <c r="A134" s="69" t="s">
        <v>185</v>
      </c>
      <c r="B134" s="67"/>
      <c r="C134" s="68" t="s">
        <v>181</v>
      </c>
      <c r="D134" s="67"/>
      <c r="E134" s="68" t="s">
        <v>181</v>
      </c>
      <c r="F134" s="61"/>
      <c r="G134" s="210">
        <f>-'2021'!G27/1000</f>
        <v>0</v>
      </c>
      <c r="H134" s="67"/>
      <c r="I134" s="68" t="s">
        <v>181</v>
      </c>
      <c r="J134" s="61"/>
      <c r="K134" s="73">
        <v>239</v>
      </c>
    </row>
    <row r="135" spans="1:11" ht="15" x14ac:dyDescent="0.2">
      <c r="A135" s="69"/>
      <c r="B135" s="67"/>
      <c r="C135" s="67"/>
      <c r="D135" s="67"/>
      <c r="E135" s="67"/>
      <c r="F135" s="67"/>
      <c r="G135" s="67"/>
      <c r="H135" s="67"/>
      <c r="I135" s="67"/>
      <c r="J135" s="67"/>
      <c r="K135" s="67"/>
    </row>
    <row r="136" spans="1:11" ht="15.75" thickBot="1" x14ac:dyDescent="0.25">
      <c r="A136" s="71" t="s">
        <v>624</v>
      </c>
      <c r="B136" s="61"/>
      <c r="C136" s="74">
        <f>SUM(C130:C134)</f>
        <v>0</v>
      </c>
      <c r="D136" s="61"/>
      <c r="E136" s="74">
        <f>SUM(E130:E134)</f>
        <v>0</v>
      </c>
      <c r="F136" s="61"/>
      <c r="G136" s="181" t="e">
        <f>SUM(G130:G134)</f>
        <v>#REF!</v>
      </c>
      <c r="H136" s="61"/>
      <c r="I136" s="181">
        <f>SUM(I130:I134)</f>
        <v>-8843.6575720531291</v>
      </c>
      <c r="J136" s="61"/>
      <c r="K136" s="181">
        <f>SUM(K130:K134)</f>
        <v>7576.3424279468709</v>
      </c>
    </row>
    <row r="137" spans="1:11" ht="16.5" thickTop="1" x14ac:dyDescent="0.2">
      <c r="A137" s="43"/>
    </row>
    <row r="138" spans="1:11" ht="15.75" x14ac:dyDescent="0.2">
      <c r="A138" s="43"/>
    </row>
    <row r="139" spans="1:11" ht="31.5" x14ac:dyDescent="0.2">
      <c r="A139" s="43" t="s">
        <v>187</v>
      </c>
    </row>
    <row r="140" spans="1:11" ht="15" thickBot="1" x14ac:dyDescent="0.25">
      <c r="A140" s="48"/>
    </row>
    <row r="141" spans="1:11" ht="16.5" thickTop="1" x14ac:dyDescent="0.2">
      <c r="A141" s="49" t="s">
        <v>125</v>
      </c>
    </row>
    <row r="142" spans="1:11" ht="15.75" x14ac:dyDescent="0.2">
      <c r="A142" s="43"/>
    </row>
    <row r="143" spans="1:11" ht="15.75" customHeight="1" x14ac:dyDescent="0.2">
      <c r="A143" s="75"/>
      <c r="B143" s="45"/>
      <c r="C143" s="467" t="s">
        <v>158</v>
      </c>
      <c r="D143" s="467"/>
      <c r="E143" s="467"/>
    </row>
    <row r="144" spans="1:11" ht="16.5" thickBot="1" x14ac:dyDescent="0.25">
      <c r="A144" s="75"/>
      <c r="B144" s="45"/>
      <c r="C144" s="465" t="s">
        <v>188</v>
      </c>
      <c r="D144" s="465"/>
      <c r="E144" s="465"/>
    </row>
    <row r="145" spans="1:5" ht="16.5" thickBot="1" x14ac:dyDescent="0.25">
      <c r="A145" s="75"/>
      <c r="B145" s="45"/>
      <c r="C145" s="46">
        <f>C84</f>
        <v>2020</v>
      </c>
      <c r="D145" s="45"/>
      <c r="E145" s="76">
        <f>E84</f>
        <v>2019</v>
      </c>
    </row>
    <row r="146" spans="1:5" ht="16.5" thickBot="1" x14ac:dyDescent="0.25">
      <c r="A146" s="75"/>
      <c r="B146" s="45"/>
      <c r="C146" s="465" t="s">
        <v>129</v>
      </c>
      <c r="D146" s="465"/>
      <c r="E146" s="465"/>
    </row>
    <row r="147" spans="1:5" ht="15.75" x14ac:dyDescent="0.2">
      <c r="A147" s="77" t="s">
        <v>189</v>
      </c>
      <c r="B147" s="54"/>
      <c r="C147" s="75"/>
      <c r="D147" s="78"/>
      <c r="E147" s="78"/>
    </row>
    <row r="148" spans="1:5" ht="15.75" x14ac:dyDescent="0.2">
      <c r="A148" s="65" t="s">
        <v>180</v>
      </c>
      <c r="B148" s="54"/>
      <c r="C148" s="182">
        <f>-CF!V20/1000</f>
        <v>-13345.315112053129</v>
      </c>
      <c r="D148" s="75"/>
      <c r="E148" s="79">
        <v>0</v>
      </c>
    </row>
    <row r="149" spans="1:5" ht="15.75" x14ac:dyDescent="0.2">
      <c r="A149" s="65" t="s">
        <v>190</v>
      </c>
      <c r="B149" s="54"/>
      <c r="C149" s="182">
        <f>-CF!P10/1000</f>
        <v>0</v>
      </c>
      <c r="D149" s="75"/>
      <c r="E149" s="79">
        <v>0</v>
      </c>
    </row>
    <row r="150" spans="1:5" ht="15.75" x14ac:dyDescent="0.2">
      <c r="A150" s="223" t="s">
        <v>191</v>
      </c>
      <c r="B150" s="54"/>
      <c r="C150" s="79"/>
      <c r="D150" s="75"/>
      <c r="E150" s="79">
        <v>0</v>
      </c>
    </row>
    <row r="151" spans="1:5" ht="15.75" x14ac:dyDescent="0.2">
      <c r="A151" s="65" t="s">
        <v>192</v>
      </c>
      <c r="B151" s="54"/>
      <c r="C151" s="79">
        <v>0</v>
      </c>
      <c r="D151" s="75"/>
      <c r="E151" s="79">
        <v>0</v>
      </c>
    </row>
    <row r="152" spans="1:5" ht="15.75" x14ac:dyDescent="0.2">
      <c r="A152" s="65" t="s">
        <v>532</v>
      </c>
      <c r="B152" s="54"/>
      <c r="C152" s="182" t="e">
        <f>-CF!P19/1000</f>
        <v>#REF!</v>
      </c>
      <c r="D152" s="75"/>
      <c r="E152" s="79">
        <v>0</v>
      </c>
    </row>
    <row r="153" spans="1:5" ht="15.75" x14ac:dyDescent="0.2">
      <c r="A153" s="65" t="s">
        <v>193</v>
      </c>
      <c r="B153" s="54"/>
      <c r="C153" s="79">
        <v>0</v>
      </c>
      <c r="D153" s="75"/>
      <c r="E153" s="79">
        <v>0</v>
      </c>
    </row>
    <row r="154" spans="1:5" ht="15.75" x14ac:dyDescent="0.2">
      <c r="A154" s="65" t="s">
        <v>194</v>
      </c>
      <c r="B154" s="54"/>
      <c r="C154" s="182">
        <f>-CF!V9/1000-CF!P7/1000</f>
        <v>-157.71149999999997</v>
      </c>
      <c r="D154" s="75"/>
      <c r="E154" s="79">
        <v>0</v>
      </c>
    </row>
    <row r="155" spans="1:5" ht="15.75" x14ac:dyDescent="0.2">
      <c r="A155" s="65" t="s">
        <v>195</v>
      </c>
      <c r="B155" s="54"/>
      <c r="C155" s="79">
        <v>0</v>
      </c>
      <c r="D155" s="75"/>
      <c r="E155" s="79">
        <v>0</v>
      </c>
    </row>
    <row r="156" spans="1:5" ht="15.75" x14ac:dyDescent="0.2">
      <c r="A156" s="65" t="s">
        <v>196</v>
      </c>
      <c r="B156" s="54"/>
      <c r="C156" s="182">
        <f>-CF!P13/1000-CF!P14/1000</f>
        <v>225.82242000000008</v>
      </c>
      <c r="D156" s="75"/>
      <c r="E156" s="79">
        <v>0</v>
      </c>
    </row>
    <row r="157" spans="1:5" ht="16.5" thickBot="1" x14ac:dyDescent="0.25">
      <c r="A157" s="65" t="s">
        <v>197</v>
      </c>
      <c r="B157" s="54"/>
      <c r="C157" s="183">
        <f>-CF!P15/1000</f>
        <v>752.8690600000001</v>
      </c>
      <c r="D157" s="75"/>
      <c r="E157" s="80">
        <v>0</v>
      </c>
    </row>
    <row r="158" spans="1:5" ht="15.75" x14ac:dyDescent="0.2">
      <c r="A158" s="65"/>
      <c r="B158" s="54"/>
      <c r="C158" s="81"/>
      <c r="D158" s="75"/>
      <c r="E158" s="81"/>
    </row>
    <row r="159" spans="1:5" ht="16.5" thickBot="1" x14ac:dyDescent="0.25">
      <c r="A159" s="65" t="s">
        <v>198</v>
      </c>
      <c r="B159" s="54"/>
      <c r="C159" s="183" t="e">
        <f>SUM(C148:C158)</f>
        <v>#REF!</v>
      </c>
      <c r="D159" s="75"/>
      <c r="E159" s="80">
        <f>SUM(E148:E158)</f>
        <v>0</v>
      </c>
    </row>
    <row r="160" spans="1:5" ht="15.75" x14ac:dyDescent="0.2">
      <c r="A160" s="65"/>
      <c r="B160" s="54"/>
      <c r="C160" s="75"/>
      <c r="D160" s="75"/>
      <c r="E160" s="75"/>
    </row>
    <row r="161" spans="1:8" ht="15.75" x14ac:dyDescent="0.2">
      <c r="A161" s="77" t="s">
        <v>199</v>
      </c>
      <c r="B161" s="54"/>
      <c r="C161" s="75"/>
      <c r="D161" s="75"/>
      <c r="E161" s="75"/>
      <c r="H161" s="213"/>
    </row>
    <row r="162" spans="1:8" ht="15.75" x14ac:dyDescent="0.2">
      <c r="A162" s="65" t="s">
        <v>200</v>
      </c>
      <c r="B162" s="54"/>
      <c r="C162" s="182">
        <f>-CF!R10/1000</f>
        <v>0</v>
      </c>
      <c r="D162" s="75"/>
      <c r="E162" s="79">
        <v>0</v>
      </c>
    </row>
    <row r="163" spans="1:8" ht="16.5" thickBot="1" x14ac:dyDescent="0.25">
      <c r="A163" s="65" t="s">
        <v>201</v>
      </c>
      <c r="B163" s="54"/>
      <c r="C163" s="79">
        <v>0</v>
      </c>
      <c r="D163" s="75"/>
      <c r="E163" s="79">
        <v>0</v>
      </c>
    </row>
    <row r="164" spans="1:8" ht="15.75" x14ac:dyDescent="0.2">
      <c r="A164" s="65"/>
      <c r="B164" s="54"/>
      <c r="C164" s="82"/>
      <c r="D164" s="75"/>
      <c r="E164" s="82"/>
    </row>
    <row r="165" spans="1:8" ht="16.5" thickBot="1" x14ac:dyDescent="0.25">
      <c r="A165" s="65" t="s">
        <v>202</v>
      </c>
      <c r="B165" s="54"/>
      <c r="C165" s="183">
        <f>SUM(C162:C164)</f>
        <v>0</v>
      </c>
      <c r="D165" s="75"/>
      <c r="E165" s="80">
        <f>SUM(E162:E164)</f>
        <v>0</v>
      </c>
    </row>
    <row r="166" spans="1:8" ht="15.75" x14ac:dyDescent="0.2">
      <c r="A166" s="65"/>
      <c r="B166" s="54"/>
      <c r="C166" s="47"/>
      <c r="D166" s="47"/>
      <c r="E166" s="47"/>
    </row>
    <row r="167" spans="1:8" ht="15.75" x14ac:dyDescent="0.2">
      <c r="A167" s="77" t="s">
        <v>203</v>
      </c>
      <c r="B167" s="54"/>
      <c r="C167" s="47"/>
      <c r="D167" s="47"/>
      <c r="E167" s="47"/>
    </row>
    <row r="168" spans="1:8" ht="15.75" x14ac:dyDescent="0.2">
      <c r="A168" s="65" t="s">
        <v>204</v>
      </c>
      <c r="B168" s="54"/>
      <c r="C168" s="182">
        <f>-CF!S22/1000</f>
        <v>0</v>
      </c>
      <c r="D168" s="75"/>
      <c r="E168" s="79">
        <v>0</v>
      </c>
    </row>
    <row r="169" spans="1:8" ht="16.5" thickBot="1" x14ac:dyDescent="0.25">
      <c r="A169" s="65" t="s">
        <v>205</v>
      </c>
      <c r="B169" s="54"/>
      <c r="C169" s="80">
        <v>16181</v>
      </c>
      <c r="D169" s="75"/>
      <c r="E169" s="80">
        <f>SUM(E168)</f>
        <v>0</v>
      </c>
    </row>
    <row r="170" spans="1:8" ht="15.75" x14ac:dyDescent="0.2">
      <c r="A170" s="65"/>
      <c r="B170" s="54"/>
      <c r="C170" s="75"/>
      <c r="D170" s="75"/>
      <c r="E170" s="75"/>
    </row>
    <row r="171" spans="1:8" ht="16.5" thickBot="1" x14ac:dyDescent="0.25">
      <c r="A171" s="77" t="s">
        <v>206</v>
      </c>
      <c r="B171" s="54"/>
      <c r="C171" s="83">
        <v>0</v>
      </c>
      <c r="D171" s="75"/>
      <c r="E171" s="83">
        <v>0</v>
      </c>
    </row>
    <row r="172" spans="1:8" ht="16.5" thickTop="1" x14ac:dyDescent="0.2">
      <c r="A172" s="65"/>
      <c r="B172" s="54"/>
      <c r="C172" s="75"/>
      <c r="D172" s="75"/>
      <c r="E172" s="75"/>
    </row>
    <row r="173" spans="1:8" ht="16.5" thickBot="1" x14ac:dyDescent="0.25">
      <c r="A173" s="77" t="s">
        <v>207</v>
      </c>
      <c r="B173" s="54"/>
      <c r="C173" s="191">
        <f>CF!V4/1000</f>
        <v>2968.5042899999999</v>
      </c>
      <c r="D173" s="75"/>
      <c r="E173" s="83">
        <v>0</v>
      </c>
    </row>
    <row r="174" spans="1:8" ht="16.5" thickTop="1" x14ac:dyDescent="0.2">
      <c r="A174" s="43"/>
    </row>
    <row r="175" spans="1:8" ht="31.5" x14ac:dyDescent="0.2">
      <c r="A175" s="43" t="s">
        <v>187</v>
      </c>
    </row>
    <row r="176" spans="1:8" ht="15" thickBot="1" x14ac:dyDescent="0.25">
      <c r="A176" s="48"/>
    </row>
    <row r="177" spans="1:5" ht="16.5" thickTop="1" x14ac:dyDescent="0.2">
      <c r="A177" s="49" t="s">
        <v>125</v>
      </c>
    </row>
    <row r="178" spans="1:5" ht="15.75" x14ac:dyDescent="0.2">
      <c r="A178" s="43"/>
    </row>
    <row r="179" spans="1:5" ht="15.75" x14ac:dyDescent="0.2">
      <c r="A179" s="43"/>
    </row>
    <row r="180" spans="1:5" ht="15.75" customHeight="1" x14ac:dyDescent="0.2">
      <c r="A180" s="75"/>
      <c r="B180" s="45"/>
      <c r="C180" s="467" t="s">
        <v>158</v>
      </c>
      <c r="D180" s="467"/>
      <c r="E180" s="467"/>
    </row>
    <row r="181" spans="1:5" ht="16.5" thickBot="1" x14ac:dyDescent="0.25">
      <c r="A181" s="75"/>
      <c r="B181" s="45"/>
      <c r="C181" s="465" t="s">
        <v>188</v>
      </c>
      <c r="D181" s="465"/>
      <c r="E181" s="465"/>
    </row>
    <row r="182" spans="1:5" ht="16.5" thickBot="1" x14ac:dyDescent="0.25">
      <c r="A182" s="75"/>
      <c r="B182" s="45"/>
      <c r="C182" s="46">
        <f>C145</f>
        <v>2020</v>
      </c>
      <c r="D182" s="45"/>
      <c r="E182" s="76">
        <f>E145</f>
        <v>2019</v>
      </c>
    </row>
    <row r="183" spans="1:5" ht="16.5" thickBot="1" x14ac:dyDescent="0.25">
      <c r="A183" s="75"/>
      <c r="B183" s="45"/>
      <c r="C183" s="465" t="s">
        <v>129</v>
      </c>
      <c r="D183" s="465"/>
      <c r="E183" s="465"/>
    </row>
    <row r="184" spans="1:5" ht="15.75" x14ac:dyDescent="0.2">
      <c r="A184" s="65"/>
      <c r="B184" s="54"/>
      <c r="C184" s="75"/>
      <c r="D184" s="78"/>
      <c r="E184" s="78"/>
    </row>
    <row r="185" spans="1:5" ht="15.75" x14ac:dyDescent="0.2">
      <c r="A185" s="77" t="s">
        <v>208</v>
      </c>
      <c r="B185" s="47"/>
      <c r="C185" s="47"/>
      <c r="D185" s="47"/>
      <c r="E185" s="47"/>
    </row>
    <row r="186" spans="1:5" ht="15.75" x14ac:dyDescent="0.2">
      <c r="A186" s="65"/>
      <c r="B186" s="47"/>
      <c r="C186" s="47"/>
      <c r="D186" s="47"/>
      <c r="E186" s="47"/>
    </row>
    <row r="187" spans="1:5" ht="15.75" x14ac:dyDescent="0.2">
      <c r="A187" s="65" t="s">
        <v>209</v>
      </c>
      <c r="B187" s="47"/>
      <c r="C187" s="61">
        <v>0</v>
      </c>
      <c r="D187" s="47"/>
      <c r="E187" s="61">
        <v>0</v>
      </c>
    </row>
    <row r="188" spans="1:5" ht="16.5" thickBot="1" x14ac:dyDescent="0.25">
      <c r="A188" s="65" t="s">
        <v>210</v>
      </c>
      <c r="B188" s="47"/>
      <c r="C188" s="62">
        <v>0</v>
      </c>
      <c r="D188" s="47"/>
      <c r="E188" s="62">
        <v>0</v>
      </c>
    </row>
    <row r="189" spans="1:5" ht="15.75" x14ac:dyDescent="0.2">
      <c r="A189" s="65"/>
      <c r="B189" s="47"/>
      <c r="C189" s="55"/>
      <c r="D189" s="47"/>
      <c r="E189" s="55"/>
    </row>
    <row r="190" spans="1:5" ht="16.5" thickBot="1" x14ac:dyDescent="0.25">
      <c r="A190" s="65"/>
      <c r="B190" s="47"/>
      <c r="C190" s="63">
        <f>SUM(C187:C189)</f>
        <v>0</v>
      </c>
      <c r="D190" s="47"/>
      <c r="E190" s="63">
        <f>SUM(E187:E189)</f>
        <v>0</v>
      </c>
    </row>
    <row r="191" spans="1:5" ht="16.5" thickTop="1" x14ac:dyDescent="0.2">
      <c r="A191" s="43"/>
    </row>
    <row r="192" spans="1:5" ht="15.75" x14ac:dyDescent="0.2">
      <c r="A192" s="43"/>
    </row>
    <row r="193" spans="1:3" ht="31.5" x14ac:dyDescent="0.2">
      <c r="A193" s="43" t="s">
        <v>187</v>
      </c>
    </row>
    <row r="195" spans="1:3" ht="15.75" x14ac:dyDescent="0.2">
      <c r="A195" s="43"/>
    </row>
    <row r="196" spans="1:3" ht="15.75" x14ac:dyDescent="0.2">
      <c r="A196" s="43"/>
    </row>
    <row r="197" spans="1:3" ht="15.75" x14ac:dyDescent="0.2">
      <c r="A197" s="43" t="s">
        <v>211</v>
      </c>
      <c r="B197" s="84" t="s">
        <v>212</v>
      </c>
    </row>
    <row r="198" spans="1:3" ht="15.75" x14ac:dyDescent="0.2">
      <c r="A198" s="43"/>
    </row>
    <row r="199" spans="1:3" ht="31.5" x14ac:dyDescent="0.2">
      <c r="A199" s="43" t="s">
        <v>213</v>
      </c>
      <c r="B199" s="84" t="s">
        <v>214</v>
      </c>
    </row>
    <row r="200" spans="1:3" ht="15.75" x14ac:dyDescent="0.2">
      <c r="A200" s="43"/>
    </row>
    <row r="201" spans="1:3" ht="63" x14ac:dyDescent="0.2">
      <c r="A201" s="43" t="s">
        <v>215</v>
      </c>
    </row>
    <row r="202" spans="1:3" ht="15.75" x14ac:dyDescent="0.2">
      <c r="A202" s="43"/>
    </row>
    <row r="203" spans="1:3" ht="94.5" x14ac:dyDescent="0.2">
      <c r="A203" s="43" t="s">
        <v>216</v>
      </c>
      <c r="B203" s="43" t="s">
        <v>217</v>
      </c>
    </row>
    <row r="204" spans="1:3" ht="31.5" x14ac:dyDescent="0.2">
      <c r="A204" s="43" t="s">
        <v>216</v>
      </c>
      <c r="B204" s="43" t="s">
        <v>218</v>
      </c>
    </row>
    <row r="205" spans="1:3" ht="47.25" x14ac:dyDescent="0.2">
      <c r="B205" s="43" t="s">
        <v>216</v>
      </c>
      <c r="C205" s="43" t="s">
        <v>219</v>
      </c>
    </row>
    <row r="206" spans="1:3" ht="15.75" x14ac:dyDescent="0.2">
      <c r="A206" s="43"/>
    </row>
    <row r="207" spans="1:3" ht="31.5" x14ac:dyDescent="0.2">
      <c r="A207" s="43" t="s">
        <v>220</v>
      </c>
    </row>
    <row r="208" spans="1:3" ht="15.75" x14ac:dyDescent="0.2">
      <c r="A208" s="43"/>
    </row>
    <row r="209" spans="1:3" ht="15.75" x14ac:dyDescent="0.2">
      <c r="A209" s="43" t="s">
        <v>221</v>
      </c>
      <c r="B209" s="84" t="s">
        <v>222</v>
      </c>
    </row>
    <row r="210" spans="1:3" ht="15.75" x14ac:dyDescent="0.2">
      <c r="A210" s="43"/>
    </row>
    <row r="211" spans="1:3" ht="15.75" x14ac:dyDescent="0.2">
      <c r="A211" s="43" t="s">
        <v>223</v>
      </c>
    </row>
    <row r="212" spans="1:3" ht="15.75" x14ac:dyDescent="0.2">
      <c r="A212" s="43"/>
    </row>
    <row r="213" spans="1:3" ht="15.75" x14ac:dyDescent="0.2">
      <c r="A213" s="75" t="s">
        <v>224</v>
      </c>
      <c r="B213" s="75" t="s">
        <v>181</v>
      </c>
      <c r="C213" s="45" t="s">
        <v>225</v>
      </c>
    </row>
    <row r="214" spans="1:3" ht="15.75" x14ac:dyDescent="0.2">
      <c r="A214" s="75"/>
      <c r="B214" s="75"/>
      <c r="C214" s="75"/>
    </row>
    <row r="215" spans="1:3" ht="63" x14ac:dyDescent="0.2">
      <c r="A215" s="75" t="s">
        <v>226</v>
      </c>
      <c r="B215" s="75" t="s">
        <v>181</v>
      </c>
      <c r="C215" s="45" t="s">
        <v>227</v>
      </c>
    </row>
    <row r="216" spans="1:3" ht="15.75" x14ac:dyDescent="0.2">
      <c r="A216" s="75"/>
      <c r="B216" s="75"/>
      <c r="C216" s="75"/>
    </row>
    <row r="217" spans="1:3" ht="63" x14ac:dyDescent="0.2">
      <c r="A217" s="75" t="s">
        <v>228</v>
      </c>
      <c r="B217" s="75" t="s">
        <v>181</v>
      </c>
      <c r="C217" s="45" t="s">
        <v>229</v>
      </c>
    </row>
    <row r="218" spans="1:3" ht="15.75" x14ac:dyDescent="0.2">
      <c r="A218" s="75"/>
      <c r="B218" s="75"/>
      <c r="C218" s="75"/>
    </row>
    <row r="219" spans="1:3" ht="63" x14ac:dyDescent="0.2">
      <c r="A219" s="75" t="s">
        <v>230</v>
      </c>
      <c r="B219" s="75" t="s">
        <v>181</v>
      </c>
      <c r="C219" s="45" t="s">
        <v>231</v>
      </c>
    </row>
    <row r="220" spans="1:3" ht="15.75" x14ac:dyDescent="0.2">
      <c r="A220" s="75"/>
      <c r="B220" s="75"/>
      <c r="C220" s="75"/>
    </row>
    <row r="221" spans="1:3" ht="47.25" x14ac:dyDescent="0.2">
      <c r="A221" s="75" t="s">
        <v>136</v>
      </c>
      <c r="B221" s="75" t="s">
        <v>181</v>
      </c>
      <c r="C221" s="45" t="s">
        <v>232</v>
      </c>
    </row>
    <row r="222" spans="1:3" ht="15.75" x14ac:dyDescent="0.2">
      <c r="A222" s="43"/>
    </row>
    <row r="223" spans="1:3" ht="15.75" x14ac:dyDescent="0.2">
      <c r="A223" s="43"/>
    </row>
    <row r="224" spans="1:3" ht="15.75" x14ac:dyDescent="0.2">
      <c r="A224" s="43" t="s">
        <v>233</v>
      </c>
      <c r="B224" s="84" t="s">
        <v>234</v>
      </c>
    </row>
    <row r="225" spans="1:2" ht="15.75" x14ac:dyDescent="0.2">
      <c r="A225" s="43"/>
    </row>
    <row r="226" spans="1:2" ht="78.75" x14ac:dyDescent="0.2">
      <c r="B226" s="43" t="s">
        <v>235</v>
      </c>
    </row>
    <row r="227" spans="1:2" ht="15.75" x14ac:dyDescent="0.2">
      <c r="A227" s="43"/>
    </row>
    <row r="228" spans="1:2" ht="31.5" x14ac:dyDescent="0.2">
      <c r="A228" s="43" t="s">
        <v>213</v>
      </c>
      <c r="B228" s="84" t="s">
        <v>236</v>
      </c>
    </row>
    <row r="229" spans="1:2" ht="15.75" x14ac:dyDescent="0.2">
      <c r="A229" s="43"/>
    </row>
    <row r="230" spans="1:2" ht="94.5" x14ac:dyDescent="0.2">
      <c r="A230" s="43">
        <v>1</v>
      </c>
      <c r="B230" s="43" t="s">
        <v>237</v>
      </c>
    </row>
    <row r="231" spans="1:2" ht="15.75" x14ac:dyDescent="0.2">
      <c r="A231" s="43"/>
    </row>
    <row r="232" spans="1:2" ht="15.75" x14ac:dyDescent="0.2">
      <c r="A232" s="85" t="s">
        <v>238</v>
      </c>
    </row>
    <row r="233" spans="1:2" ht="15.75" x14ac:dyDescent="0.2">
      <c r="A233" s="43"/>
    </row>
    <row r="234" spans="1:2" ht="189" x14ac:dyDescent="0.2">
      <c r="A234" s="43">
        <v>2</v>
      </c>
      <c r="B234" s="43" t="s">
        <v>239</v>
      </c>
    </row>
    <row r="235" spans="1:2" ht="15.75" x14ac:dyDescent="0.2">
      <c r="A235" s="43"/>
    </row>
    <row r="236" spans="1:2" ht="141.75" x14ac:dyDescent="0.2">
      <c r="A236" s="43">
        <v>3</v>
      </c>
      <c r="B236" s="43" t="s">
        <v>240</v>
      </c>
    </row>
    <row r="237" spans="1:2" ht="15.75" x14ac:dyDescent="0.2">
      <c r="A237" s="43"/>
    </row>
    <row r="238" spans="1:2" ht="78.75" x14ac:dyDescent="0.2">
      <c r="A238" s="43">
        <v>4</v>
      </c>
      <c r="B238" s="43" t="s">
        <v>241</v>
      </c>
    </row>
    <row r="239" spans="1:2" ht="15.75" x14ac:dyDescent="0.2">
      <c r="A239" s="43"/>
    </row>
    <row r="240" spans="1:2" ht="15.75" x14ac:dyDescent="0.2">
      <c r="A240" s="43"/>
    </row>
    <row r="241" spans="1:2" ht="31.5" x14ac:dyDescent="0.2">
      <c r="A241" s="43" t="s">
        <v>233</v>
      </c>
      <c r="B241" s="84" t="s">
        <v>242</v>
      </c>
    </row>
    <row r="242" spans="1:2" ht="15.75" x14ac:dyDescent="0.2">
      <c r="A242" s="43"/>
    </row>
    <row r="243" spans="1:2" ht="47.25" x14ac:dyDescent="0.2">
      <c r="A243" s="43">
        <v>5</v>
      </c>
      <c r="B243" s="43" t="s">
        <v>243</v>
      </c>
    </row>
    <row r="244" spans="1:2" ht="15.75" x14ac:dyDescent="0.2">
      <c r="A244" s="43"/>
    </row>
    <row r="245" spans="1:2" ht="63" x14ac:dyDescent="0.2">
      <c r="A245" s="43">
        <v>6</v>
      </c>
      <c r="B245" s="43" t="s">
        <v>244</v>
      </c>
    </row>
    <row r="246" spans="1:2" ht="15.75" x14ac:dyDescent="0.2">
      <c r="A246" s="43"/>
    </row>
    <row r="247" spans="1:2" ht="31.5" x14ac:dyDescent="0.2">
      <c r="A247" s="64" t="s">
        <v>245</v>
      </c>
    </row>
    <row r="248" spans="1:2" ht="15.75" x14ac:dyDescent="0.2">
      <c r="A248" s="43"/>
    </row>
    <row r="249" spans="1:2" ht="267.75" x14ac:dyDescent="0.2">
      <c r="A249" s="43">
        <v>1</v>
      </c>
      <c r="B249" s="43" t="s">
        <v>246</v>
      </c>
    </row>
    <row r="250" spans="1:2" ht="15.75" x14ac:dyDescent="0.2">
      <c r="A250" s="43"/>
    </row>
    <row r="251" spans="1:2" ht="31.5" x14ac:dyDescent="0.2">
      <c r="A251" s="64" t="s">
        <v>247</v>
      </c>
    </row>
    <row r="252" spans="1:2" ht="15.75" x14ac:dyDescent="0.2">
      <c r="A252" s="43"/>
    </row>
    <row r="253" spans="1:2" ht="204.75" x14ac:dyDescent="0.2">
      <c r="A253" s="43">
        <v>1</v>
      </c>
      <c r="B253" s="43" t="s">
        <v>248</v>
      </c>
    </row>
    <row r="254" spans="1:2" ht="15.75" x14ac:dyDescent="0.2">
      <c r="A254" s="43"/>
    </row>
    <row r="255" spans="1:2" ht="31.5" x14ac:dyDescent="0.2">
      <c r="A255" s="64" t="s">
        <v>249</v>
      </c>
    </row>
    <row r="256" spans="1:2" ht="15.75" x14ac:dyDescent="0.2">
      <c r="A256" s="43"/>
    </row>
    <row r="257" spans="1:2" ht="393.75" x14ac:dyDescent="0.2">
      <c r="A257" s="43">
        <v>1</v>
      </c>
      <c r="B257" s="43" t="s">
        <v>250</v>
      </c>
    </row>
    <row r="258" spans="1:2" ht="15.75" x14ac:dyDescent="0.2">
      <c r="A258" s="43"/>
    </row>
    <row r="259" spans="1:2" ht="31.5" x14ac:dyDescent="0.2">
      <c r="A259" s="43" t="s">
        <v>221</v>
      </c>
      <c r="B259" s="84" t="s">
        <v>251</v>
      </c>
    </row>
    <row r="260" spans="1:2" ht="15.75" x14ac:dyDescent="0.2">
      <c r="A260" s="43"/>
    </row>
    <row r="261" spans="1:2" ht="31.5" x14ac:dyDescent="0.2">
      <c r="A261" s="43">
        <v>1</v>
      </c>
      <c r="B261" s="84" t="s">
        <v>252</v>
      </c>
    </row>
    <row r="262" spans="1:2" ht="15.75" x14ac:dyDescent="0.2">
      <c r="A262" s="43"/>
    </row>
    <row r="263" spans="1:2" ht="15.75" x14ac:dyDescent="0.2">
      <c r="A263" s="43" t="s">
        <v>253</v>
      </c>
    </row>
    <row r="264" spans="1:2" ht="15.75" x14ac:dyDescent="0.2">
      <c r="A264" s="43"/>
    </row>
    <row r="265" spans="1:2" ht="78.75" x14ac:dyDescent="0.2">
      <c r="A265" s="43" t="s">
        <v>254</v>
      </c>
    </row>
    <row r="266" spans="1:2" ht="15.75" x14ac:dyDescent="0.2">
      <c r="A266" s="43"/>
    </row>
    <row r="267" spans="1:2" ht="63" x14ac:dyDescent="0.2">
      <c r="A267" s="43" t="s">
        <v>255</v>
      </c>
    </row>
    <row r="268" spans="1:2" ht="15.75" x14ac:dyDescent="0.2">
      <c r="A268" s="43"/>
    </row>
    <row r="269" spans="1:2" ht="78.75" x14ac:dyDescent="0.2">
      <c r="A269" s="43" t="s">
        <v>256</v>
      </c>
      <c r="B269" s="43" t="s">
        <v>257</v>
      </c>
    </row>
    <row r="270" spans="1:2" ht="47.25" x14ac:dyDescent="0.2">
      <c r="A270" s="43" t="s">
        <v>258</v>
      </c>
      <c r="B270" s="43" t="s">
        <v>259</v>
      </c>
    </row>
    <row r="271" spans="1:2" ht="47.25" x14ac:dyDescent="0.2">
      <c r="A271" s="43" t="s">
        <v>260</v>
      </c>
      <c r="B271" s="43" t="s">
        <v>261</v>
      </c>
    </row>
    <row r="273" spans="1:2" ht="15.75" x14ac:dyDescent="0.2">
      <c r="A273" s="86"/>
    </row>
    <row r="274" spans="1:2" ht="15.75" x14ac:dyDescent="0.2">
      <c r="A274" s="43"/>
    </row>
    <row r="275" spans="1:2" ht="15.75" x14ac:dyDescent="0.2">
      <c r="A275" s="43"/>
    </row>
    <row r="276" spans="1:2" ht="31.5" x14ac:dyDescent="0.2">
      <c r="A276" s="43" t="s">
        <v>233</v>
      </c>
      <c r="B276" s="84" t="s">
        <v>242</v>
      </c>
    </row>
    <row r="277" spans="1:2" ht="15.75" x14ac:dyDescent="0.2">
      <c r="A277" s="43"/>
    </row>
    <row r="278" spans="1:2" ht="47.25" x14ac:dyDescent="0.2">
      <c r="A278" s="43" t="s">
        <v>262</v>
      </c>
    </row>
    <row r="279" spans="1:2" ht="15.75" x14ac:dyDescent="0.2">
      <c r="A279" s="43"/>
    </row>
    <row r="280" spans="1:2" ht="78.75" x14ac:dyDescent="0.2">
      <c r="A280" s="43" t="s">
        <v>263</v>
      </c>
    </row>
    <row r="281" spans="1:2" ht="15.75" x14ac:dyDescent="0.2">
      <c r="A281" s="43"/>
    </row>
    <row r="282" spans="1:2" ht="63" x14ac:dyDescent="0.2">
      <c r="A282" s="43" t="s">
        <v>264</v>
      </c>
    </row>
    <row r="283" spans="1:2" ht="15.75" x14ac:dyDescent="0.2">
      <c r="A283" s="43"/>
    </row>
    <row r="284" spans="1:2" ht="31.5" x14ac:dyDescent="0.2">
      <c r="A284" s="43">
        <v>2</v>
      </c>
      <c r="B284" s="84" t="s">
        <v>265</v>
      </c>
    </row>
    <row r="285" spans="1:2" ht="15.75" x14ac:dyDescent="0.2">
      <c r="A285" s="43"/>
    </row>
    <row r="286" spans="1:2" ht="204.75" x14ac:dyDescent="0.2">
      <c r="A286" s="43" t="s">
        <v>266</v>
      </c>
    </row>
    <row r="287" spans="1:2" ht="15.75" x14ac:dyDescent="0.2">
      <c r="A287" s="43"/>
    </row>
    <row r="288" spans="1:2" ht="15.75" x14ac:dyDescent="0.2">
      <c r="A288" s="43">
        <v>3</v>
      </c>
      <c r="B288" s="84" t="s">
        <v>267</v>
      </c>
    </row>
    <row r="289" spans="1:2" ht="15.75" x14ac:dyDescent="0.2">
      <c r="A289" s="43"/>
    </row>
    <row r="290" spans="1:2" ht="110.25" x14ac:dyDescent="0.2">
      <c r="A290" s="43" t="s">
        <v>268</v>
      </c>
    </row>
    <row r="291" spans="1:2" ht="15.75" x14ac:dyDescent="0.2">
      <c r="A291" s="43"/>
    </row>
    <row r="292" spans="1:2" ht="31.5" x14ac:dyDescent="0.2">
      <c r="A292" s="43" t="s">
        <v>269</v>
      </c>
      <c r="B292" s="84" t="s">
        <v>270</v>
      </c>
    </row>
    <row r="293" spans="1:2" ht="15.75" x14ac:dyDescent="0.2">
      <c r="A293" s="43"/>
    </row>
    <row r="294" spans="1:2" ht="110.25" x14ac:dyDescent="0.2">
      <c r="A294" s="43" t="s">
        <v>271</v>
      </c>
    </row>
    <row r="295" spans="1:2" ht="15.75" x14ac:dyDescent="0.2">
      <c r="A295" s="43"/>
    </row>
    <row r="296" spans="1:2" ht="31.5" x14ac:dyDescent="0.2">
      <c r="A296" s="43" t="s">
        <v>272</v>
      </c>
      <c r="B296" s="84" t="s">
        <v>273</v>
      </c>
    </row>
    <row r="297" spans="1:2" ht="15.75" x14ac:dyDescent="0.2">
      <c r="A297" s="43"/>
    </row>
    <row r="298" spans="1:2" ht="63" x14ac:dyDescent="0.2">
      <c r="A298" s="43" t="s">
        <v>274</v>
      </c>
    </row>
    <row r="299" spans="1:2" ht="15.75" x14ac:dyDescent="0.2">
      <c r="A299" s="43"/>
    </row>
    <row r="300" spans="1:2" ht="15.75" x14ac:dyDescent="0.2">
      <c r="A300" s="43" t="s">
        <v>275</v>
      </c>
      <c r="B300" s="84" t="s">
        <v>276</v>
      </c>
    </row>
    <row r="301" spans="1:2" ht="15.75" x14ac:dyDescent="0.2">
      <c r="A301" s="43"/>
    </row>
    <row r="302" spans="1:2" ht="63" x14ac:dyDescent="0.2">
      <c r="A302" s="43" t="s">
        <v>277</v>
      </c>
    </row>
    <row r="304" spans="1:2" ht="15.75" x14ac:dyDescent="0.2">
      <c r="A304" s="86"/>
    </row>
    <row r="305" spans="1:2" ht="15.75" x14ac:dyDescent="0.2">
      <c r="A305" s="43"/>
    </row>
    <row r="306" spans="1:2" ht="15.75" x14ac:dyDescent="0.2">
      <c r="A306" s="43"/>
    </row>
    <row r="307" spans="1:2" ht="31.5" x14ac:dyDescent="0.2">
      <c r="A307" s="43" t="s">
        <v>233</v>
      </c>
      <c r="B307" s="84" t="s">
        <v>242</v>
      </c>
    </row>
    <row r="308" spans="1:2" ht="15.75" x14ac:dyDescent="0.2">
      <c r="A308" s="43"/>
    </row>
    <row r="309" spans="1:2" ht="31.5" x14ac:dyDescent="0.2">
      <c r="A309" s="43" t="s">
        <v>278</v>
      </c>
      <c r="B309" s="84" t="s">
        <v>279</v>
      </c>
    </row>
    <row r="310" spans="1:2" ht="15.75" x14ac:dyDescent="0.2">
      <c r="A310" s="43"/>
    </row>
    <row r="311" spans="1:2" ht="31.5" x14ac:dyDescent="0.2">
      <c r="A311" s="43" t="s">
        <v>280</v>
      </c>
      <c r="B311">
        <v>0</v>
      </c>
    </row>
    <row r="312" spans="1:2" ht="15.75" x14ac:dyDescent="0.2">
      <c r="A312" s="43"/>
    </row>
    <row r="313" spans="1:2" ht="15.75" x14ac:dyDescent="0.2">
      <c r="A313" s="43" t="s">
        <v>281</v>
      </c>
      <c r="B313" s="84" t="s">
        <v>282</v>
      </c>
    </row>
    <row r="314" spans="1:2" ht="15.75" x14ac:dyDescent="0.2">
      <c r="A314" s="43"/>
    </row>
    <row r="315" spans="1:2" ht="47.25" x14ac:dyDescent="0.2">
      <c r="A315" s="43" t="s">
        <v>283</v>
      </c>
    </row>
    <row r="316" spans="1:2" ht="15.75" x14ac:dyDescent="0.2">
      <c r="A316" s="43"/>
    </row>
    <row r="317" spans="1:2" ht="15.75" x14ac:dyDescent="0.2">
      <c r="A317" s="43" t="s">
        <v>284</v>
      </c>
      <c r="B317" s="84" t="s">
        <v>285</v>
      </c>
    </row>
    <row r="318" spans="1:2" ht="15.75" x14ac:dyDescent="0.2">
      <c r="A318" s="43"/>
    </row>
    <row r="319" spans="1:2" ht="110.25" x14ac:dyDescent="0.2">
      <c r="A319" s="43" t="s">
        <v>286</v>
      </c>
    </row>
    <row r="320" spans="1:2" ht="15.75" x14ac:dyDescent="0.2">
      <c r="A320" s="43"/>
    </row>
    <row r="321" spans="1:3" ht="15.75" x14ac:dyDescent="0.2">
      <c r="A321" s="43" t="s">
        <v>287</v>
      </c>
    </row>
    <row r="322" spans="1:3" ht="15.75" x14ac:dyDescent="0.2">
      <c r="A322" s="43"/>
    </row>
    <row r="323" spans="1:3" ht="47.25" x14ac:dyDescent="0.2">
      <c r="A323" s="45" t="s">
        <v>288</v>
      </c>
      <c r="B323" s="45" t="s">
        <v>181</v>
      </c>
      <c r="C323" s="45" t="s">
        <v>289</v>
      </c>
    </row>
    <row r="324" spans="1:3" ht="15.75" x14ac:dyDescent="0.2">
      <c r="A324" s="45"/>
      <c r="B324" s="45"/>
      <c r="C324" s="45"/>
    </row>
    <row r="325" spans="1:3" ht="31.5" x14ac:dyDescent="0.2">
      <c r="A325" s="45" t="s">
        <v>290</v>
      </c>
      <c r="B325" s="45" t="s">
        <v>181</v>
      </c>
      <c r="C325" s="45" t="s">
        <v>291</v>
      </c>
    </row>
    <row r="326" spans="1:3" ht="15.75" x14ac:dyDescent="0.2">
      <c r="A326" s="45"/>
      <c r="B326" s="45"/>
      <c r="C326" s="45"/>
    </row>
    <row r="327" spans="1:3" ht="63" x14ac:dyDescent="0.2">
      <c r="A327" s="45" t="s">
        <v>292</v>
      </c>
      <c r="B327" s="45" t="s">
        <v>181</v>
      </c>
      <c r="C327" s="45" t="s">
        <v>293</v>
      </c>
    </row>
    <row r="328" spans="1:3" ht="15.75" x14ac:dyDescent="0.2">
      <c r="A328" s="45"/>
      <c r="B328" s="45"/>
      <c r="C328" s="45"/>
    </row>
    <row r="329" spans="1:3" ht="63" x14ac:dyDescent="0.2">
      <c r="A329" s="45" t="s">
        <v>294</v>
      </c>
      <c r="B329" s="45" t="s">
        <v>181</v>
      </c>
      <c r="C329" s="45" t="s">
        <v>293</v>
      </c>
    </row>
    <row r="330" spans="1:3" ht="15.75" x14ac:dyDescent="0.2">
      <c r="A330" s="45"/>
      <c r="B330" s="45"/>
      <c r="C330" s="45"/>
    </row>
    <row r="331" spans="1:3" ht="31.5" x14ac:dyDescent="0.2">
      <c r="A331" s="45" t="s">
        <v>295</v>
      </c>
      <c r="B331" s="45" t="s">
        <v>181</v>
      </c>
      <c r="C331" s="45" t="s">
        <v>291</v>
      </c>
    </row>
    <row r="332" spans="1:3" ht="15.75" x14ac:dyDescent="0.2">
      <c r="A332" s="43"/>
    </row>
    <row r="333" spans="1:3" ht="110.25" x14ac:dyDescent="0.2">
      <c r="A333" s="43" t="s">
        <v>296</v>
      </c>
    </row>
    <row r="334" spans="1:3" ht="15.75" x14ac:dyDescent="0.2">
      <c r="A334" s="43"/>
    </row>
    <row r="335" spans="1:3" ht="63" x14ac:dyDescent="0.2">
      <c r="A335" s="43" t="s">
        <v>297</v>
      </c>
    </row>
    <row r="336" spans="1:3" ht="15.75" x14ac:dyDescent="0.2">
      <c r="A336" s="43"/>
    </row>
    <row r="337" spans="1:4" ht="15.75" x14ac:dyDescent="0.2">
      <c r="A337" s="43" t="s">
        <v>298</v>
      </c>
      <c r="B337" s="84" t="s">
        <v>139</v>
      </c>
    </row>
    <row r="338" spans="1:4" ht="15.75" x14ac:dyDescent="0.2">
      <c r="A338" s="43"/>
    </row>
    <row r="339" spans="1:4" ht="94.5" x14ac:dyDescent="0.2">
      <c r="A339" s="43" t="s">
        <v>299</v>
      </c>
    </row>
    <row r="340" spans="1:4" ht="15.75" x14ac:dyDescent="0.2">
      <c r="A340" s="43"/>
    </row>
    <row r="341" spans="1:4" ht="78.75" x14ac:dyDescent="0.2">
      <c r="A341" s="43" t="s">
        <v>300</v>
      </c>
    </row>
    <row r="343" spans="1:4" ht="15.75" x14ac:dyDescent="0.2">
      <c r="A343" s="86"/>
    </row>
    <row r="344" spans="1:4" ht="15.75" x14ac:dyDescent="0.2">
      <c r="A344" s="43"/>
    </row>
    <row r="345" spans="1:4" ht="15.75" x14ac:dyDescent="0.2">
      <c r="A345" s="43"/>
    </row>
    <row r="346" spans="1:4" ht="31.5" x14ac:dyDescent="0.2">
      <c r="A346" s="43" t="s">
        <v>233</v>
      </c>
      <c r="B346" s="84" t="s">
        <v>242</v>
      </c>
    </row>
    <row r="347" spans="1:4" ht="15.75" x14ac:dyDescent="0.2">
      <c r="A347" s="43"/>
    </row>
    <row r="348" spans="1:4" ht="63" x14ac:dyDescent="0.2">
      <c r="A348" s="43" t="s">
        <v>301</v>
      </c>
    </row>
    <row r="349" spans="1:4" ht="15.75" x14ac:dyDescent="0.2">
      <c r="A349" s="43"/>
    </row>
    <row r="350" spans="1:4" ht="47.25" x14ac:dyDescent="0.2">
      <c r="A350" s="43" t="s">
        <v>302</v>
      </c>
    </row>
    <row r="351" spans="1:4" ht="16.5" thickBot="1" x14ac:dyDescent="0.25">
      <c r="A351" s="75"/>
      <c r="B351" s="45"/>
      <c r="C351" s="46" t="s">
        <v>303</v>
      </c>
      <c r="D351" s="44"/>
    </row>
    <row r="352" spans="1:4" ht="15.75" x14ac:dyDescent="0.2">
      <c r="A352" s="75"/>
      <c r="B352" s="45"/>
      <c r="C352" s="75"/>
      <c r="D352" s="44"/>
    </row>
    <row r="353" spans="1:4" ht="15.75" x14ac:dyDescent="0.2">
      <c r="A353" s="75" t="s">
        <v>304</v>
      </c>
      <c r="B353" s="45"/>
      <c r="C353" s="75"/>
      <c r="D353" s="44"/>
    </row>
    <row r="354" spans="1:4" ht="15.75" x14ac:dyDescent="0.2">
      <c r="A354" s="75" t="s">
        <v>305</v>
      </c>
      <c r="B354" s="45"/>
      <c r="C354" s="75"/>
      <c r="D354" s="44"/>
    </row>
    <row r="355" spans="1:4" ht="15.75" x14ac:dyDescent="0.2">
      <c r="A355" s="75" t="s">
        <v>306</v>
      </c>
      <c r="B355" s="45"/>
      <c r="C355" s="214" t="s">
        <v>533</v>
      </c>
      <c r="D355" s="44"/>
    </row>
    <row r="356" spans="1:4" ht="15.75" x14ac:dyDescent="0.2">
      <c r="A356" s="75" t="s">
        <v>307</v>
      </c>
      <c r="B356" s="45"/>
      <c r="C356" s="75"/>
      <c r="D356" s="44"/>
    </row>
    <row r="357" spans="1:4" ht="15.75" x14ac:dyDescent="0.2">
      <c r="A357" s="75" t="s">
        <v>308</v>
      </c>
      <c r="B357" s="45"/>
      <c r="C357" s="215">
        <v>0.33</v>
      </c>
      <c r="D357" s="44"/>
    </row>
    <row r="358" spans="1:4" ht="15.75" x14ac:dyDescent="0.2">
      <c r="A358" s="75" t="s">
        <v>309</v>
      </c>
      <c r="B358" s="45"/>
      <c r="C358" s="216" t="s">
        <v>534</v>
      </c>
      <c r="D358" s="215" t="s">
        <v>310</v>
      </c>
    </row>
    <row r="359" spans="1:4" ht="15.75" x14ac:dyDescent="0.2">
      <c r="A359" s="43"/>
    </row>
    <row r="360" spans="1:4" ht="63" x14ac:dyDescent="0.2">
      <c r="A360" s="43" t="s">
        <v>311</v>
      </c>
    </row>
    <row r="361" spans="1:4" ht="15.75" x14ac:dyDescent="0.2">
      <c r="A361" s="43"/>
    </row>
    <row r="362" spans="1:4" ht="78.75" x14ac:dyDescent="0.2">
      <c r="A362" s="43" t="s">
        <v>312</v>
      </c>
    </row>
    <row r="363" spans="1:4" ht="15.75" x14ac:dyDescent="0.2">
      <c r="A363" s="43"/>
    </row>
    <row r="364" spans="1:4" ht="63" x14ac:dyDescent="0.2">
      <c r="A364" s="43" t="s">
        <v>313</v>
      </c>
    </row>
    <row r="365" spans="1:4" ht="15.75" x14ac:dyDescent="0.2">
      <c r="A365" s="43"/>
    </row>
    <row r="366" spans="1:4" ht="15.75" x14ac:dyDescent="0.2">
      <c r="A366" s="43" t="s">
        <v>314</v>
      </c>
      <c r="B366" s="84" t="s">
        <v>315</v>
      </c>
    </row>
    <row r="367" spans="1:4" ht="15.75" x14ac:dyDescent="0.2">
      <c r="A367" s="43"/>
    </row>
    <row r="368" spans="1:4" ht="173.25" x14ac:dyDescent="0.2">
      <c r="A368" s="43" t="s">
        <v>316</v>
      </c>
    </row>
    <row r="369" spans="1:2" ht="15.75" x14ac:dyDescent="0.2">
      <c r="A369" s="43"/>
    </row>
    <row r="370" spans="1:2" ht="63" x14ac:dyDescent="0.2">
      <c r="A370" s="43" t="s">
        <v>317</v>
      </c>
    </row>
    <row r="371" spans="1:2" ht="15.75" x14ac:dyDescent="0.2">
      <c r="A371" s="43" t="s">
        <v>318</v>
      </c>
    </row>
    <row r="372" spans="1:2" ht="15.75" x14ac:dyDescent="0.2">
      <c r="A372" s="43"/>
    </row>
    <row r="373" spans="1:2" ht="78.75" x14ac:dyDescent="0.2">
      <c r="A373" s="43" t="s">
        <v>319</v>
      </c>
    </row>
    <row r="374" spans="1:2" ht="15.75" x14ac:dyDescent="0.2">
      <c r="A374" s="43"/>
    </row>
    <row r="375" spans="1:2" ht="78.75" x14ac:dyDescent="0.2">
      <c r="A375" s="43" t="s">
        <v>320</v>
      </c>
    </row>
    <row r="377" spans="1:2" ht="15.75" x14ac:dyDescent="0.2">
      <c r="A377" s="86"/>
    </row>
    <row r="378" spans="1:2" ht="15.75" x14ac:dyDescent="0.2">
      <c r="A378" s="43"/>
    </row>
    <row r="379" spans="1:2" ht="15.75" x14ac:dyDescent="0.2">
      <c r="A379" s="43"/>
    </row>
    <row r="380" spans="1:2" ht="31.5" x14ac:dyDescent="0.2">
      <c r="A380" s="43" t="s">
        <v>233</v>
      </c>
      <c r="B380" s="84" t="s">
        <v>242</v>
      </c>
    </row>
    <row r="381" spans="1:2" ht="15.75" x14ac:dyDescent="0.2">
      <c r="A381" s="43"/>
    </row>
    <row r="382" spans="1:2" ht="15.75" x14ac:dyDescent="0.2">
      <c r="A382" s="43" t="s">
        <v>321</v>
      </c>
      <c r="B382" s="84" t="s">
        <v>322</v>
      </c>
    </row>
    <row r="383" spans="1:2" ht="15.75" x14ac:dyDescent="0.2">
      <c r="A383" s="43"/>
    </row>
    <row r="384" spans="1:2" ht="15.75" x14ac:dyDescent="0.2">
      <c r="A384" s="43" t="s">
        <v>323</v>
      </c>
    </row>
    <row r="385" spans="1:2" ht="15.75" x14ac:dyDescent="0.2">
      <c r="A385" s="43"/>
    </row>
    <row r="386" spans="1:2" ht="220.5" x14ac:dyDescent="0.2">
      <c r="A386" s="43" t="s">
        <v>324</v>
      </c>
    </row>
    <row r="387" spans="1:2" ht="15.75" x14ac:dyDescent="0.2">
      <c r="A387" s="43"/>
    </row>
    <row r="388" spans="1:2" ht="15.75" x14ac:dyDescent="0.2">
      <c r="A388" s="43" t="s">
        <v>325</v>
      </c>
      <c r="B388" s="84" t="s">
        <v>326</v>
      </c>
    </row>
    <row r="389" spans="1:2" ht="15.75" x14ac:dyDescent="0.2">
      <c r="A389" s="43"/>
    </row>
    <row r="390" spans="1:2" ht="15.75" x14ac:dyDescent="0.2">
      <c r="A390" s="84" t="s">
        <v>327</v>
      </c>
    </row>
    <row r="391" spans="1:2" ht="15.75" x14ac:dyDescent="0.2">
      <c r="A391" s="43"/>
    </row>
    <row r="392" spans="1:2" ht="94.5" x14ac:dyDescent="0.2">
      <c r="A392" s="43" t="s">
        <v>328</v>
      </c>
    </row>
    <row r="393" spans="1:2" ht="15.75" x14ac:dyDescent="0.2">
      <c r="A393" s="43"/>
    </row>
    <row r="394" spans="1:2" ht="63" x14ac:dyDescent="0.2">
      <c r="A394" s="43" t="s">
        <v>329</v>
      </c>
    </row>
    <row r="395" spans="1:2" ht="15.75" x14ac:dyDescent="0.2">
      <c r="A395" s="43"/>
    </row>
    <row r="396" spans="1:2" ht="15.75" x14ac:dyDescent="0.2">
      <c r="A396" s="84" t="s">
        <v>330</v>
      </c>
    </row>
    <row r="397" spans="1:2" ht="15.75" x14ac:dyDescent="0.2">
      <c r="A397" s="43"/>
    </row>
    <row r="398" spans="1:2" ht="157.5" x14ac:dyDescent="0.2">
      <c r="A398" s="43" t="s">
        <v>331</v>
      </c>
    </row>
    <row r="399" spans="1:2" ht="15.75" x14ac:dyDescent="0.2">
      <c r="A399" s="43"/>
    </row>
    <row r="400" spans="1:2" ht="15.75" x14ac:dyDescent="0.2">
      <c r="A400" s="43" t="s">
        <v>332</v>
      </c>
      <c r="B400" s="84" t="s">
        <v>333</v>
      </c>
    </row>
    <row r="401" spans="1:2" ht="15.75" x14ac:dyDescent="0.2">
      <c r="A401" s="43"/>
    </row>
    <row r="402" spans="1:2" ht="94.5" x14ac:dyDescent="0.2">
      <c r="A402" s="43" t="s">
        <v>334</v>
      </c>
    </row>
    <row r="403" spans="1:2" ht="15.75" x14ac:dyDescent="0.2">
      <c r="A403" s="43"/>
    </row>
    <row r="404" spans="1:2" ht="78.75" x14ac:dyDescent="0.2">
      <c r="A404" s="43" t="s">
        <v>335</v>
      </c>
    </row>
    <row r="406" spans="1:2" ht="15.75" x14ac:dyDescent="0.2">
      <c r="A406" s="86"/>
    </row>
    <row r="407" spans="1:2" ht="15.75" x14ac:dyDescent="0.2">
      <c r="A407" s="43"/>
    </row>
    <row r="408" spans="1:2" ht="15.75" x14ac:dyDescent="0.2">
      <c r="A408" s="43"/>
    </row>
    <row r="409" spans="1:2" ht="31.5" x14ac:dyDescent="0.2">
      <c r="A409" s="43" t="s">
        <v>233</v>
      </c>
      <c r="B409" s="84" t="s">
        <v>242</v>
      </c>
    </row>
    <row r="410" spans="1:2" ht="15.75" x14ac:dyDescent="0.2">
      <c r="A410" s="43"/>
    </row>
    <row r="411" spans="1:2" ht="31.5" x14ac:dyDescent="0.2">
      <c r="A411" s="43" t="s">
        <v>336</v>
      </c>
    </row>
    <row r="412" spans="1:2" ht="15.75" x14ac:dyDescent="0.2">
      <c r="A412" s="43"/>
    </row>
    <row r="413" spans="1:2" ht="15.75" x14ac:dyDescent="0.2">
      <c r="A413" s="43">
        <v>1</v>
      </c>
      <c r="B413" s="84" t="s">
        <v>337</v>
      </c>
    </row>
    <row r="414" spans="1:2" ht="15.75" x14ac:dyDescent="0.2">
      <c r="A414" s="43"/>
    </row>
    <row r="415" spans="1:2" ht="78.75" x14ac:dyDescent="0.2">
      <c r="A415" s="43" t="s">
        <v>338</v>
      </c>
    </row>
    <row r="416" spans="1:2" ht="15.75" x14ac:dyDescent="0.2">
      <c r="A416" s="43"/>
    </row>
    <row r="417" spans="1:2" ht="31.5" x14ac:dyDescent="0.2">
      <c r="A417" s="43">
        <v>2</v>
      </c>
      <c r="B417" s="84" t="s">
        <v>339</v>
      </c>
    </row>
    <row r="418" spans="1:2" ht="15.75" x14ac:dyDescent="0.2">
      <c r="A418" s="43"/>
    </row>
    <row r="419" spans="1:2" ht="94.5" x14ac:dyDescent="0.2">
      <c r="A419" s="43" t="s">
        <v>340</v>
      </c>
    </row>
    <row r="420" spans="1:2" ht="15.75" x14ac:dyDescent="0.2">
      <c r="A420" s="43"/>
    </row>
    <row r="421" spans="1:2" ht="31.5" x14ac:dyDescent="0.2">
      <c r="A421" s="43">
        <v>3</v>
      </c>
      <c r="B421" s="84" t="s">
        <v>341</v>
      </c>
    </row>
    <row r="422" spans="1:2" ht="15.75" x14ac:dyDescent="0.2">
      <c r="A422" s="43"/>
    </row>
    <row r="423" spans="1:2" ht="220.5" x14ac:dyDescent="0.2">
      <c r="A423" s="43" t="s">
        <v>342</v>
      </c>
    </row>
    <row r="424" spans="1:2" ht="18.75" x14ac:dyDescent="0.2">
      <c r="A424" s="87"/>
    </row>
    <row r="425" spans="1:2" ht="15.75" x14ac:dyDescent="0.2">
      <c r="A425" s="43" t="s">
        <v>343</v>
      </c>
      <c r="B425" s="84" t="s">
        <v>161</v>
      </c>
    </row>
    <row r="426" spans="1:2" ht="15.75" x14ac:dyDescent="0.2">
      <c r="A426" s="43"/>
    </row>
    <row r="427" spans="1:2" ht="78.75" x14ac:dyDescent="0.2">
      <c r="A427" s="43" t="s">
        <v>344</v>
      </c>
    </row>
    <row r="428" spans="1:2" ht="15.75" x14ac:dyDescent="0.2">
      <c r="A428" s="43"/>
    </row>
    <row r="429" spans="1:2" ht="15.75" x14ac:dyDescent="0.2">
      <c r="A429" s="43" t="s">
        <v>345</v>
      </c>
      <c r="B429" s="84" t="s">
        <v>346</v>
      </c>
    </row>
    <row r="430" spans="1:2" ht="15.75" x14ac:dyDescent="0.2">
      <c r="A430" s="43"/>
    </row>
    <row r="431" spans="1:2" ht="157.5" x14ac:dyDescent="0.2">
      <c r="A431" s="43" t="s">
        <v>347</v>
      </c>
    </row>
    <row r="432" spans="1:2" ht="15.75" x14ac:dyDescent="0.2">
      <c r="A432" s="43"/>
    </row>
    <row r="433" spans="1:2" ht="189" x14ac:dyDescent="0.2">
      <c r="A433" s="43" t="s">
        <v>348</v>
      </c>
    </row>
    <row r="435" spans="1:2" ht="15.75" x14ac:dyDescent="0.2">
      <c r="A435" s="86"/>
    </row>
    <row r="436" spans="1:2" ht="15.75" x14ac:dyDescent="0.2">
      <c r="A436" s="43"/>
    </row>
    <row r="437" spans="1:2" ht="15.75" x14ac:dyDescent="0.2">
      <c r="A437" s="43"/>
    </row>
    <row r="438" spans="1:2" ht="31.5" x14ac:dyDescent="0.2">
      <c r="A438" s="43" t="s">
        <v>233</v>
      </c>
      <c r="B438" s="84" t="s">
        <v>242</v>
      </c>
    </row>
    <row r="439" spans="1:2" ht="15.75" x14ac:dyDescent="0.2">
      <c r="A439" s="43"/>
    </row>
    <row r="440" spans="1:2" ht="78.75" x14ac:dyDescent="0.2">
      <c r="A440" s="43" t="s">
        <v>349</v>
      </c>
    </row>
    <row r="441" spans="1:2" ht="15.75" x14ac:dyDescent="0.2">
      <c r="A441" s="43"/>
    </row>
    <row r="442" spans="1:2" ht="94.5" x14ac:dyDescent="0.2">
      <c r="A442" s="43" t="s">
        <v>350</v>
      </c>
    </row>
    <row r="443" spans="1:2" ht="15.75" x14ac:dyDescent="0.2">
      <c r="A443" s="43"/>
    </row>
    <row r="444" spans="1:2" ht="110.25" x14ac:dyDescent="0.2">
      <c r="A444" s="43" t="s">
        <v>351</v>
      </c>
    </row>
    <row r="445" spans="1:2" ht="15.75" x14ac:dyDescent="0.2">
      <c r="A445" s="43"/>
    </row>
    <row r="446" spans="1:2" ht="63" x14ac:dyDescent="0.2">
      <c r="A446" s="43" t="s">
        <v>352</v>
      </c>
    </row>
    <row r="447" spans="1:2" ht="15.75" x14ac:dyDescent="0.2">
      <c r="A447" s="43"/>
    </row>
    <row r="448" spans="1:2" ht="31.5" x14ac:dyDescent="0.2">
      <c r="A448" s="43" t="s">
        <v>353</v>
      </c>
      <c r="B448" s="220" t="s">
        <v>354</v>
      </c>
    </row>
    <row r="449" spans="1:2" ht="15.75" x14ac:dyDescent="0.2">
      <c r="A449" s="43"/>
    </row>
    <row r="450" spans="1:2" ht="63" x14ac:dyDescent="0.2">
      <c r="A450" s="43" t="s">
        <v>355</v>
      </c>
    </row>
    <row r="451" spans="1:2" ht="15.75" x14ac:dyDescent="0.2">
      <c r="A451" s="43"/>
    </row>
    <row r="452" spans="1:2" ht="189" x14ac:dyDescent="0.2">
      <c r="A452" s="43" t="s">
        <v>356</v>
      </c>
    </row>
    <row r="453" spans="1:2" ht="15.75" x14ac:dyDescent="0.2">
      <c r="A453" s="43"/>
    </row>
    <row r="454" spans="1:2" ht="15.75" x14ac:dyDescent="0.2">
      <c r="A454" s="43" t="s">
        <v>357</v>
      </c>
      <c r="B454" s="84" t="s">
        <v>358</v>
      </c>
    </row>
    <row r="455" spans="1:2" ht="15.75" x14ac:dyDescent="0.2">
      <c r="A455" s="43"/>
    </row>
    <row r="456" spans="1:2" ht="47.25" x14ac:dyDescent="0.2">
      <c r="A456" s="43" t="s">
        <v>359</v>
      </c>
    </row>
    <row r="457" spans="1:2" ht="15.75" x14ac:dyDescent="0.2">
      <c r="A457" s="43"/>
    </row>
    <row r="458" spans="1:2" ht="94.5" x14ac:dyDescent="0.2">
      <c r="A458" s="43" t="s">
        <v>360</v>
      </c>
    </row>
    <row r="460" spans="1:2" ht="15.75" x14ac:dyDescent="0.2">
      <c r="A460" s="86"/>
    </row>
    <row r="461" spans="1:2" ht="15.75" x14ac:dyDescent="0.2">
      <c r="A461" s="43"/>
    </row>
    <row r="462" spans="1:2" ht="15.75" x14ac:dyDescent="0.2">
      <c r="A462" s="43"/>
    </row>
    <row r="463" spans="1:2" ht="15.75" x14ac:dyDescent="0.2">
      <c r="A463" s="43" t="s">
        <v>361</v>
      </c>
      <c r="B463" s="84" t="s">
        <v>139</v>
      </c>
    </row>
    <row r="464" spans="1:2" ht="15.75" x14ac:dyDescent="0.2">
      <c r="A464" s="43"/>
    </row>
    <row r="465" spans="1:3" ht="16.5" thickBot="1" x14ac:dyDescent="0.25">
      <c r="A465" s="75"/>
      <c r="B465" s="47"/>
      <c r="C465" s="46" t="s">
        <v>129</v>
      </c>
    </row>
    <row r="466" spans="1:3" ht="15.75" x14ac:dyDescent="0.2">
      <c r="A466" s="75"/>
      <c r="B466" s="45"/>
      <c r="C466" s="45"/>
    </row>
    <row r="467" spans="1:3" ht="15.75" x14ac:dyDescent="0.2">
      <c r="A467" s="88" t="s">
        <v>362</v>
      </c>
      <c r="B467" s="45"/>
      <c r="C467" s="45"/>
    </row>
    <row r="468" spans="1:3" ht="15.75" x14ac:dyDescent="0.2">
      <c r="A468" s="75" t="s">
        <v>625</v>
      </c>
      <c r="B468" s="45"/>
      <c r="C468" s="79">
        <v>0</v>
      </c>
    </row>
    <row r="469" spans="1:3" ht="15.75" x14ac:dyDescent="0.2">
      <c r="A469" s="75" t="s">
        <v>363</v>
      </c>
      <c r="B469" s="45"/>
      <c r="C469" s="182">
        <f>CF!W30/1000</f>
        <v>0</v>
      </c>
    </row>
    <row r="470" spans="1:3" ht="16.5" thickBot="1" x14ac:dyDescent="0.25">
      <c r="A470" s="75" t="s">
        <v>364</v>
      </c>
      <c r="B470" s="45"/>
      <c r="C470" s="80">
        <v>0</v>
      </c>
    </row>
    <row r="471" spans="1:3" ht="15.75" x14ac:dyDescent="0.2">
      <c r="A471" s="75"/>
      <c r="B471" s="45"/>
      <c r="C471" s="75"/>
    </row>
    <row r="472" spans="1:3" ht="16.5" thickBot="1" x14ac:dyDescent="0.25">
      <c r="A472" s="75" t="s">
        <v>624</v>
      </c>
      <c r="B472" s="45"/>
      <c r="C472" s="183">
        <f>SUM(C468:C471)</f>
        <v>0</v>
      </c>
    </row>
    <row r="473" spans="1:3" ht="15.75" x14ac:dyDescent="0.2">
      <c r="A473" s="75"/>
      <c r="B473" s="45"/>
      <c r="C473" s="75"/>
    </row>
    <row r="474" spans="1:3" ht="15.75" x14ac:dyDescent="0.2">
      <c r="A474" s="88" t="s">
        <v>365</v>
      </c>
      <c r="B474" s="45"/>
      <c r="C474" s="75"/>
    </row>
    <row r="475" spans="1:3" ht="15.75" x14ac:dyDescent="0.2">
      <c r="A475" s="75" t="s">
        <v>625</v>
      </c>
      <c r="B475" s="45"/>
      <c r="C475" s="79">
        <v>0</v>
      </c>
    </row>
    <row r="476" spans="1:3" ht="15.75" x14ac:dyDescent="0.2">
      <c r="A476" s="75" t="s">
        <v>363</v>
      </c>
      <c r="B476" s="45"/>
      <c r="C476" s="182">
        <f>CF!W36/1000</f>
        <v>0</v>
      </c>
    </row>
    <row r="477" spans="1:3" ht="16.5" thickBot="1" x14ac:dyDescent="0.25">
      <c r="A477" s="75" t="s">
        <v>364</v>
      </c>
      <c r="B477" s="45"/>
      <c r="C477" s="80">
        <v>0</v>
      </c>
    </row>
    <row r="478" spans="1:3" ht="15.75" x14ac:dyDescent="0.2">
      <c r="A478" s="75"/>
      <c r="B478" s="45"/>
      <c r="C478" s="75"/>
    </row>
    <row r="479" spans="1:3" ht="16.5" thickBot="1" x14ac:dyDescent="0.25">
      <c r="A479" s="75" t="s">
        <v>624</v>
      </c>
      <c r="B479" s="45"/>
      <c r="C479" s="183">
        <f>SUM(C475:C478)</f>
        <v>0</v>
      </c>
    </row>
    <row r="480" spans="1:3" ht="15.75" x14ac:dyDescent="0.2">
      <c r="A480" s="75"/>
      <c r="B480" s="45"/>
      <c r="C480" s="75"/>
    </row>
    <row r="481" spans="1:5" ht="16.5" thickBot="1" x14ac:dyDescent="0.25">
      <c r="A481" s="75" t="s">
        <v>366</v>
      </c>
      <c r="B481" s="45"/>
      <c r="C481" s="80">
        <v>0</v>
      </c>
    </row>
    <row r="482" spans="1:5" ht="15.75" x14ac:dyDescent="0.2">
      <c r="A482" s="75"/>
      <c r="B482" s="45"/>
      <c r="C482" s="75"/>
    </row>
    <row r="483" spans="1:5" ht="16.5" thickBot="1" x14ac:dyDescent="0.25">
      <c r="A483" s="88" t="s">
        <v>626</v>
      </c>
      <c r="B483" s="45"/>
      <c r="C483" s="185">
        <f>CF!V10/1000</f>
        <v>605.64503999999999</v>
      </c>
    </row>
    <row r="484" spans="1:5" ht="16.5" thickTop="1" x14ac:dyDescent="0.2">
      <c r="A484" s="43"/>
    </row>
    <row r="485" spans="1:5" ht="47.25" x14ac:dyDescent="0.2">
      <c r="A485" s="43" t="s">
        <v>627</v>
      </c>
    </row>
    <row r="486" spans="1:5" ht="15.75" x14ac:dyDescent="0.2">
      <c r="A486" s="43"/>
    </row>
    <row r="487" spans="1:5" ht="15.75" x14ac:dyDescent="0.2">
      <c r="A487" s="43"/>
    </row>
    <row r="488" spans="1:5" ht="15.75" x14ac:dyDescent="0.2">
      <c r="A488" s="43" t="s">
        <v>367</v>
      </c>
      <c r="B488" s="84" t="s">
        <v>285</v>
      </c>
    </row>
    <row r="489" spans="1:5" ht="16.5" thickBot="1" x14ac:dyDescent="0.25">
      <c r="A489" s="45"/>
      <c r="B489" s="47"/>
      <c r="C489" s="465" t="s">
        <v>188</v>
      </c>
      <c r="D489" s="465"/>
      <c r="E489" s="465"/>
    </row>
    <row r="490" spans="1:5" ht="16.5" thickBot="1" x14ac:dyDescent="0.25">
      <c r="A490" s="45"/>
      <c r="B490" s="47"/>
      <c r="C490" s="46">
        <f>C182</f>
        <v>2020</v>
      </c>
      <c r="D490" s="47"/>
      <c r="E490" s="46">
        <f>E182</f>
        <v>2019</v>
      </c>
    </row>
    <row r="491" spans="1:5" ht="16.5" thickBot="1" x14ac:dyDescent="0.25">
      <c r="A491" s="45"/>
      <c r="B491" s="47"/>
      <c r="C491" s="465" t="s">
        <v>129</v>
      </c>
      <c r="D491" s="465"/>
      <c r="E491" s="465"/>
    </row>
    <row r="492" spans="1:5" ht="15.75" x14ac:dyDescent="0.2">
      <c r="A492" s="45"/>
      <c r="B492" s="45"/>
      <c r="C492" s="60"/>
      <c r="D492" s="45"/>
      <c r="E492" s="60"/>
    </row>
    <row r="493" spans="1:5" ht="15.75" x14ac:dyDescent="0.2">
      <c r="A493" s="45" t="s">
        <v>288</v>
      </c>
      <c r="B493" s="45"/>
      <c r="C493" s="89">
        <v>0</v>
      </c>
      <c r="D493" s="45"/>
      <c r="E493" s="89">
        <v>0</v>
      </c>
    </row>
    <row r="494" spans="1:5" ht="15.75" x14ac:dyDescent="0.2">
      <c r="A494" s="45" t="s">
        <v>368</v>
      </c>
      <c r="B494" s="45"/>
      <c r="C494" s="89">
        <v>0</v>
      </c>
      <c r="D494" s="45"/>
      <c r="E494" s="89">
        <v>0</v>
      </c>
    </row>
    <row r="495" spans="1:5" ht="16.5" thickBot="1" x14ac:dyDescent="0.25">
      <c r="A495" s="45" t="s">
        <v>369</v>
      </c>
      <c r="B495" s="45"/>
      <c r="C495" s="90">
        <v>0</v>
      </c>
      <c r="D495" s="45"/>
      <c r="E495" s="90">
        <v>0</v>
      </c>
    </row>
    <row r="496" spans="1:5" ht="15.75" x14ac:dyDescent="0.2">
      <c r="A496" s="45"/>
      <c r="B496" s="45"/>
      <c r="C496" s="45"/>
      <c r="D496" s="45"/>
      <c r="E496" s="45"/>
    </row>
    <row r="497" spans="1:5" ht="16.5" thickBot="1" x14ac:dyDescent="0.25">
      <c r="A497" s="45"/>
      <c r="B497" s="45"/>
      <c r="C497" s="91">
        <f>SUM(C493:C496)</f>
        <v>0</v>
      </c>
      <c r="D497" s="45"/>
      <c r="E497" s="91">
        <f>SUM(E493:E496)</f>
        <v>0</v>
      </c>
    </row>
    <row r="498" spans="1:5" ht="63.75" thickTop="1" x14ac:dyDescent="0.2">
      <c r="A498" s="43" t="s">
        <v>628</v>
      </c>
    </row>
    <row r="499" spans="1:5" ht="63" x14ac:dyDescent="0.2">
      <c r="A499" s="43" t="s">
        <v>629</v>
      </c>
    </row>
    <row r="500" spans="1:5" ht="15.75" x14ac:dyDescent="0.2">
      <c r="A500" s="43"/>
    </row>
    <row r="501" spans="1:5" ht="15.75" x14ac:dyDescent="0.2">
      <c r="A501" s="43"/>
    </row>
    <row r="502" spans="1:5" ht="15.75" x14ac:dyDescent="0.2">
      <c r="A502" s="92" t="s">
        <v>370</v>
      </c>
      <c r="B502" s="93" t="s">
        <v>145</v>
      </c>
    </row>
    <row r="503" spans="1:5" ht="16.5" thickBot="1" x14ac:dyDescent="0.25">
      <c r="A503" s="45"/>
      <c r="B503" s="45"/>
      <c r="C503" s="465" t="s">
        <v>188</v>
      </c>
      <c r="D503" s="465"/>
      <c r="E503" s="465"/>
    </row>
    <row r="504" spans="1:5" ht="16.5" thickBot="1" x14ac:dyDescent="0.25">
      <c r="A504" s="45"/>
      <c r="B504" s="45"/>
      <c r="C504" s="46">
        <f>C490</f>
        <v>2020</v>
      </c>
      <c r="D504" s="53"/>
      <c r="E504" s="76">
        <f>E490</f>
        <v>2019</v>
      </c>
    </row>
    <row r="505" spans="1:5" ht="16.5" thickBot="1" x14ac:dyDescent="0.25">
      <c r="A505" s="45"/>
      <c r="B505" s="45"/>
      <c r="C505" s="465" t="s">
        <v>129</v>
      </c>
      <c r="D505" s="465"/>
      <c r="E505" s="465"/>
    </row>
    <row r="506" spans="1:5" ht="15.75" x14ac:dyDescent="0.2">
      <c r="A506" s="75"/>
      <c r="B506" s="45"/>
      <c r="C506" s="45"/>
      <c r="D506" s="94"/>
      <c r="E506" s="78"/>
    </row>
    <row r="507" spans="1:5" ht="15.75" x14ac:dyDescent="0.2">
      <c r="A507" s="75" t="s">
        <v>371</v>
      </c>
      <c r="B507" s="45"/>
      <c r="C507" s="225">
        <f>(-'TB LTD 2021'!F62-'TB LTD 2021'!F63-'TB LTD 2021'!F67-'TB LTD 2021'!F70-'TB LTD 2021'!F71-'TB LTD 2021'!F72-'TB LTD 2021'!F73-'TB LTD 2021'!F74)/1000</f>
        <v>-3.18546</v>
      </c>
      <c r="D507" s="45"/>
      <c r="E507" s="89">
        <v>0</v>
      </c>
    </row>
    <row r="508" spans="1:5" ht="15.75" x14ac:dyDescent="0.2">
      <c r="A508" s="75" t="s">
        <v>511</v>
      </c>
      <c r="B508" s="45"/>
      <c r="C508" s="225">
        <f>(-'TB LTD 2021'!F57-'TB LTD 2021'!F230)/1000</f>
        <v>6.0603899999999999</v>
      </c>
      <c r="D508" s="45"/>
      <c r="E508" s="89">
        <v>0</v>
      </c>
    </row>
    <row r="509" spans="1:5" ht="15.75" x14ac:dyDescent="0.2">
      <c r="A509" s="75" t="s">
        <v>373</v>
      </c>
      <c r="B509" s="45"/>
      <c r="C509" s="225"/>
      <c r="D509" s="45"/>
      <c r="E509" s="89">
        <v>0</v>
      </c>
    </row>
    <row r="510" spans="1:5" ht="15.75" x14ac:dyDescent="0.2">
      <c r="A510" s="75" t="s">
        <v>374</v>
      </c>
      <c r="B510" s="45"/>
      <c r="C510" s="225">
        <f>-'TB LTD 2021'!F75/1000</f>
        <v>-0.105</v>
      </c>
      <c r="D510" s="47"/>
      <c r="E510" s="89">
        <v>0</v>
      </c>
    </row>
    <row r="511" spans="1:5" ht="15.75" x14ac:dyDescent="0.2">
      <c r="A511" s="75" t="s">
        <v>375</v>
      </c>
      <c r="B511" s="45"/>
      <c r="C511" s="225">
        <v>0</v>
      </c>
      <c r="D511" s="47"/>
      <c r="E511" s="89">
        <v>0</v>
      </c>
    </row>
    <row r="512" spans="1:5" ht="16.5" thickBot="1" x14ac:dyDescent="0.25">
      <c r="A512" s="75" t="s">
        <v>376</v>
      </c>
      <c r="B512" s="45"/>
      <c r="C512" s="226">
        <v>0</v>
      </c>
      <c r="D512" s="47"/>
      <c r="E512" s="90">
        <v>0</v>
      </c>
    </row>
    <row r="513" spans="1:5" ht="15.75" x14ac:dyDescent="0.2">
      <c r="A513" s="75"/>
      <c r="B513" s="45"/>
      <c r="C513" s="227"/>
      <c r="D513" s="45"/>
      <c r="E513" s="45"/>
    </row>
    <row r="514" spans="1:5" ht="16.5" thickBot="1" x14ac:dyDescent="0.25">
      <c r="A514" s="75"/>
      <c r="B514" s="45"/>
      <c r="C514" s="228">
        <f>SUM(C507:C513)</f>
        <v>2.76993</v>
      </c>
      <c r="D514" s="45"/>
      <c r="E514" s="91">
        <f>SUM(E507:E513)</f>
        <v>0</v>
      </c>
    </row>
    <row r="515" spans="1:5" ht="16.5" thickTop="1" x14ac:dyDescent="0.2">
      <c r="A515" s="92"/>
      <c r="C515" s="30"/>
    </row>
    <row r="516" spans="1:5" ht="15.75" x14ac:dyDescent="0.2">
      <c r="A516" s="92"/>
    </row>
    <row r="517" spans="1:5" ht="15.75" x14ac:dyDescent="0.2">
      <c r="A517" s="92"/>
    </row>
    <row r="518" spans="1:5" ht="31.5" x14ac:dyDescent="0.2">
      <c r="A518" s="43" t="s">
        <v>377</v>
      </c>
      <c r="B518" s="84" t="s">
        <v>143</v>
      </c>
      <c r="C518">
        <v>0</v>
      </c>
      <c r="E518">
        <v>0</v>
      </c>
    </row>
    <row r="519" spans="1:5" ht="15.75" x14ac:dyDescent="0.2">
      <c r="A519" s="92"/>
    </row>
    <row r="520" spans="1:5" ht="15.75" x14ac:dyDescent="0.2">
      <c r="A520" s="43"/>
    </row>
    <row r="521" spans="1:5" ht="15.75" x14ac:dyDescent="0.2">
      <c r="A521" s="43"/>
    </row>
    <row r="522" spans="1:5" ht="31.5" x14ac:dyDescent="0.2">
      <c r="A522" s="43" t="s">
        <v>378</v>
      </c>
      <c r="B522" s="84" t="s">
        <v>379</v>
      </c>
      <c r="C522">
        <v>0</v>
      </c>
      <c r="E522">
        <v>0</v>
      </c>
    </row>
    <row r="523" spans="1:5" ht="15.75" x14ac:dyDescent="0.2">
      <c r="A523" s="92"/>
    </row>
    <row r="524" spans="1:5" ht="220.5" x14ac:dyDescent="0.2">
      <c r="A524" s="43" t="s">
        <v>213</v>
      </c>
      <c r="B524" s="43" t="s">
        <v>380</v>
      </c>
    </row>
    <row r="525" spans="1:5" ht="15.75" x14ac:dyDescent="0.2">
      <c r="A525" s="43"/>
    </row>
    <row r="526" spans="1:5" ht="31.5" x14ac:dyDescent="0.2">
      <c r="A526" s="43" t="s">
        <v>630</v>
      </c>
    </row>
    <row r="527" spans="1:5" ht="15.75" x14ac:dyDescent="0.2">
      <c r="A527" s="43"/>
    </row>
    <row r="528" spans="1:5" ht="31.5" x14ac:dyDescent="0.2">
      <c r="A528" s="43" t="s">
        <v>631</v>
      </c>
    </row>
    <row r="529" spans="1:9" ht="15.75" x14ac:dyDescent="0.2">
      <c r="A529" s="43"/>
    </row>
    <row r="530" spans="1:9" ht="15.75" x14ac:dyDescent="0.2">
      <c r="A530" s="43"/>
    </row>
    <row r="531" spans="1:9" ht="31.5" x14ac:dyDescent="0.2">
      <c r="A531" s="43" t="s">
        <v>381</v>
      </c>
      <c r="B531" s="220" t="s">
        <v>147</v>
      </c>
    </row>
    <row r="532" spans="1:9" ht="15.75" x14ac:dyDescent="0.2">
      <c r="A532" s="43"/>
    </row>
    <row r="533" spans="1:9" ht="15.75" x14ac:dyDescent="0.2">
      <c r="A533" s="43"/>
    </row>
    <row r="534" spans="1:9" ht="15.75" x14ac:dyDescent="0.2">
      <c r="A534" s="43" t="s">
        <v>382</v>
      </c>
      <c r="B534" s="84" t="s">
        <v>383</v>
      </c>
    </row>
    <row r="535" spans="1:9" ht="15.75" x14ac:dyDescent="0.2">
      <c r="A535" s="43"/>
    </row>
    <row r="536" spans="1:9" ht="31.5" x14ac:dyDescent="0.2">
      <c r="A536" s="43" t="s">
        <v>384</v>
      </c>
    </row>
    <row r="538" spans="1:9" ht="15.75" x14ac:dyDescent="0.2">
      <c r="A538" s="86"/>
    </row>
    <row r="539" spans="1:9" ht="15.75" x14ac:dyDescent="0.2">
      <c r="A539" s="92"/>
    </row>
    <row r="540" spans="1:9" ht="15.75" x14ac:dyDescent="0.2">
      <c r="A540" s="92"/>
    </row>
    <row r="541" spans="1:9" ht="15.75" x14ac:dyDescent="0.2">
      <c r="A541" s="221" t="s">
        <v>385</v>
      </c>
      <c r="B541" s="222" t="s">
        <v>150</v>
      </c>
    </row>
    <row r="542" spans="1:9" ht="15.75" x14ac:dyDescent="0.2">
      <c r="A542" s="92"/>
    </row>
    <row r="543" spans="1:9" ht="15.75" x14ac:dyDescent="0.2">
      <c r="A543" s="92" t="s">
        <v>386</v>
      </c>
    </row>
    <row r="544" spans="1:9" ht="16.5" thickBot="1" x14ac:dyDescent="0.25">
      <c r="A544" s="75"/>
      <c r="B544" s="45"/>
      <c r="C544" s="465" t="s">
        <v>188</v>
      </c>
      <c r="D544" s="465"/>
      <c r="E544" s="465"/>
      <c r="F544" s="465"/>
      <c r="G544" s="465"/>
      <c r="H544" s="465"/>
      <c r="I544" s="465"/>
    </row>
    <row r="545" spans="1:9" ht="16.5" thickBot="1" x14ac:dyDescent="0.25">
      <c r="A545" s="75"/>
      <c r="B545" s="45"/>
      <c r="C545" s="471">
        <f>C504</f>
        <v>2020</v>
      </c>
      <c r="D545" s="471"/>
      <c r="E545" s="471"/>
      <c r="F545" s="53"/>
      <c r="G545" s="471">
        <f>E504</f>
        <v>2019</v>
      </c>
      <c r="H545" s="471"/>
      <c r="I545" s="471"/>
    </row>
    <row r="546" spans="1:9" ht="15.75" x14ac:dyDescent="0.2">
      <c r="A546" s="472"/>
      <c r="B546" s="473"/>
      <c r="C546" s="47"/>
      <c r="D546" s="474"/>
      <c r="E546" s="53" t="s">
        <v>388</v>
      </c>
      <c r="F546" s="467"/>
      <c r="G546" s="47"/>
      <c r="H546" s="474"/>
      <c r="I546" s="47" t="s">
        <v>388</v>
      </c>
    </row>
    <row r="547" spans="1:9" ht="16.5" thickBot="1" x14ac:dyDescent="0.25">
      <c r="A547" s="472"/>
      <c r="B547" s="473"/>
      <c r="C547" s="46" t="s">
        <v>387</v>
      </c>
      <c r="D547" s="467"/>
      <c r="E547" s="46" t="s">
        <v>389</v>
      </c>
      <c r="F547" s="467"/>
      <c r="G547" s="46" t="s">
        <v>387</v>
      </c>
      <c r="H547" s="467"/>
      <c r="I547" s="46" t="s">
        <v>389</v>
      </c>
    </row>
    <row r="548" spans="1:9" ht="16.5" thickBot="1" x14ac:dyDescent="0.25">
      <c r="A548" s="75"/>
      <c r="B548" s="45"/>
      <c r="C548" s="465" t="s">
        <v>390</v>
      </c>
      <c r="D548" s="465"/>
      <c r="E548" s="465"/>
      <c r="F548" s="47"/>
      <c r="G548" s="465" t="s">
        <v>390</v>
      </c>
      <c r="H548" s="465"/>
      <c r="I548" s="465"/>
    </row>
    <row r="549" spans="1:9" ht="15.75" x14ac:dyDescent="0.2">
      <c r="A549" s="75"/>
      <c r="B549" s="45"/>
      <c r="C549" s="45"/>
      <c r="D549" s="94"/>
      <c r="E549" s="94"/>
      <c r="F549" s="45"/>
      <c r="G549" s="45"/>
      <c r="H549" s="94"/>
      <c r="I549" s="94"/>
    </row>
    <row r="550" spans="1:9" ht="15.75" x14ac:dyDescent="0.2">
      <c r="A550" s="75" t="s">
        <v>391</v>
      </c>
      <c r="B550" s="45"/>
      <c r="C550" s="75"/>
      <c r="D550" s="75"/>
      <c r="E550" s="75"/>
      <c r="F550" s="75"/>
      <c r="G550" s="75"/>
      <c r="H550" s="75"/>
      <c r="I550" s="75"/>
    </row>
    <row r="551" spans="1:9" ht="16.5" thickBot="1" x14ac:dyDescent="0.25">
      <c r="A551" s="75"/>
      <c r="B551" s="45"/>
      <c r="C551" s="75"/>
      <c r="D551" s="75"/>
      <c r="E551" s="75"/>
      <c r="F551" s="75"/>
      <c r="G551" s="95"/>
      <c r="H551" s="75"/>
      <c r="I551" s="95"/>
    </row>
    <row r="552" spans="1:9" ht="15.75" x14ac:dyDescent="0.2">
      <c r="A552" s="75"/>
      <c r="B552" s="45"/>
      <c r="C552" s="78"/>
      <c r="D552" s="75"/>
      <c r="E552" s="78"/>
      <c r="F552" s="75"/>
      <c r="G552" s="75"/>
      <c r="H552" s="75"/>
      <c r="I552" s="75"/>
    </row>
    <row r="553" spans="1:9" ht="15.75" x14ac:dyDescent="0.2">
      <c r="A553" s="75" t="s">
        <v>392</v>
      </c>
      <c r="B553" s="473"/>
      <c r="C553" s="472"/>
      <c r="D553" s="472"/>
      <c r="E553" s="472"/>
      <c r="F553" s="472"/>
      <c r="G553" s="472"/>
      <c r="H553" s="472"/>
      <c r="I553" s="472"/>
    </row>
    <row r="554" spans="1:9" ht="16.5" thickBot="1" x14ac:dyDescent="0.25">
      <c r="A554" s="75" t="s">
        <v>393</v>
      </c>
      <c r="B554" s="473"/>
      <c r="C554" s="475"/>
      <c r="D554" s="472"/>
      <c r="E554" s="475"/>
      <c r="F554" s="472"/>
      <c r="G554" s="475"/>
      <c r="H554" s="472"/>
      <c r="I554" s="475"/>
    </row>
    <row r="555" spans="1:9" ht="15.75" x14ac:dyDescent="0.2">
      <c r="A555" s="75"/>
      <c r="B555" s="45"/>
      <c r="C555" s="78"/>
      <c r="D555" s="75"/>
      <c r="E555" s="78"/>
      <c r="F555" s="75"/>
      <c r="G555" s="75"/>
      <c r="H555" s="75"/>
      <c r="I555" s="75"/>
    </row>
    <row r="556" spans="1:9" ht="15.75" x14ac:dyDescent="0.2">
      <c r="A556" s="75" t="s">
        <v>394</v>
      </c>
      <c r="B556" s="473"/>
      <c r="C556" s="472"/>
      <c r="D556" s="472"/>
      <c r="E556" s="472"/>
      <c r="F556" s="472"/>
      <c r="G556" s="472"/>
      <c r="H556" s="472"/>
      <c r="I556" s="472"/>
    </row>
    <row r="557" spans="1:9" ht="16.5" thickBot="1" x14ac:dyDescent="0.25">
      <c r="A557" s="75" t="s">
        <v>393</v>
      </c>
      <c r="B557" s="473"/>
      <c r="C557" s="475"/>
      <c r="D557" s="472"/>
      <c r="E557" s="475"/>
      <c r="F557" s="472"/>
      <c r="G557" s="475"/>
      <c r="H557" s="472"/>
      <c r="I557" s="475"/>
    </row>
    <row r="558" spans="1:9" ht="15.75" x14ac:dyDescent="0.2">
      <c r="A558" s="43"/>
    </row>
    <row r="559" spans="1:9" ht="15.75" x14ac:dyDescent="0.2">
      <c r="A559" s="84" t="s">
        <v>395</v>
      </c>
    </row>
    <row r="560" spans="1:9" ht="15.75" x14ac:dyDescent="0.2">
      <c r="A560" s="43"/>
    </row>
    <row r="561" spans="1:2" ht="47.25" x14ac:dyDescent="0.2">
      <c r="A561" s="43" t="s">
        <v>396</v>
      </c>
    </row>
    <row r="562" spans="1:2" ht="15.75" x14ac:dyDescent="0.2">
      <c r="A562" s="43"/>
    </row>
    <row r="563" spans="1:2" ht="15.75" x14ac:dyDescent="0.2">
      <c r="A563" s="43" t="s">
        <v>397</v>
      </c>
      <c r="B563" s="220" t="s">
        <v>398</v>
      </c>
    </row>
    <row r="564" spans="1:2" ht="15.75" x14ac:dyDescent="0.2">
      <c r="A564" s="43"/>
    </row>
    <row r="565" spans="1:2" ht="15.75" x14ac:dyDescent="0.2">
      <c r="A565" s="43"/>
    </row>
    <row r="566" spans="1:2" ht="15.75" x14ac:dyDescent="0.2">
      <c r="A566" s="43"/>
    </row>
    <row r="567" spans="1:2" ht="15.75" x14ac:dyDescent="0.2">
      <c r="A567" s="43"/>
    </row>
    <row r="568" spans="1:2" ht="15.75" x14ac:dyDescent="0.2">
      <c r="A568" s="43"/>
    </row>
    <row r="569" spans="1:2" ht="15.75" x14ac:dyDescent="0.2">
      <c r="A569" s="43" t="s">
        <v>399</v>
      </c>
      <c r="B569" s="84" t="s">
        <v>326</v>
      </c>
    </row>
    <row r="570" spans="1:2" ht="15.75" x14ac:dyDescent="0.2">
      <c r="A570" s="43"/>
    </row>
    <row r="571" spans="1:2" ht="15.75" x14ac:dyDescent="0.2">
      <c r="A571" s="84" t="s">
        <v>400</v>
      </c>
    </row>
    <row r="572" spans="1:2" ht="15.75" x14ac:dyDescent="0.2">
      <c r="A572" s="43"/>
    </row>
    <row r="573" spans="1:2" ht="31.5" x14ac:dyDescent="0.2">
      <c r="A573" s="43" t="s">
        <v>632</v>
      </c>
    </row>
    <row r="574" spans="1:2" ht="15.75" x14ac:dyDescent="0.2">
      <c r="A574" s="43"/>
    </row>
    <row r="575" spans="1:2" ht="78.75" x14ac:dyDescent="0.2">
      <c r="A575" s="43" t="s">
        <v>401</v>
      </c>
    </row>
    <row r="576" spans="1:2" ht="15.75" x14ac:dyDescent="0.2">
      <c r="A576" s="43"/>
    </row>
    <row r="577" spans="1:2" ht="15.75" x14ac:dyDescent="0.2">
      <c r="A577" s="43" t="s">
        <v>213</v>
      </c>
      <c r="B577" s="84" t="s">
        <v>402</v>
      </c>
    </row>
    <row r="578" spans="1:2" ht="15.75" x14ac:dyDescent="0.2">
      <c r="A578" s="43"/>
    </row>
    <row r="579" spans="1:2" ht="15.75" x14ac:dyDescent="0.2">
      <c r="A579" s="43" t="s">
        <v>403</v>
      </c>
    </row>
    <row r="580" spans="1:2" ht="15.75" x14ac:dyDescent="0.2">
      <c r="A580" s="43"/>
    </row>
    <row r="581" spans="1:2" ht="15.75" x14ac:dyDescent="0.2">
      <c r="A581" s="43" t="s">
        <v>221</v>
      </c>
      <c r="B581" s="84" t="s">
        <v>404</v>
      </c>
    </row>
    <row r="582" spans="1:2" ht="15.75" x14ac:dyDescent="0.2">
      <c r="A582" s="43"/>
    </row>
    <row r="583" spans="1:2" ht="31.5" x14ac:dyDescent="0.2">
      <c r="A583" s="43" t="s">
        <v>633</v>
      </c>
    </row>
    <row r="585" spans="1:2" x14ac:dyDescent="0.2">
      <c r="A585" s="188"/>
    </row>
    <row r="586" spans="1:2" ht="15.75" x14ac:dyDescent="0.2">
      <c r="A586" s="43"/>
    </row>
    <row r="587" spans="1:2" ht="15.75" x14ac:dyDescent="0.2">
      <c r="A587" s="43"/>
    </row>
    <row r="588" spans="1:2" ht="15.75" x14ac:dyDescent="0.2">
      <c r="A588" s="43" t="s">
        <v>399</v>
      </c>
      <c r="B588" s="84" t="s">
        <v>405</v>
      </c>
    </row>
    <row r="589" spans="1:2" ht="15.75" x14ac:dyDescent="0.2">
      <c r="A589" s="43"/>
    </row>
    <row r="590" spans="1:2" ht="15.75" x14ac:dyDescent="0.2">
      <c r="A590" s="43" t="s">
        <v>269</v>
      </c>
      <c r="B590" s="84" t="s">
        <v>330</v>
      </c>
    </row>
    <row r="591" spans="1:2" ht="15.75" x14ac:dyDescent="0.2">
      <c r="A591" s="43"/>
    </row>
    <row r="592" spans="1:2" ht="31.5" x14ac:dyDescent="0.2">
      <c r="A592" s="43" t="s">
        <v>406</v>
      </c>
    </row>
    <row r="593" spans="1:5" ht="15.75" x14ac:dyDescent="0.2">
      <c r="A593" s="43"/>
    </row>
    <row r="594" spans="1:5" ht="15.75" x14ac:dyDescent="0.2">
      <c r="A594" s="43"/>
    </row>
    <row r="595" spans="1:5" ht="31.5" x14ac:dyDescent="0.2">
      <c r="A595" s="43" t="s">
        <v>399</v>
      </c>
      <c r="B595" s="84" t="s">
        <v>407</v>
      </c>
    </row>
    <row r="596" spans="1:5" ht="15.75" x14ac:dyDescent="0.2">
      <c r="A596" s="43"/>
    </row>
    <row r="597" spans="1:5" ht="15.75" x14ac:dyDescent="0.2">
      <c r="A597" s="43" t="s">
        <v>213</v>
      </c>
      <c r="B597" s="84" t="s">
        <v>163</v>
      </c>
    </row>
    <row r="598" spans="1:5" ht="16.5" thickBot="1" x14ac:dyDescent="0.25">
      <c r="A598" s="45"/>
      <c r="B598" s="45"/>
      <c r="C598" s="465" t="s">
        <v>188</v>
      </c>
      <c r="D598" s="465"/>
      <c r="E598" s="465"/>
    </row>
    <row r="599" spans="1:5" ht="16.5" thickBot="1" x14ac:dyDescent="0.25">
      <c r="A599" s="45"/>
      <c r="B599" s="45"/>
      <c r="C599" s="46">
        <f>C545</f>
        <v>2020</v>
      </c>
      <c r="D599" s="53"/>
      <c r="E599" s="76">
        <f>G545</f>
        <v>2019</v>
      </c>
    </row>
    <row r="600" spans="1:5" ht="16.5" thickBot="1" x14ac:dyDescent="0.25">
      <c r="A600" s="45"/>
      <c r="B600" s="45"/>
      <c r="C600" s="465" t="s">
        <v>129</v>
      </c>
      <c r="D600" s="465"/>
      <c r="E600" s="465"/>
    </row>
    <row r="601" spans="1:5" ht="15.75" x14ac:dyDescent="0.2">
      <c r="A601" s="75"/>
      <c r="B601" s="45"/>
      <c r="C601" s="45"/>
      <c r="D601" s="94"/>
      <c r="E601" s="78"/>
    </row>
    <row r="602" spans="1:5" ht="15.75" x14ac:dyDescent="0.2">
      <c r="A602" s="75" t="s">
        <v>408</v>
      </c>
      <c r="B602" s="45"/>
      <c r="C602" s="186">
        <f>(SUM('TB LTD 2021'!F122:F137)+'TB LTD 2021'!F100)/1000</f>
        <v>1546.9243310857212</v>
      </c>
      <c r="D602" s="45"/>
      <c r="E602" s="89">
        <v>0</v>
      </c>
    </row>
    <row r="603" spans="1:5" ht="15.75" x14ac:dyDescent="0.2">
      <c r="A603" s="75" t="s">
        <v>409</v>
      </c>
      <c r="B603" s="45"/>
      <c r="C603" s="186">
        <f>'TB LTD 2021'!F228/1000</f>
        <v>0</v>
      </c>
      <c r="D603" s="45"/>
      <c r="E603" s="89">
        <v>0</v>
      </c>
    </row>
    <row r="604" spans="1:5" ht="15.75" x14ac:dyDescent="0.2">
      <c r="A604" s="75" t="s">
        <v>410</v>
      </c>
      <c r="B604" s="45"/>
      <c r="C604" s="186">
        <f>('TB LTD 2021'!F106+'TB LTD 2021'!F165+'TB LTD 2021'!F166)/1000</f>
        <v>38.276020000000003</v>
      </c>
      <c r="D604" s="45"/>
      <c r="E604" s="89">
        <v>0</v>
      </c>
    </row>
    <row r="605" spans="1:5" ht="15.75" x14ac:dyDescent="0.2">
      <c r="A605" s="75" t="s">
        <v>411</v>
      </c>
      <c r="B605" s="45"/>
      <c r="C605" s="186">
        <f>'Allocation - G&amp;A'!C6*5/6/1000</f>
        <v>161.84186666666668</v>
      </c>
      <c r="D605" s="45"/>
      <c r="E605" s="89">
        <v>0</v>
      </c>
    </row>
    <row r="606" spans="1:5" ht="15.75" x14ac:dyDescent="0.2">
      <c r="A606" s="75" t="s">
        <v>412</v>
      </c>
      <c r="B606" s="45"/>
      <c r="C606" s="89">
        <v>0</v>
      </c>
      <c r="D606" s="45"/>
      <c r="E606" s="89">
        <v>0</v>
      </c>
    </row>
    <row r="607" spans="1:5" ht="15.75" x14ac:dyDescent="0.2">
      <c r="A607" s="75" t="s">
        <v>413</v>
      </c>
      <c r="B607" s="45"/>
      <c r="C607" s="89">
        <v>0</v>
      </c>
      <c r="D607" s="45"/>
      <c r="E607" s="89">
        <v>0</v>
      </c>
    </row>
    <row r="608" spans="1:5" ht="15.75" x14ac:dyDescent="0.2">
      <c r="A608" s="75" t="s">
        <v>190</v>
      </c>
      <c r="B608" s="45"/>
      <c r="C608" s="89">
        <v>0</v>
      </c>
      <c r="D608" s="45"/>
      <c r="E608" s="89">
        <v>0</v>
      </c>
    </row>
    <row r="609" spans="1:5" ht="15.75" x14ac:dyDescent="0.2">
      <c r="A609" s="75" t="s">
        <v>414</v>
      </c>
      <c r="B609" s="45"/>
      <c r="C609" s="89">
        <v>0</v>
      </c>
      <c r="D609" s="45"/>
      <c r="E609" s="89">
        <v>0</v>
      </c>
    </row>
    <row r="610" spans="1:5" ht="15.75" x14ac:dyDescent="0.2">
      <c r="A610" s="75" t="s">
        <v>415</v>
      </c>
      <c r="B610" s="45"/>
      <c r="C610" s="186">
        <f>('TB LTD 2021'!F99+'TB LTD 2021'!F103+'TB LTD 2021'!F107+'TB LTD 2021'!F167+'TB LTD 2021'!F168+'TB LTD 2021'!F226+'TB LTD 2021'!F164+'TB LTD 2021'!F105)/1000-'Allocation - G&amp;A'!C6*5/6/1000</f>
        <v>83.183843333333357</v>
      </c>
      <c r="D610" s="45"/>
      <c r="E610" s="89">
        <v>0</v>
      </c>
    </row>
    <row r="611" spans="1:5" ht="16.5" thickBot="1" x14ac:dyDescent="0.25">
      <c r="A611" s="75" t="s">
        <v>416</v>
      </c>
      <c r="B611" s="45"/>
      <c r="C611" s="90">
        <v>0</v>
      </c>
      <c r="D611" s="45"/>
      <c r="E611" s="90">
        <v>0</v>
      </c>
    </row>
    <row r="612" spans="1:5" ht="15.75" x14ac:dyDescent="0.2">
      <c r="A612" s="75"/>
      <c r="B612" s="45"/>
      <c r="C612" s="89"/>
      <c r="D612" s="45"/>
      <c r="E612" s="89"/>
    </row>
    <row r="613" spans="1:5" ht="16.5" thickBot="1" x14ac:dyDescent="0.25">
      <c r="A613" s="75"/>
      <c r="B613" s="45"/>
      <c r="C613" s="187">
        <f>SUM(C602:C612)</f>
        <v>1830.2260610857211</v>
      </c>
      <c r="D613" s="45"/>
      <c r="E613" s="91">
        <f>SUM(E602:E612)</f>
        <v>0</v>
      </c>
    </row>
    <row r="614" spans="1:5" ht="16.5" thickTop="1" x14ac:dyDescent="0.2">
      <c r="A614" s="43"/>
    </row>
    <row r="616" spans="1:5" ht="15.75" x14ac:dyDescent="0.2">
      <c r="A616" s="86"/>
    </row>
    <row r="617" spans="1:5" ht="15.75" x14ac:dyDescent="0.2">
      <c r="A617" s="43"/>
    </row>
    <row r="618" spans="1:5" ht="15.75" x14ac:dyDescent="0.2">
      <c r="A618" s="43"/>
    </row>
    <row r="619" spans="1:5" ht="31.5" x14ac:dyDescent="0.2">
      <c r="A619" s="43" t="s">
        <v>399</v>
      </c>
      <c r="B619" s="84" t="s">
        <v>417</v>
      </c>
    </row>
    <row r="620" spans="1:5" ht="15.75" x14ac:dyDescent="0.2">
      <c r="A620" s="43"/>
    </row>
    <row r="621" spans="1:5" ht="15.75" x14ac:dyDescent="0.2">
      <c r="A621" s="43" t="s">
        <v>221</v>
      </c>
      <c r="B621" s="84" t="s">
        <v>165</v>
      </c>
    </row>
    <row r="622" spans="1:5" ht="15.75" customHeight="1" x14ac:dyDescent="0.2">
      <c r="A622" s="473"/>
      <c r="B622" s="473"/>
      <c r="C622" s="467" t="s">
        <v>158</v>
      </c>
      <c r="D622" s="467"/>
      <c r="E622" s="467"/>
    </row>
    <row r="623" spans="1:5" ht="16.5" thickBot="1" x14ac:dyDescent="0.25">
      <c r="A623" s="473"/>
      <c r="B623" s="473"/>
      <c r="C623" s="465" t="s">
        <v>188</v>
      </c>
      <c r="D623" s="465"/>
      <c r="E623" s="465"/>
    </row>
    <row r="624" spans="1:5" ht="16.5" thickBot="1" x14ac:dyDescent="0.25">
      <c r="A624" s="45"/>
      <c r="B624" s="45"/>
      <c r="C624" s="46">
        <f>C599</f>
        <v>2020</v>
      </c>
      <c r="D624" s="53"/>
      <c r="E624" s="76">
        <f>E599</f>
        <v>2019</v>
      </c>
    </row>
    <row r="625" spans="1:5" ht="16.5" thickBot="1" x14ac:dyDescent="0.25">
      <c r="A625" s="45"/>
      <c r="B625" s="45"/>
      <c r="C625" s="465" t="s">
        <v>129</v>
      </c>
      <c r="D625" s="465"/>
      <c r="E625" s="465"/>
    </row>
    <row r="626" spans="1:5" ht="15.75" x14ac:dyDescent="0.2">
      <c r="A626" s="75"/>
      <c r="B626" s="45"/>
      <c r="C626" s="45"/>
      <c r="D626" s="94"/>
      <c r="E626" s="78"/>
    </row>
    <row r="627" spans="1:5" ht="15.75" x14ac:dyDescent="0.2">
      <c r="A627" s="75" t="s">
        <v>408</v>
      </c>
      <c r="B627" s="45"/>
      <c r="C627" s="186">
        <f>(SUM('TB LTD 2021'!F201:F214)+'TB LTD 2021'!F177)/1000</f>
        <v>161.82517096740855</v>
      </c>
      <c r="D627" s="45"/>
      <c r="E627" s="89">
        <v>0</v>
      </c>
    </row>
    <row r="628" spans="1:5" ht="15.75" x14ac:dyDescent="0.2">
      <c r="A628" s="75" t="s">
        <v>418</v>
      </c>
      <c r="B628" s="45"/>
      <c r="C628" s="186">
        <f>('TB LTD 2021'!F169+'TB LTD 2021'!F172+'TB LTD 2021'!F173+'TB LTD 2021'!F182+'TB LTD 2021'!F185)/1000</f>
        <v>45.706900000000005</v>
      </c>
      <c r="D628" s="45"/>
      <c r="E628" s="89">
        <v>0</v>
      </c>
    </row>
    <row r="629" spans="1:5" ht="15.75" x14ac:dyDescent="0.2">
      <c r="A629" s="75" t="s">
        <v>411</v>
      </c>
      <c r="B629" s="45"/>
      <c r="C629" s="186">
        <f>'TB LTD 2021'!F178/1000*1/6</f>
        <v>1.9238333333333333E-2</v>
      </c>
      <c r="D629" s="45"/>
      <c r="E629" s="89">
        <v>0</v>
      </c>
    </row>
    <row r="630" spans="1:5" ht="15.75" x14ac:dyDescent="0.2">
      <c r="A630" s="75" t="s">
        <v>190</v>
      </c>
      <c r="B630" s="45"/>
      <c r="C630" s="186">
        <f>('TB LTD 2021'!F216+'TB LTD 2021'!F217)/1000</f>
        <v>0</v>
      </c>
      <c r="D630" s="45"/>
      <c r="E630" s="89">
        <v>0</v>
      </c>
    </row>
    <row r="631" spans="1:5" ht="15.75" x14ac:dyDescent="0.2">
      <c r="A631" s="75" t="s">
        <v>419</v>
      </c>
      <c r="B631" s="45"/>
      <c r="C631" s="89">
        <v>0</v>
      </c>
      <c r="D631" s="45"/>
      <c r="E631" s="89">
        <v>0</v>
      </c>
    </row>
    <row r="632" spans="1:5" ht="15.75" x14ac:dyDescent="0.2">
      <c r="A632" s="75" t="s">
        <v>409</v>
      </c>
      <c r="B632" s="45"/>
      <c r="C632" s="186">
        <f>'TB LTD 2021'!F227/1000</f>
        <v>0</v>
      </c>
      <c r="D632" s="45"/>
      <c r="E632" s="89"/>
    </row>
    <row r="633" spans="1:5" ht="15.75" x14ac:dyDescent="0.2">
      <c r="A633" s="75" t="s">
        <v>413</v>
      </c>
      <c r="B633" s="45"/>
      <c r="C633" s="186" t="e">
        <f>SUM('TB LTD 2021'!#REF!)/1000</f>
        <v>#REF!</v>
      </c>
      <c r="D633" s="45"/>
      <c r="E633" s="89"/>
    </row>
    <row r="634" spans="1:5" ht="16.5" thickBot="1" x14ac:dyDescent="0.25">
      <c r="A634" s="75" t="s">
        <v>415</v>
      </c>
      <c r="B634" s="45"/>
      <c r="C634" s="189" t="e">
        <f>C638-SUM(C627:C633)</f>
        <v>#REF!</v>
      </c>
      <c r="D634" s="45"/>
      <c r="E634" s="90">
        <v>0</v>
      </c>
    </row>
    <row r="635" spans="1:5" ht="15.75" x14ac:dyDescent="0.2">
      <c r="A635" s="75"/>
      <c r="B635" s="45"/>
      <c r="C635" s="89"/>
      <c r="D635" s="45"/>
      <c r="E635" s="89"/>
    </row>
    <row r="636" spans="1:5" ht="15.75" x14ac:dyDescent="0.2">
      <c r="A636" s="75"/>
      <c r="B636" s="45"/>
      <c r="C636" s="89"/>
      <c r="D636" s="45"/>
      <c r="E636" s="89"/>
    </row>
    <row r="637" spans="1:5" ht="15.75" x14ac:dyDescent="0.2">
      <c r="A637" s="75"/>
      <c r="B637" s="45"/>
      <c r="C637" s="96"/>
      <c r="D637" s="45"/>
      <c r="E637" s="96"/>
    </row>
    <row r="638" spans="1:5" ht="16.5" thickBot="1" x14ac:dyDescent="0.25">
      <c r="A638" s="75"/>
      <c r="B638" s="45"/>
      <c r="C638" s="187">
        <f>SUMIF('TB LTD 2021'!A:A,55,'TB LTD 2021'!F:F)/1000</f>
        <v>1479.4539089410935</v>
      </c>
      <c r="D638" s="45"/>
      <c r="E638" s="91">
        <f>SUM(E627:E637)</f>
        <v>0</v>
      </c>
    </row>
    <row r="639" spans="1:5" ht="16.5" thickTop="1" x14ac:dyDescent="0.2">
      <c r="A639" s="43"/>
    </row>
    <row r="640" spans="1:5" ht="15.75" x14ac:dyDescent="0.2">
      <c r="A640" s="43"/>
    </row>
    <row r="641" spans="1:5" ht="31.5" x14ac:dyDescent="0.2">
      <c r="A641" s="43" t="s">
        <v>420</v>
      </c>
      <c r="B641" s="84" t="s">
        <v>421</v>
      </c>
    </row>
    <row r="642" spans="1:5" ht="15.75" x14ac:dyDescent="0.2">
      <c r="A642" s="43"/>
    </row>
    <row r="643" spans="1:5" ht="15.75" x14ac:dyDescent="0.2">
      <c r="A643" s="43" t="s">
        <v>213</v>
      </c>
      <c r="B643" s="84" t="s">
        <v>422</v>
      </c>
    </row>
    <row r="644" spans="1:5" ht="15.75" x14ac:dyDescent="0.2">
      <c r="A644" s="43"/>
    </row>
    <row r="645" spans="1:5" ht="16.5" thickBot="1" x14ac:dyDescent="0.25">
      <c r="A645" s="75"/>
      <c r="B645" s="47"/>
      <c r="C645" s="465" t="s">
        <v>188</v>
      </c>
      <c r="D645" s="465"/>
      <c r="E645" s="465"/>
    </row>
    <row r="646" spans="1:5" ht="16.5" thickBot="1" x14ac:dyDescent="0.25">
      <c r="A646" s="75"/>
      <c r="B646" s="47"/>
      <c r="C646" s="46">
        <f>C624</f>
        <v>2020</v>
      </c>
      <c r="D646" s="47"/>
      <c r="E646" s="46">
        <f>E624</f>
        <v>2019</v>
      </c>
    </row>
    <row r="647" spans="1:5" ht="16.5" thickBot="1" x14ac:dyDescent="0.25">
      <c r="A647" s="75"/>
      <c r="B647" s="47"/>
      <c r="C647" s="465" t="s">
        <v>129</v>
      </c>
      <c r="D647" s="465"/>
      <c r="E647" s="465"/>
    </row>
    <row r="648" spans="1:5" ht="15.75" x14ac:dyDescent="0.2">
      <c r="A648" s="97"/>
      <c r="B648" s="60"/>
      <c r="C648" s="60"/>
      <c r="D648" s="45"/>
      <c r="E648" s="97"/>
    </row>
    <row r="649" spans="1:5" ht="15.75" x14ac:dyDescent="0.2">
      <c r="A649" s="75" t="s">
        <v>423</v>
      </c>
      <c r="B649" s="60"/>
      <c r="C649" s="75">
        <v>0</v>
      </c>
      <c r="D649" s="75"/>
      <c r="E649" s="75">
        <v>0</v>
      </c>
    </row>
    <row r="650" spans="1:5" ht="15.75" x14ac:dyDescent="0.2">
      <c r="A650" s="75"/>
      <c r="B650" s="60"/>
      <c r="C650" s="75"/>
      <c r="D650" s="75"/>
      <c r="E650" s="75"/>
    </row>
    <row r="651" spans="1:5" ht="15.75" x14ac:dyDescent="0.2">
      <c r="A651" s="75" t="s">
        <v>424</v>
      </c>
      <c r="B651" s="60"/>
      <c r="C651" s="75">
        <v>0</v>
      </c>
      <c r="D651" s="75"/>
      <c r="E651" s="75">
        <v>0</v>
      </c>
    </row>
    <row r="652" spans="1:5" ht="15.75" x14ac:dyDescent="0.2">
      <c r="A652" s="97"/>
      <c r="B652" s="60"/>
      <c r="C652" s="60"/>
      <c r="D652" s="60"/>
      <c r="E652" s="60"/>
    </row>
    <row r="653" spans="1:5" ht="31.5" x14ac:dyDescent="0.2">
      <c r="A653" s="43">
        <v>-1</v>
      </c>
      <c r="B653" s="43" t="s">
        <v>425</v>
      </c>
    </row>
    <row r="654" spans="1:5" ht="15.75" x14ac:dyDescent="0.2">
      <c r="A654" s="43"/>
    </row>
    <row r="655" spans="1:5" ht="78.75" x14ac:dyDescent="0.2">
      <c r="A655" s="43">
        <v>-2</v>
      </c>
      <c r="B655" s="43" t="s">
        <v>426</v>
      </c>
    </row>
    <row r="657" spans="1:5" ht="15.75" x14ac:dyDescent="0.2">
      <c r="A657" s="86"/>
    </row>
    <row r="658" spans="1:5" ht="15.75" x14ac:dyDescent="0.2">
      <c r="A658" s="43"/>
    </row>
    <row r="659" spans="1:5" ht="15.75" x14ac:dyDescent="0.2">
      <c r="A659" s="43"/>
    </row>
    <row r="660" spans="1:5" ht="31.5" x14ac:dyDescent="0.2">
      <c r="A660" s="43" t="s">
        <v>420</v>
      </c>
      <c r="B660" s="84" t="s">
        <v>427</v>
      </c>
    </row>
    <row r="661" spans="1:5" ht="15.75" x14ac:dyDescent="0.2">
      <c r="A661" s="43"/>
    </row>
    <row r="662" spans="1:5" ht="15.75" x14ac:dyDescent="0.2">
      <c r="A662" s="43" t="s">
        <v>221</v>
      </c>
      <c r="B662" s="84" t="s">
        <v>428</v>
      </c>
    </row>
    <row r="663" spans="1:5" ht="15.75" customHeight="1" x14ac:dyDescent="0.2">
      <c r="A663" s="473"/>
      <c r="B663" s="473"/>
      <c r="C663" s="467" t="s">
        <v>158</v>
      </c>
      <c r="D663" s="467"/>
      <c r="E663" s="467"/>
    </row>
    <row r="664" spans="1:5" ht="16.5" thickBot="1" x14ac:dyDescent="0.25">
      <c r="A664" s="473"/>
      <c r="B664" s="473"/>
      <c r="C664" s="465" t="s">
        <v>188</v>
      </c>
      <c r="D664" s="465"/>
      <c r="E664" s="465"/>
    </row>
    <row r="665" spans="1:5" ht="16.5" thickBot="1" x14ac:dyDescent="0.25">
      <c r="A665" s="45"/>
      <c r="B665" s="45"/>
      <c r="C665" s="46">
        <f>C646</f>
        <v>2020</v>
      </c>
      <c r="D665" s="53"/>
      <c r="E665" s="76">
        <f>E646</f>
        <v>2019</v>
      </c>
    </row>
    <row r="666" spans="1:5" ht="16.5" thickBot="1" x14ac:dyDescent="0.25">
      <c r="A666" s="45"/>
      <c r="B666" s="45"/>
      <c r="C666" s="465" t="s">
        <v>129</v>
      </c>
      <c r="D666" s="465"/>
      <c r="E666" s="465"/>
    </row>
    <row r="667" spans="1:5" ht="15.75" x14ac:dyDescent="0.2">
      <c r="A667" s="75"/>
      <c r="B667" s="45"/>
      <c r="C667" s="45"/>
      <c r="D667" s="94"/>
      <c r="E667" s="78"/>
    </row>
    <row r="668" spans="1:5" ht="15.75" x14ac:dyDescent="0.2">
      <c r="A668" s="75" t="s">
        <v>429</v>
      </c>
      <c r="B668" s="45"/>
      <c r="C668" s="45">
        <v>0</v>
      </c>
      <c r="D668" s="45"/>
      <c r="E668" s="45">
        <v>0</v>
      </c>
    </row>
    <row r="669" spans="1:5" ht="15.75" x14ac:dyDescent="0.2">
      <c r="A669" s="75"/>
      <c r="B669" s="45"/>
      <c r="C669" s="89"/>
      <c r="D669" s="45"/>
      <c r="E669" s="89"/>
    </row>
    <row r="670" spans="1:5" ht="15.75" x14ac:dyDescent="0.2">
      <c r="A670" s="75" t="s">
        <v>430</v>
      </c>
      <c r="B670" s="45"/>
      <c r="C670" s="45">
        <v>0</v>
      </c>
      <c r="D670" s="45"/>
      <c r="E670" s="45">
        <v>0</v>
      </c>
    </row>
    <row r="671" spans="1:5" ht="15.75" x14ac:dyDescent="0.2">
      <c r="A671" s="75"/>
      <c r="B671" s="45"/>
      <c r="C671" s="89"/>
      <c r="D671" s="45"/>
      <c r="E671" s="89"/>
    </row>
    <row r="672" spans="1:5" ht="15.75" x14ac:dyDescent="0.2">
      <c r="A672" s="75" t="s">
        <v>431</v>
      </c>
      <c r="B672" s="45"/>
      <c r="C672" s="45">
        <v>0</v>
      </c>
      <c r="D672" s="45"/>
      <c r="E672" s="45">
        <v>0</v>
      </c>
    </row>
    <row r="673" spans="1:5" ht="15.75" x14ac:dyDescent="0.2">
      <c r="A673" s="75"/>
      <c r="B673" s="45"/>
      <c r="C673" s="89"/>
      <c r="D673" s="45"/>
      <c r="E673" s="89"/>
    </row>
    <row r="674" spans="1:5" ht="15.75" x14ac:dyDescent="0.2">
      <c r="A674" s="75" t="s">
        <v>432</v>
      </c>
      <c r="B674" s="45"/>
      <c r="C674" s="45">
        <v>0</v>
      </c>
      <c r="D674" s="45"/>
      <c r="E674" s="45">
        <v>0</v>
      </c>
    </row>
    <row r="675" spans="1:5" ht="15.75" x14ac:dyDescent="0.2">
      <c r="A675" s="75"/>
      <c r="B675" s="45"/>
      <c r="C675" s="89"/>
      <c r="D675" s="45"/>
      <c r="E675" s="89"/>
    </row>
    <row r="676" spans="1:5" ht="15.75" x14ac:dyDescent="0.2">
      <c r="A676" s="75" t="s">
        <v>433</v>
      </c>
      <c r="B676" s="45"/>
      <c r="C676" s="45">
        <v>0</v>
      </c>
      <c r="D676" s="45"/>
      <c r="E676" s="45">
        <v>0</v>
      </c>
    </row>
    <row r="677" spans="1:5" ht="15.75" x14ac:dyDescent="0.2">
      <c r="A677" s="43"/>
    </row>
    <row r="678" spans="1:5" ht="15.75" x14ac:dyDescent="0.2">
      <c r="A678" s="43"/>
    </row>
    <row r="679" spans="1:5" ht="15.75" x14ac:dyDescent="0.2">
      <c r="A679" s="43"/>
    </row>
    <row r="680" spans="1:5" ht="15.75" x14ac:dyDescent="0.2">
      <c r="A680" s="43"/>
    </row>
    <row r="681" spans="1:5" ht="15.75" x14ac:dyDescent="0.2">
      <c r="A681" s="40" t="s">
        <v>434</v>
      </c>
    </row>
    <row r="682" spans="1:5" ht="15.75" x14ac:dyDescent="0.2">
      <c r="A682" s="40"/>
    </row>
    <row r="684" spans="1:5" ht="15.75" x14ac:dyDescent="0.2">
      <c r="A684" s="49"/>
    </row>
    <row r="685" spans="1:5" ht="15.75" x14ac:dyDescent="0.2">
      <c r="A685" s="49"/>
    </row>
    <row r="686" spans="1:5" ht="15.75" x14ac:dyDescent="0.2">
      <c r="A686" s="98" t="s">
        <v>435</v>
      </c>
    </row>
    <row r="687" spans="1:5" ht="15.75" x14ac:dyDescent="0.2">
      <c r="A687" s="43"/>
    </row>
    <row r="688" spans="1:5" ht="15.75" x14ac:dyDescent="0.2">
      <c r="A688" s="43" t="s">
        <v>436</v>
      </c>
    </row>
    <row r="689" spans="1:1" ht="15.75" x14ac:dyDescent="0.2">
      <c r="A689" s="43"/>
    </row>
    <row r="690" spans="1:1" ht="63" x14ac:dyDescent="0.2">
      <c r="A690" s="43" t="s">
        <v>634</v>
      </c>
    </row>
    <row r="691" spans="1:1" ht="15.75" x14ac:dyDescent="0.2">
      <c r="A691" s="43"/>
    </row>
    <row r="692" spans="1:1" ht="47.25" x14ac:dyDescent="0.2">
      <c r="A692" s="43" t="s">
        <v>635</v>
      </c>
    </row>
    <row r="693" spans="1:1" ht="15.75" x14ac:dyDescent="0.2">
      <c r="A693" s="43"/>
    </row>
    <row r="694" spans="1:1" ht="47.25" x14ac:dyDescent="0.2">
      <c r="A694" s="43" t="s">
        <v>437</v>
      </c>
    </row>
    <row r="695" spans="1:1" ht="15.75" x14ac:dyDescent="0.2">
      <c r="A695" s="43"/>
    </row>
    <row r="696" spans="1:1" ht="47.25" x14ac:dyDescent="0.2">
      <c r="A696" s="43" t="s">
        <v>438</v>
      </c>
    </row>
    <row r="697" spans="1:1" ht="15.75" x14ac:dyDescent="0.2">
      <c r="A697" s="43"/>
    </row>
    <row r="698" spans="1:1" ht="47.25" x14ac:dyDescent="0.2">
      <c r="A698" s="43" t="s">
        <v>439</v>
      </c>
    </row>
    <row r="699" spans="1:1" ht="15.75" x14ac:dyDescent="0.2">
      <c r="A699" s="43"/>
    </row>
    <row r="700" spans="1:1" ht="63" x14ac:dyDescent="0.2">
      <c r="A700" s="43" t="s">
        <v>636</v>
      </c>
    </row>
    <row r="701" spans="1:1" ht="15.75" x14ac:dyDescent="0.2">
      <c r="A701" s="43"/>
    </row>
    <row r="702" spans="1:1" ht="47.25" x14ac:dyDescent="0.2">
      <c r="A702" s="43" t="s">
        <v>637</v>
      </c>
    </row>
    <row r="703" spans="1:1" ht="15.75" x14ac:dyDescent="0.2">
      <c r="A703" s="43"/>
    </row>
    <row r="704" spans="1:1" ht="78.75" x14ac:dyDescent="0.2">
      <c r="A704" s="43" t="s">
        <v>638</v>
      </c>
    </row>
    <row r="705" spans="1:2" ht="15.75" x14ac:dyDescent="0.2">
      <c r="A705" s="43"/>
    </row>
    <row r="706" spans="1:2" ht="47.25" x14ac:dyDescent="0.2">
      <c r="A706" s="43" t="s">
        <v>639</v>
      </c>
    </row>
    <row r="707" spans="1:2" ht="15.75" x14ac:dyDescent="0.2">
      <c r="A707" s="43"/>
    </row>
    <row r="708" spans="1:2" ht="15.75" x14ac:dyDescent="0.2">
      <c r="A708" s="190" t="s">
        <v>440</v>
      </c>
    </row>
    <row r="709" spans="1:2" ht="16.5" thickBot="1" x14ac:dyDescent="0.25">
      <c r="A709" s="43"/>
    </row>
    <row r="710" spans="1:2" ht="16.5" thickBot="1" x14ac:dyDescent="0.25">
      <c r="A710" s="99" t="s">
        <v>441</v>
      </c>
      <c r="B710" s="100" t="s">
        <v>442</v>
      </c>
    </row>
    <row r="711" spans="1:2" ht="16.5" thickBot="1" x14ac:dyDescent="0.25">
      <c r="A711" s="101" t="s">
        <v>443</v>
      </c>
      <c r="B711" s="102">
        <v>0</v>
      </c>
    </row>
    <row r="712" spans="1:2" ht="16.5" thickBot="1" x14ac:dyDescent="0.25">
      <c r="A712" s="101" t="s">
        <v>444</v>
      </c>
      <c r="B712" s="102">
        <v>0</v>
      </c>
    </row>
    <row r="713" spans="1:2" ht="16.5" thickBot="1" x14ac:dyDescent="0.25">
      <c r="A713" s="101" t="s">
        <v>445</v>
      </c>
      <c r="B713" s="102" t="s">
        <v>122</v>
      </c>
    </row>
    <row r="714" spans="1:2" ht="16.5" thickBot="1" x14ac:dyDescent="0.25">
      <c r="A714" s="101" t="s">
        <v>446</v>
      </c>
      <c r="B714" s="102" t="s">
        <v>122</v>
      </c>
    </row>
    <row r="715" spans="1:2" ht="16.5" thickBot="1" x14ac:dyDescent="0.25">
      <c r="A715" s="101" t="s">
        <v>447</v>
      </c>
      <c r="B715" s="102">
        <v>0</v>
      </c>
    </row>
    <row r="716" spans="1:2" ht="16.5" thickBot="1" x14ac:dyDescent="0.25">
      <c r="A716" s="101" t="s">
        <v>448</v>
      </c>
      <c r="B716" s="102">
        <v>0</v>
      </c>
    </row>
    <row r="717" spans="1:2" ht="16.5" thickBot="1" x14ac:dyDescent="0.25">
      <c r="A717" s="101" t="s">
        <v>449</v>
      </c>
      <c r="B717" s="102">
        <v>0</v>
      </c>
    </row>
    <row r="718" spans="1:2" ht="16.5" thickBot="1" x14ac:dyDescent="0.25">
      <c r="A718" s="101" t="s">
        <v>450</v>
      </c>
      <c r="B718" s="102">
        <v>0</v>
      </c>
    </row>
    <row r="719" spans="1:2" ht="16.5" thickBot="1" x14ac:dyDescent="0.25">
      <c r="A719" s="101" t="s">
        <v>451</v>
      </c>
      <c r="B719" s="102">
        <v>0</v>
      </c>
    </row>
    <row r="720" spans="1:2" ht="16.5" thickBot="1" x14ac:dyDescent="0.25">
      <c r="A720" s="101" t="s">
        <v>55</v>
      </c>
      <c r="B720" s="102">
        <v>63</v>
      </c>
    </row>
    <row r="721" spans="1:2" ht="16.5" thickBot="1" x14ac:dyDescent="0.25">
      <c r="A721" s="101" t="s">
        <v>452</v>
      </c>
      <c r="B721" s="102" t="s">
        <v>122</v>
      </c>
    </row>
    <row r="722" spans="1:2" ht="16.5" thickBot="1" x14ac:dyDescent="0.25">
      <c r="A722" s="101" t="s">
        <v>453</v>
      </c>
      <c r="B722" s="102" t="s">
        <v>122</v>
      </c>
    </row>
    <row r="723" spans="1:2" ht="16.5" thickBot="1" x14ac:dyDescent="0.25">
      <c r="A723" s="101" t="s">
        <v>454</v>
      </c>
      <c r="B723" s="102">
        <v>0</v>
      </c>
    </row>
    <row r="724" spans="1:2" ht="16.5" thickBot="1" x14ac:dyDescent="0.25">
      <c r="A724" s="101" t="s">
        <v>455</v>
      </c>
      <c r="B724" s="102">
        <v>0</v>
      </c>
    </row>
    <row r="726" spans="1:2" x14ac:dyDescent="0.2">
      <c r="A726" s="42"/>
    </row>
    <row r="727" spans="1:2" ht="15.75" x14ac:dyDescent="0.2">
      <c r="A727" s="49"/>
    </row>
    <row r="728" spans="1:2" ht="15.75" x14ac:dyDescent="0.2">
      <c r="A728" s="98" t="s">
        <v>456</v>
      </c>
    </row>
    <row r="729" spans="1:2" ht="16.5" thickBot="1" x14ac:dyDescent="0.25">
      <c r="A729" s="43"/>
    </row>
    <row r="730" spans="1:2" ht="16.5" thickBot="1" x14ac:dyDescent="0.25">
      <c r="A730" s="103" t="s">
        <v>456</v>
      </c>
      <c r="B730" s="104" t="s">
        <v>442</v>
      </c>
    </row>
    <row r="731" spans="1:2" ht="16.5" thickBot="1" x14ac:dyDescent="0.25">
      <c r="A731" s="101" t="s">
        <v>457</v>
      </c>
      <c r="B731" s="184">
        <f>'[51]ריכוז עודפות'!$J$14/1000</f>
        <v>1.026</v>
      </c>
    </row>
    <row r="732" spans="1:2" ht="16.5" thickBot="1" x14ac:dyDescent="0.25">
      <c r="A732" s="101" t="s">
        <v>458</v>
      </c>
      <c r="B732" s="184">
        <f>'[51]ריכוז עודפות'!$J$10/1000</f>
        <v>0.42236599999999996</v>
      </c>
    </row>
    <row r="733" spans="1:2" ht="16.5" thickBot="1" x14ac:dyDescent="0.25">
      <c r="A733" s="101" t="s">
        <v>413</v>
      </c>
      <c r="B733" s="184">
        <f>'[51]ריכוז עודפות'!$J$12/1000</f>
        <v>1.6657180993731093</v>
      </c>
    </row>
    <row r="734" spans="1:2" ht="16.5" thickBot="1" x14ac:dyDescent="0.25">
      <c r="A734" s="101" t="s">
        <v>459</v>
      </c>
      <c r="B734" s="102">
        <v>0</v>
      </c>
    </row>
    <row r="735" spans="1:2" ht="16.5" thickBot="1" x14ac:dyDescent="0.25">
      <c r="A735" s="101" t="s">
        <v>460</v>
      </c>
      <c r="B735" s="184">
        <f>('[51]ריכוז עודפות'!$J$16+'[51]ריכוז עודפות'!$J$20)/1000</f>
        <v>5.2222000000000008</v>
      </c>
    </row>
    <row r="736" spans="1:2" ht="16.5" thickBot="1" x14ac:dyDescent="0.25">
      <c r="A736" s="101" t="s">
        <v>461</v>
      </c>
      <c r="B736" s="184">
        <f>'[51]ריכוז עודפות'!$J$18/1000</f>
        <v>3.734</v>
      </c>
    </row>
    <row r="737" spans="1:5" ht="15.75" x14ac:dyDescent="0.2">
      <c r="A737" s="43"/>
    </row>
    <row r="738" spans="1:5" ht="15.75" x14ac:dyDescent="0.2">
      <c r="A738" s="190" t="s">
        <v>462</v>
      </c>
    </row>
    <row r="739" spans="1:5" ht="16.5" thickBot="1" x14ac:dyDescent="0.25">
      <c r="A739" s="43"/>
    </row>
    <row r="740" spans="1:5" ht="32.25" thickBot="1" x14ac:dyDescent="0.25">
      <c r="A740" s="105"/>
      <c r="B740" s="106"/>
      <c r="C740" s="107" t="s">
        <v>463</v>
      </c>
      <c r="D740" s="108"/>
      <c r="E740" s="109" t="s">
        <v>464</v>
      </c>
    </row>
    <row r="741" spans="1:5" ht="15.75" thickBot="1" x14ac:dyDescent="0.25">
      <c r="A741" s="110"/>
      <c r="B741" s="111"/>
      <c r="C741" s="112"/>
      <c r="D741" s="39"/>
      <c r="E741" s="113"/>
    </row>
    <row r="742" spans="1:5" ht="16.5" thickBot="1" x14ac:dyDescent="0.25">
      <c r="A742" s="114" t="s">
        <v>465</v>
      </c>
      <c r="B742" s="115"/>
      <c r="C742" s="116">
        <v>0</v>
      </c>
      <c r="D742" s="39"/>
      <c r="E742" s="117">
        <v>0</v>
      </c>
    </row>
    <row r="743" spans="1:5" ht="15.75" thickBot="1" x14ac:dyDescent="0.25">
      <c r="A743" s="110"/>
      <c r="B743" s="111"/>
      <c r="C743" s="112"/>
      <c r="D743" s="39"/>
      <c r="E743" s="113"/>
    </row>
    <row r="744" spans="1:5" ht="16.5" thickBot="1" x14ac:dyDescent="0.25">
      <c r="A744" s="118" t="s">
        <v>467</v>
      </c>
      <c r="B744" s="115"/>
      <c r="C744" s="116">
        <v>0</v>
      </c>
      <c r="D744" s="39"/>
      <c r="E744" s="117">
        <v>0</v>
      </c>
    </row>
    <row r="745" spans="1:5" ht="15.75" thickBot="1" x14ac:dyDescent="0.25">
      <c r="A745" s="110"/>
      <c r="B745" s="111"/>
      <c r="C745" s="112"/>
      <c r="D745" s="39"/>
      <c r="E745" s="113"/>
    </row>
    <row r="746" spans="1:5" ht="16.5" thickBot="1" x14ac:dyDescent="0.25">
      <c r="A746" s="118" t="s">
        <v>468</v>
      </c>
      <c r="B746" s="115"/>
      <c r="C746" s="116">
        <v>0</v>
      </c>
      <c r="D746" s="39"/>
      <c r="E746" s="117">
        <v>0</v>
      </c>
    </row>
    <row r="747" spans="1:5" ht="15.75" thickBot="1" x14ac:dyDescent="0.25">
      <c r="A747" s="110"/>
      <c r="B747" s="111"/>
      <c r="C747" s="112"/>
      <c r="D747" s="39"/>
      <c r="E747" s="113"/>
    </row>
    <row r="748" spans="1:5" ht="16.5" thickBot="1" x14ac:dyDescent="0.25">
      <c r="A748" s="118" t="s">
        <v>469</v>
      </c>
      <c r="B748" s="115"/>
      <c r="C748" s="116">
        <v>0</v>
      </c>
      <c r="D748" s="39"/>
      <c r="E748" s="117">
        <v>0</v>
      </c>
    </row>
    <row r="749" spans="1:5" ht="15.75" thickBot="1" x14ac:dyDescent="0.25">
      <c r="A749" s="110"/>
      <c r="B749" s="111"/>
      <c r="C749" s="112"/>
      <c r="D749" s="39"/>
      <c r="E749" s="113"/>
    </row>
    <row r="750" spans="1:5" ht="16.5" thickBot="1" x14ac:dyDescent="0.25">
      <c r="A750" s="118" t="s">
        <v>470</v>
      </c>
      <c r="B750" s="115"/>
      <c r="C750" s="116" t="s">
        <v>466</v>
      </c>
      <c r="D750" s="39"/>
      <c r="E750" s="117" t="s">
        <v>466</v>
      </c>
    </row>
    <row r="751" spans="1:5" ht="15.75" thickBot="1" x14ac:dyDescent="0.25">
      <c r="A751" s="110"/>
      <c r="B751" s="111"/>
      <c r="C751" s="112"/>
      <c r="D751" s="39"/>
      <c r="E751" s="113"/>
    </row>
    <row r="752" spans="1:5" ht="16.5" thickBot="1" x14ac:dyDescent="0.25">
      <c r="A752" s="114" t="s">
        <v>471</v>
      </c>
      <c r="B752" s="119"/>
      <c r="C752" s="219" t="s">
        <v>122</v>
      </c>
      <c r="D752" s="39"/>
      <c r="E752" s="102" t="s">
        <v>122</v>
      </c>
    </row>
    <row r="753" spans="1:5" ht="15.75" thickBot="1" x14ac:dyDescent="0.25">
      <c r="A753" s="110"/>
      <c r="B753" s="111"/>
      <c r="C753" s="112"/>
      <c r="D753" s="39"/>
      <c r="E753" s="113"/>
    </row>
    <row r="754" spans="1:5" ht="16.5" thickBot="1" x14ac:dyDescent="0.25">
      <c r="A754" s="114" t="s">
        <v>472</v>
      </c>
      <c r="B754" s="115"/>
      <c r="C754" s="116" t="s">
        <v>466</v>
      </c>
      <c r="D754" s="39"/>
      <c r="E754" s="117" t="s">
        <v>466</v>
      </c>
    </row>
    <row r="755" spans="1:5" ht="15.75" x14ac:dyDescent="0.2">
      <c r="A755" s="43"/>
    </row>
    <row r="756" spans="1:5" ht="15.75" x14ac:dyDescent="0.2">
      <c r="A756" s="98" t="s">
        <v>473</v>
      </c>
    </row>
    <row r="757" spans="1:5" ht="16.5" thickBot="1" x14ac:dyDescent="0.25">
      <c r="A757" s="49"/>
    </row>
    <row r="758" spans="1:5" ht="16.5" thickBot="1" x14ac:dyDescent="0.25">
      <c r="A758" s="120"/>
      <c r="B758" s="121" t="s">
        <v>474</v>
      </c>
    </row>
    <row r="759" spans="1:5" ht="15" thickBot="1" x14ac:dyDescent="0.25">
      <c r="A759" s="122"/>
      <c r="B759" s="113"/>
    </row>
    <row r="760" spans="1:5" ht="16.5" thickBot="1" x14ac:dyDescent="0.25">
      <c r="A760" s="101" t="s">
        <v>475</v>
      </c>
      <c r="B760" s="123">
        <v>0</v>
      </c>
    </row>
    <row r="761" spans="1:5" ht="15" thickBot="1" x14ac:dyDescent="0.25">
      <c r="A761" s="122"/>
      <c r="B761" s="113"/>
    </row>
    <row r="762" spans="1:5" ht="16.5" thickBot="1" x14ac:dyDescent="0.25">
      <c r="A762" s="101" t="s">
        <v>476</v>
      </c>
      <c r="B762" s="123">
        <v>0</v>
      </c>
    </row>
    <row r="763" spans="1:5" ht="15" thickBot="1" x14ac:dyDescent="0.25">
      <c r="A763" s="122"/>
      <c r="B763" s="113"/>
    </row>
    <row r="764" spans="1:5" ht="16.5" thickBot="1" x14ac:dyDescent="0.25">
      <c r="A764" s="124" t="s">
        <v>477</v>
      </c>
      <c r="B764" s="113"/>
    </row>
    <row r="765" spans="1:5" ht="16.5" thickBot="1" x14ac:dyDescent="0.25">
      <c r="A765" s="101" t="s">
        <v>478</v>
      </c>
      <c r="B765" s="123">
        <v>0</v>
      </c>
    </row>
    <row r="766" spans="1:5" ht="15" thickBot="1" x14ac:dyDescent="0.25">
      <c r="A766" s="122"/>
      <c r="B766" s="113"/>
    </row>
    <row r="767" spans="1:5" ht="16.5" thickBot="1" x14ac:dyDescent="0.25">
      <c r="A767" s="125" t="s">
        <v>479</v>
      </c>
      <c r="B767" s="123">
        <v>0</v>
      </c>
    </row>
    <row r="768" spans="1:5" ht="15" thickBot="1" x14ac:dyDescent="0.25">
      <c r="A768" s="122"/>
      <c r="B768" s="113"/>
    </row>
    <row r="769" spans="1:4" ht="16.5" thickBot="1" x14ac:dyDescent="0.25">
      <c r="A769" s="126" t="s">
        <v>471</v>
      </c>
      <c r="B769" s="218">
        <v>0</v>
      </c>
    </row>
    <row r="771" spans="1:4" x14ac:dyDescent="0.2">
      <c r="A771" s="42"/>
    </row>
    <row r="772" spans="1:4" ht="15.75" x14ac:dyDescent="0.2">
      <c r="A772" s="49"/>
    </row>
    <row r="773" spans="1:4" ht="15.75" x14ac:dyDescent="0.2">
      <c r="A773" s="49"/>
    </row>
    <row r="774" spans="1:4" ht="15.75" x14ac:dyDescent="0.2">
      <c r="A774" s="190" t="s">
        <v>480</v>
      </c>
    </row>
    <row r="775" spans="1:4" ht="16.5" thickBot="1" x14ac:dyDescent="0.25">
      <c r="A775" s="49"/>
    </row>
    <row r="776" spans="1:4" ht="32.25" thickBot="1" x14ac:dyDescent="0.25">
      <c r="A776" s="120"/>
      <c r="B776" s="107" t="s">
        <v>481</v>
      </c>
      <c r="C776" s="108"/>
      <c r="D776" s="109" t="s">
        <v>482</v>
      </c>
    </row>
    <row r="777" spans="1:4" ht="15" thickBot="1" x14ac:dyDescent="0.25">
      <c r="A777" s="122"/>
      <c r="B777" s="128"/>
      <c r="C777" s="108"/>
      <c r="D777" s="129"/>
    </row>
    <row r="778" spans="1:4" ht="16.5" thickBot="1" x14ac:dyDescent="0.25">
      <c r="A778" s="101" t="s">
        <v>483</v>
      </c>
      <c r="B778" s="130">
        <v>0</v>
      </c>
      <c r="C778" s="39"/>
      <c r="D778" s="127">
        <v>0</v>
      </c>
    </row>
    <row r="779" spans="1:4" ht="15" thickBot="1" x14ac:dyDescent="0.25">
      <c r="A779" s="122"/>
      <c r="B779" s="112"/>
      <c r="C779" s="39"/>
      <c r="D779" s="113"/>
    </row>
    <row r="780" spans="1:4" ht="16.5" thickBot="1" x14ac:dyDescent="0.25">
      <c r="A780" s="131" t="s">
        <v>484</v>
      </c>
      <c r="B780" s="130">
        <v>0</v>
      </c>
      <c r="C780" s="39"/>
      <c r="D780" s="127">
        <v>0</v>
      </c>
    </row>
    <row r="781" spans="1:4" ht="15" thickBot="1" x14ac:dyDescent="0.25">
      <c r="A781" s="122"/>
      <c r="B781" s="112"/>
      <c r="C781" s="39"/>
      <c r="D781" s="113"/>
    </row>
    <row r="782" spans="1:4" ht="16.5" thickBot="1" x14ac:dyDescent="0.25">
      <c r="A782" s="101" t="s">
        <v>485</v>
      </c>
      <c r="B782" s="130">
        <v>0</v>
      </c>
      <c r="C782" s="39"/>
      <c r="D782" s="127" t="s">
        <v>122</v>
      </c>
    </row>
    <row r="783" spans="1:4" ht="15" thickBot="1" x14ac:dyDescent="0.25">
      <c r="A783" s="122"/>
      <c r="B783" s="112"/>
      <c r="C783" s="39"/>
      <c r="D783" s="113"/>
    </row>
    <row r="784" spans="1:4" ht="16.5" thickBot="1" x14ac:dyDescent="0.25">
      <c r="A784" s="131" t="s">
        <v>486</v>
      </c>
      <c r="B784" s="130">
        <v>51477</v>
      </c>
      <c r="C784" s="39"/>
      <c r="D784" s="127" t="s">
        <v>122</v>
      </c>
    </row>
    <row r="785" spans="1:4" ht="15" thickBot="1" x14ac:dyDescent="0.25">
      <c r="A785" s="122"/>
      <c r="B785" s="112"/>
      <c r="C785" s="39"/>
      <c r="D785" s="113"/>
    </row>
    <row r="786" spans="1:4" ht="16.5" thickBot="1" x14ac:dyDescent="0.25">
      <c r="A786" s="131" t="s">
        <v>487</v>
      </c>
      <c r="B786" s="130">
        <v>47719</v>
      </c>
      <c r="C786" s="39"/>
      <c r="D786" s="127" t="s">
        <v>122</v>
      </c>
    </row>
    <row r="787" spans="1:4" ht="15" thickBot="1" x14ac:dyDescent="0.25">
      <c r="A787" s="122"/>
      <c r="B787" s="112"/>
      <c r="C787" s="39"/>
      <c r="D787" s="113"/>
    </row>
    <row r="788" spans="1:4" ht="16.5" thickBot="1" x14ac:dyDescent="0.25">
      <c r="A788" s="101" t="s">
        <v>488</v>
      </c>
      <c r="B788" s="217" t="s">
        <v>122</v>
      </c>
      <c r="C788" s="39"/>
      <c r="D788" s="127" t="s">
        <v>122</v>
      </c>
    </row>
    <row r="789" spans="1:4" ht="15.75" x14ac:dyDescent="0.2">
      <c r="A789" s="43"/>
    </row>
    <row r="790" spans="1:4" ht="15.75" x14ac:dyDescent="0.2">
      <c r="A790" s="43"/>
    </row>
    <row r="791" spans="1:4" ht="15.75" x14ac:dyDescent="0.2">
      <c r="A791" s="98" t="s">
        <v>489</v>
      </c>
    </row>
    <row r="792" spans="1:4" ht="16.5" thickBot="1" x14ac:dyDescent="0.25">
      <c r="A792" s="49"/>
    </row>
    <row r="793" spans="1:4" ht="16.5" thickBot="1" x14ac:dyDescent="0.25">
      <c r="A793" s="120"/>
      <c r="B793" s="121" t="s">
        <v>490</v>
      </c>
    </row>
    <row r="794" spans="1:4" ht="15" thickBot="1" x14ac:dyDescent="0.25">
      <c r="A794" s="122"/>
      <c r="B794" s="129"/>
    </row>
    <row r="795" spans="1:4" ht="16.5" thickBot="1" x14ac:dyDescent="0.25">
      <c r="A795" s="101" t="s">
        <v>491</v>
      </c>
      <c r="B795" s="123">
        <v>0</v>
      </c>
    </row>
    <row r="796" spans="1:4" ht="16.5" thickBot="1" x14ac:dyDescent="0.25">
      <c r="A796" s="132"/>
      <c r="B796" s="113"/>
    </row>
    <row r="797" spans="1:4" ht="16.5" thickBot="1" x14ac:dyDescent="0.25">
      <c r="A797" s="131" t="s">
        <v>492</v>
      </c>
      <c r="B797" s="123">
        <v>0</v>
      </c>
    </row>
    <row r="798" spans="1:4" ht="16.5" thickBot="1" x14ac:dyDescent="0.25">
      <c r="A798" s="132"/>
      <c r="B798" s="133"/>
    </row>
    <row r="799" spans="1:4" ht="16.5" thickBot="1" x14ac:dyDescent="0.25">
      <c r="A799" s="131" t="s">
        <v>493</v>
      </c>
      <c r="B799" s="123">
        <v>0</v>
      </c>
    </row>
    <row r="800" spans="1:4" ht="16.5" thickBot="1" x14ac:dyDescent="0.25">
      <c r="A800" s="132"/>
      <c r="B800" s="133"/>
    </row>
    <row r="801" spans="1:2" ht="16.5" thickBot="1" x14ac:dyDescent="0.25">
      <c r="A801" s="131" t="s">
        <v>494</v>
      </c>
      <c r="B801" s="123">
        <v>0</v>
      </c>
    </row>
    <row r="802" spans="1:2" ht="16.5" thickBot="1" x14ac:dyDescent="0.25">
      <c r="A802" s="132"/>
      <c r="B802" s="133"/>
    </row>
    <row r="803" spans="1:2" ht="16.5" thickBot="1" x14ac:dyDescent="0.25">
      <c r="A803" s="131" t="s">
        <v>495</v>
      </c>
      <c r="B803" s="123">
        <v>0</v>
      </c>
    </row>
    <row r="804" spans="1:2" ht="16.5" thickBot="1" x14ac:dyDescent="0.25">
      <c r="A804" s="132"/>
      <c r="B804" s="133"/>
    </row>
    <row r="805" spans="1:2" ht="16.5" thickBot="1" x14ac:dyDescent="0.25">
      <c r="A805" s="101" t="s">
        <v>496</v>
      </c>
      <c r="B805" s="123">
        <v>0</v>
      </c>
    </row>
    <row r="806" spans="1:2" ht="15.75" x14ac:dyDescent="0.2">
      <c r="A806" s="40"/>
    </row>
    <row r="807" spans="1:2" ht="15.75" x14ac:dyDescent="0.2">
      <c r="A807" s="40" t="s">
        <v>497</v>
      </c>
    </row>
    <row r="808" spans="1:2" ht="15.75" x14ac:dyDescent="0.2">
      <c r="A808" s="40"/>
    </row>
    <row r="809" spans="1:2" ht="15.75" x14ac:dyDescent="0.2">
      <c r="A809" s="43"/>
    </row>
  </sheetData>
  <mergeCells count="69">
    <mergeCell ref="C666:E666"/>
    <mergeCell ref="C625:E625"/>
    <mergeCell ref="C645:E645"/>
    <mergeCell ref="C647:E647"/>
    <mergeCell ref="A663:A664"/>
    <mergeCell ref="B663:B664"/>
    <mergeCell ref="C663:E663"/>
    <mergeCell ref="C664:E664"/>
    <mergeCell ref="C598:E598"/>
    <mergeCell ref="C600:E600"/>
    <mergeCell ref="A622:A623"/>
    <mergeCell ref="B622:B623"/>
    <mergeCell ref="C622:E622"/>
    <mergeCell ref="C623:E623"/>
    <mergeCell ref="H553:H554"/>
    <mergeCell ref="I553:I554"/>
    <mergeCell ref="B556:B557"/>
    <mergeCell ref="C556:C557"/>
    <mergeCell ref="D556:D557"/>
    <mergeCell ref="E556:E557"/>
    <mergeCell ref="F556:F557"/>
    <mergeCell ref="G556:G557"/>
    <mergeCell ref="H556:H557"/>
    <mergeCell ref="I556:I557"/>
    <mergeCell ref="B553:B554"/>
    <mergeCell ref="C553:C554"/>
    <mergeCell ref="D553:D554"/>
    <mergeCell ref="E553:E554"/>
    <mergeCell ref="F553:F554"/>
    <mergeCell ref="G553:G554"/>
    <mergeCell ref="A546:A547"/>
    <mergeCell ref="B546:B547"/>
    <mergeCell ref="D546:D547"/>
    <mergeCell ref="F546:F547"/>
    <mergeCell ref="H546:H547"/>
    <mergeCell ref="H119:H120"/>
    <mergeCell ref="J119:J120"/>
    <mergeCell ref="K119:K120"/>
    <mergeCell ref="C121:K121"/>
    <mergeCell ref="C548:E548"/>
    <mergeCell ref="G548:I548"/>
    <mergeCell ref="C489:E489"/>
    <mergeCell ref="C491:E491"/>
    <mergeCell ref="C503:E503"/>
    <mergeCell ref="C505:E505"/>
    <mergeCell ref="C544:I544"/>
    <mergeCell ref="C545:E545"/>
    <mergeCell ref="G545:I545"/>
    <mergeCell ref="F119:F120"/>
    <mergeCell ref="C144:E144"/>
    <mergeCell ref="C146:E146"/>
    <mergeCell ref="C180:E180"/>
    <mergeCell ref="G119:G120"/>
    <mergeCell ref="C181:E181"/>
    <mergeCell ref="C183:E183"/>
    <mergeCell ref="C85:E85"/>
    <mergeCell ref="A119:A120"/>
    <mergeCell ref="B119:B120"/>
    <mergeCell ref="C119:C120"/>
    <mergeCell ref="D119:D120"/>
    <mergeCell ref="C143:E143"/>
    <mergeCell ref="E8:G8"/>
    <mergeCell ref="E10:G10"/>
    <mergeCell ref="E40:G40"/>
    <mergeCell ref="E42:G42"/>
    <mergeCell ref="A82:A83"/>
    <mergeCell ref="B82:B83"/>
    <mergeCell ref="C82:E82"/>
    <mergeCell ref="C83:E8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9BD7-1C40-42D9-9C99-6A2B81B1D731}">
  <sheetPr codeName="Sheet8"/>
  <dimension ref="A2:Y66"/>
  <sheetViews>
    <sheetView topLeftCell="D1" zoomScale="85" zoomScaleNormal="85" workbookViewId="0">
      <selection activeCell="W36" sqref="W36:W37"/>
    </sheetView>
  </sheetViews>
  <sheetFormatPr defaultRowHeight="14.25" x14ac:dyDescent="0.2"/>
  <cols>
    <col min="1" max="1" width="18.125" bestFit="1" customWidth="1"/>
    <col min="2" max="2" width="35" bestFit="1" customWidth="1"/>
    <col min="3" max="3" width="10.875" bestFit="1" customWidth="1"/>
    <col min="4" max="4" width="12.5" bestFit="1" customWidth="1"/>
    <col min="5" max="5" width="11.875" bestFit="1" customWidth="1"/>
    <col min="6" max="6" width="11" bestFit="1" customWidth="1"/>
    <col min="7" max="7" width="6.875" bestFit="1" customWidth="1"/>
    <col min="8" max="8" width="13.5" bestFit="1" customWidth="1"/>
    <col min="9" max="9" width="10.875" bestFit="1" customWidth="1"/>
    <col min="10" max="10" width="11" bestFit="1" customWidth="1"/>
    <col min="11" max="11" width="12.5" bestFit="1" customWidth="1"/>
    <col min="12" max="12" width="12.875" bestFit="1" customWidth="1"/>
    <col min="14" max="14" width="18.125" bestFit="1" customWidth="1"/>
    <col min="15" max="15" width="10.875" bestFit="1" customWidth="1"/>
    <col min="16" max="17" width="9.875" bestFit="1" customWidth="1"/>
    <col min="18" max="18" width="10.25" bestFit="1" customWidth="1"/>
    <col min="19" max="19" width="11.875" bestFit="1" customWidth="1"/>
    <col min="21" max="21" width="13.5" bestFit="1" customWidth="1"/>
    <col min="22" max="22" width="10.875" bestFit="1" customWidth="1"/>
    <col min="23" max="23" width="11.875" bestFit="1" customWidth="1"/>
    <col min="24" max="24" width="11.5" bestFit="1" customWidth="1"/>
  </cols>
  <sheetData>
    <row r="2" spans="1:25" ht="15" x14ac:dyDescent="0.25">
      <c r="A2" s="476" t="s">
        <v>701</v>
      </c>
      <c r="B2" s="476"/>
      <c r="C2" s="476"/>
      <c r="D2" s="476"/>
      <c r="E2" s="476"/>
      <c r="F2" s="476"/>
      <c r="G2" s="476"/>
      <c r="H2" s="476"/>
      <c r="I2" s="476"/>
      <c r="J2" s="476"/>
      <c r="K2" s="476"/>
      <c r="L2" s="476"/>
      <c r="N2" s="476" t="s">
        <v>700</v>
      </c>
      <c r="O2" s="476"/>
      <c r="P2" s="476"/>
      <c r="Q2" s="476"/>
      <c r="R2" s="476"/>
      <c r="S2" s="476"/>
      <c r="T2" s="476"/>
      <c r="U2" s="476"/>
      <c r="V2" s="476"/>
      <c r="W2" s="476"/>
      <c r="X2" s="476"/>
      <c r="Y2" s="476"/>
    </row>
    <row r="3" spans="1:25" ht="15" x14ac:dyDescent="0.25">
      <c r="A3" s="134"/>
      <c r="B3" s="135" t="s">
        <v>121</v>
      </c>
      <c r="C3" s="136" t="s">
        <v>498</v>
      </c>
      <c r="D3" s="135" t="s">
        <v>696</v>
      </c>
      <c r="E3" s="135" t="s">
        <v>500</v>
      </c>
      <c r="F3" s="135" t="s">
        <v>501</v>
      </c>
      <c r="G3" s="135" t="s">
        <v>502</v>
      </c>
      <c r="H3" s="135" t="s">
        <v>503</v>
      </c>
      <c r="I3" s="135" t="s">
        <v>621</v>
      </c>
      <c r="J3" s="134" t="s">
        <v>504</v>
      </c>
      <c r="K3" s="134" t="s">
        <v>505</v>
      </c>
      <c r="L3" s="1"/>
      <c r="N3" s="134"/>
      <c r="O3" s="135" t="s">
        <v>121</v>
      </c>
      <c r="P3" s="136" t="s">
        <v>498</v>
      </c>
      <c r="Q3" s="135" t="s">
        <v>499</v>
      </c>
      <c r="R3" s="135" t="s">
        <v>500</v>
      </c>
      <c r="S3" s="135" t="s">
        <v>501</v>
      </c>
      <c r="T3" s="135" t="s">
        <v>502</v>
      </c>
      <c r="U3" s="135" t="s">
        <v>503</v>
      </c>
      <c r="V3" s="135" t="s">
        <v>621</v>
      </c>
      <c r="W3" s="134" t="s">
        <v>504</v>
      </c>
      <c r="X3" s="134" t="s">
        <v>505</v>
      </c>
      <c r="Y3" s="1"/>
    </row>
    <row r="4" spans="1:25" x14ac:dyDescent="0.2">
      <c r="A4" s="134" t="s">
        <v>131</v>
      </c>
      <c r="B4" s="137"/>
      <c r="C4" s="138"/>
      <c r="D4" s="134"/>
      <c r="E4" s="139"/>
      <c r="F4" s="134"/>
      <c r="G4" s="140"/>
      <c r="H4" s="141">
        <f>I4-B4</f>
        <v>18219162.899999999</v>
      </c>
      <c r="I4" s="137">
        <f>C29</f>
        <v>18219162.899999999</v>
      </c>
      <c r="J4" s="139">
        <f t="shared" ref="J4:J21" si="0">I4-B4</f>
        <v>18219162.899999999</v>
      </c>
      <c r="K4" s="139">
        <f t="shared" ref="K4:K21" si="1">J4-C4-E4-F4-G4-H4-D4</f>
        <v>0</v>
      </c>
      <c r="L4" s="1"/>
      <c r="N4" s="134" t="s">
        <v>131</v>
      </c>
      <c r="O4" s="137"/>
      <c r="P4" s="138"/>
      <c r="Q4" s="134"/>
      <c r="R4" s="139"/>
      <c r="S4" s="134"/>
      <c r="T4" s="140"/>
      <c r="U4" s="141">
        <f>V4-O4</f>
        <v>2968504.29</v>
      </c>
      <c r="V4" s="137">
        <f>E29</f>
        <v>2968504.29</v>
      </c>
      <c r="W4" s="139">
        <f t="shared" ref="W4:W10" si="2">V4-O4</f>
        <v>2968504.29</v>
      </c>
      <c r="X4" s="139">
        <f t="shared" ref="X4:X10" si="3">W4-P4-R4-S4-T4-U4-Q4</f>
        <v>0</v>
      </c>
      <c r="Y4" s="1"/>
    </row>
    <row r="5" spans="1:25" x14ac:dyDescent="0.2">
      <c r="A5" s="134" t="s">
        <v>132</v>
      </c>
      <c r="B5" s="137"/>
      <c r="C5" s="138"/>
      <c r="D5" s="139"/>
      <c r="E5" s="141">
        <f>I5-B5-D5</f>
        <v>32165.01</v>
      </c>
      <c r="F5" s="134"/>
      <c r="G5" s="140"/>
      <c r="H5" s="1"/>
      <c r="I5" s="137">
        <f>C30</f>
        <v>32165.01</v>
      </c>
      <c r="J5" s="139">
        <f t="shared" si="0"/>
        <v>32165.01</v>
      </c>
      <c r="K5" s="139">
        <f t="shared" si="1"/>
        <v>0</v>
      </c>
      <c r="L5" s="1"/>
      <c r="N5" s="134" t="s">
        <v>132</v>
      </c>
      <c r="O5" s="137"/>
      <c r="P5" s="138"/>
      <c r="Q5" s="139"/>
      <c r="R5" s="141">
        <f>V5-O5-Q5</f>
        <v>100033.18</v>
      </c>
      <c r="S5" s="134"/>
      <c r="T5" s="140"/>
      <c r="U5" s="1"/>
      <c r="V5" s="137">
        <f>E30</f>
        <v>100033.18</v>
      </c>
      <c r="W5" s="139">
        <f t="shared" si="2"/>
        <v>100033.18</v>
      </c>
      <c r="X5" s="139">
        <f t="shared" si="3"/>
        <v>0</v>
      </c>
      <c r="Y5" s="1"/>
    </row>
    <row r="6" spans="1:25" x14ac:dyDescent="0.2">
      <c r="A6" s="134" t="s">
        <v>134</v>
      </c>
      <c r="B6" s="137"/>
      <c r="C6" s="138">
        <f>I6-G6-B6</f>
        <v>0</v>
      </c>
      <c r="D6" s="142"/>
      <c r="E6" s="143"/>
      <c r="F6" s="144"/>
      <c r="G6" s="140"/>
      <c r="H6" s="139"/>
      <c r="I6" s="137">
        <f>C31</f>
        <v>0</v>
      </c>
      <c r="J6" s="139">
        <f t="shared" si="0"/>
        <v>0</v>
      </c>
      <c r="K6" s="139">
        <f t="shared" si="1"/>
        <v>0</v>
      </c>
      <c r="L6" s="1"/>
      <c r="N6" s="134" t="s">
        <v>134</v>
      </c>
      <c r="O6" s="137"/>
      <c r="P6" s="138">
        <f>V6-U6-O6</f>
        <v>0</v>
      </c>
      <c r="Q6" s="142"/>
      <c r="R6" s="143"/>
      <c r="S6" s="144"/>
      <c r="T6" s="140"/>
      <c r="U6" s="139"/>
      <c r="V6" s="137">
        <f>E31</f>
        <v>0</v>
      </c>
      <c r="W6" s="139">
        <f t="shared" si="2"/>
        <v>0</v>
      </c>
      <c r="X6" s="139">
        <f t="shared" si="3"/>
        <v>0</v>
      </c>
      <c r="Y6" s="1"/>
    </row>
    <row r="7" spans="1:25" x14ac:dyDescent="0.2">
      <c r="A7" s="134" t="s">
        <v>506</v>
      </c>
      <c r="B7" s="137"/>
      <c r="C7" s="138">
        <f>I7-G7-B7</f>
        <v>43827.319999999992</v>
      </c>
      <c r="D7" s="140"/>
      <c r="E7" s="143"/>
      <c r="F7" s="144"/>
      <c r="G7" s="140"/>
      <c r="H7" s="134"/>
      <c r="I7" s="153">
        <f>C33</f>
        <v>43827.319999999992</v>
      </c>
      <c r="J7" s="139">
        <f t="shared" si="0"/>
        <v>43827.319999999992</v>
      </c>
      <c r="K7" s="139">
        <f t="shared" si="1"/>
        <v>0</v>
      </c>
      <c r="L7" s="1"/>
      <c r="N7" s="134" t="s">
        <v>506</v>
      </c>
      <c r="O7" s="137"/>
      <c r="P7" s="138">
        <f>V7-U7-O7</f>
        <v>133234.79999999999</v>
      </c>
      <c r="Q7" s="140"/>
      <c r="R7" s="143"/>
      <c r="S7" s="144"/>
      <c r="T7" s="140"/>
      <c r="U7" s="134"/>
      <c r="V7" s="153">
        <f>E33</f>
        <v>133234.79999999999</v>
      </c>
      <c r="W7" s="139">
        <f t="shared" si="2"/>
        <v>133234.79999999999</v>
      </c>
      <c r="X7" s="139">
        <f t="shared" si="3"/>
        <v>0</v>
      </c>
      <c r="Y7" s="1"/>
    </row>
    <row r="8" spans="1:25" x14ac:dyDescent="0.2">
      <c r="A8" s="134" t="s">
        <v>79</v>
      </c>
      <c r="B8" s="137"/>
      <c r="C8" s="138"/>
      <c r="D8" s="140"/>
      <c r="E8" s="146"/>
      <c r="F8" s="144"/>
      <c r="G8" s="140"/>
      <c r="H8" s="134"/>
      <c r="I8" s="153">
        <f>C36</f>
        <v>0</v>
      </c>
      <c r="J8" s="139">
        <f t="shared" si="0"/>
        <v>0</v>
      </c>
      <c r="K8" s="139">
        <f t="shared" si="1"/>
        <v>0</v>
      </c>
      <c r="L8" s="1"/>
      <c r="N8" s="134" t="s">
        <v>79</v>
      </c>
      <c r="O8" s="137"/>
      <c r="P8" s="138"/>
      <c r="Q8" s="140"/>
      <c r="R8" s="146">
        <f>V8-O8</f>
        <v>0</v>
      </c>
      <c r="S8" s="144"/>
      <c r="T8" s="140"/>
      <c r="U8" s="134"/>
      <c r="V8" s="153">
        <f>+E36</f>
        <v>0</v>
      </c>
      <c r="W8" s="139">
        <f t="shared" si="2"/>
        <v>0</v>
      </c>
      <c r="X8" s="139">
        <f t="shared" si="3"/>
        <v>0</v>
      </c>
      <c r="Y8" s="1"/>
    </row>
    <row r="9" spans="1:25" x14ac:dyDescent="0.2">
      <c r="A9" s="134" t="s">
        <v>507</v>
      </c>
      <c r="B9" s="137"/>
      <c r="C9" s="138">
        <f>I9-G9-B9</f>
        <v>16683.489999999998</v>
      </c>
      <c r="D9" s="145"/>
      <c r="E9" s="140"/>
      <c r="F9" s="140"/>
      <c r="G9" s="140"/>
      <c r="H9" s="134"/>
      <c r="I9" s="137">
        <f>C32</f>
        <v>16683.489999999998</v>
      </c>
      <c r="J9" s="139">
        <f t="shared" si="0"/>
        <v>16683.489999999998</v>
      </c>
      <c r="K9" s="139">
        <f t="shared" si="1"/>
        <v>0</v>
      </c>
      <c r="L9" s="1"/>
      <c r="N9" s="134" t="s">
        <v>507</v>
      </c>
      <c r="O9" s="137"/>
      <c r="P9" s="138">
        <f>V9-U9-O9</f>
        <v>24476.7</v>
      </c>
      <c r="Q9" s="145"/>
      <c r="R9" s="140"/>
      <c r="S9" s="140"/>
      <c r="T9" s="140"/>
      <c r="U9" s="134"/>
      <c r="V9" s="137">
        <f>E32</f>
        <v>24476.7</v>
      </c>
      <c r="W9" s="139">
        <f t="shared" si="2"/>
        <v>24476.7</v>
      </c>
      <c r="X9" s="139">
        <f t="shared" si="3"/>
        <v>0</v>
      </c>
      <c r="Y9" s="1"/>
    </row>
    <row r="10" spans="1:25" x14ac:dyDescent="0.2">
      <c r="A10" s="152" t="s">
        <v>508</v>
      </c>
      <c r="B10" s="153"/>
      <c r="C10" s="238"/>
      <c r="D10" s="155"/>
      <c r="E10" s="156"/>
      <c r="F10" s="156"/>
      <c r="G10" s="156"/>
      <c r="H10" s="152"/>
      <c r="I10" s="153">
        <f>C34+C35</f>
        <v>190862.66</v>
      </c>
      <c r="J10" s="157">
        <f t="shared" si="0"/>
        <v>190862.66</v>
      </c>
      <c r="K10" s="157">
        <f t="shared" si="1"/>
        <v>190862.66</v>
      </c>
      <c r="N10" s="152" t="s">
        <v>508</v>
      </c>
      <c r="O10" s="153"/>
      <c r="P10" s="154">
        <f>W36</f>
        <v>0</v>
      </c>
      <c r="Q10" s="155"/>
      <c r="R10" s="156">
        <f>W30-W31</f>
        <v>0</v>
      </c>
      <c r="S10" s="156"/>
      <c r="T10" s="156"/>
      <c r="U10" s="152"/>
      <c r="V10" s="153">
        <f>E34+E35</f>
        <v>605645.04</v>
      </c>
      <c r="W10" s="157">
        <f t="shared" si="2"/>
        <v>605645.04</v>
      </c>
      <c r="X10" s="157">
        <f t="shared" si="3"/>
        <v>605645.04</v>
      </c>
    </row>
    <row r="11" spans="1:25" x14ac:dyDescent="0.2">
      <c r="A11" s="134" t="s">
        <v>509</v>
      </c>
      <c r="B11" s="137"/>
      <c r="C11" s="138">
        <f>I11-G11-B11</f>
        <v>0</v>
      </c>
      <c r="D11" s="140"/>
      <c r="E11" s="146"/>
      <c r="F11" s="143"/>
      <c r="G11" s="140"/>
      <c r="H11" s="134"/>
      <c r="I11" s="137">
        <v>0</v>
      </c>
      <c r="J11" s="139">
        <f>I11-B11</f>
        <v>0</v>
      </c>
      <c r="K11" s="157">
        <f>J11-C11-E11-F11-G11-H11-D11</f>
        <v>0</v>
      </c>
      <c r="L11" s="1"/>
      <c r="N11" s="134" t="s">
        <v>509</v>
      </c>
      <c r="O11" s="137"/>
      <c r="P11" s="138">
        <f>V11-U11-O11</f>
        <v>0</v>
      </c>
      <c r="Q11" s="140"/>
      <c r="R11" s="146"/>
      <c r="S11" s="143"/>
      <c r="T11" s="140"/>
      <c r="U11" s="134"/>
      <c r="V11" s="137">
        <v>0</v>
      </c>
      <c r="W11" s="139">
        <f>V11-O11</f>
        <v>0</v>
      </c>
      <c r="X11" s="139">
        <f>W11-P11-R11-S11-T11-U11-Q11</f>
        <v>0</v>
      </c>
      <c r="Y11" s="1"/>
    </row>
    <row r="12" spans="1:25" x14ac:dyDescent="0.2">
      <c r="A12" s="234" t="s">
        <v>83</v>
      </c>
      <c r="B12" s="137"/>
      <c r="C12" s="138"/>
      <c r="D12" s="140"/>
      <c r="E12" s="146"/>
      <c r="F12" s="143"/>
      <c r="G12" s="140"/>
      <c r="H12" s="134"/>
      <c r="I12" s="137">
        <f>C44</f>
        <v>-0.30999999959021807</v>
      </c>
      <c r="J12" s="139">
        <f>I12-B12</f>
        <v>-0.30999999959021807</v>
      </c>
      <c r="K12" s="157">
        <f>J12-C12-E12-F12-G12-H12-D12</f>
        <v>-0.30999999959021807</v>
      </c>
      <c r="L12" s="1"/>
      <c r="N12" s="234" t="s">
        <v>83</v>
      </c>
      <c r="O12" s="137"/>
      <c r="P12" s="138"/>
      <c r="Q12" s="140"/>
      <c r="R12" s="146">
        <f>V12-O12</f>
        <v>-16198517.642053131</v>
      </c>
      <c r="S12" s="143"/>
      <c r="T12" s="140"/>
      <c r="U12" s="134"/>
      <c r="V12" s="137">
        <f>E44</f>
        <v>-16198517.642053131</v>
      </c>
      <c r="W12" s="139">
        <f>V12-O12</f>
        <v>-16198517.642053131</v>
      </c>
      <c r="X12" s="139">
        <f>W12-P12-R12-S12-T12-U12-Q12</f>
        <v>0</v>
      </c>
      <c r="Y12" s="1"/>
    </row>
    <row r="13" spans="1:25" x14ac:dyDescent="0.2">
      <c r="A13" s="134" t="s">
        <v>510</v>
      </c>
      <c r="B13" s="137"/>
      <c r="C13" s="138">
        <f>I13-G13-B13</f>
        <v>-54667.22</v>
      </c>
      <c r="D13" s="140"/>
      <c r="E13" s="143"/>
      <c r="F13" s="140"/>
      <c r="G13" s="140"/>
      <c r="H13" s="134"/>
      <c r="I13" s="137">
        <f>C39</f>
        <v>-54667.22</v>
      </c>
      <c r="J13" s="139">
        <f t="shared" si="0"/>
        <v>-54667.22</v>
      </c>
      <c r="K13" s="157">
        <f t="shared" si="1"/>
        <v>0</v>
      </c>
      <c r="L13" s="1"/>
      <c r="N13" s="134" t="s">
        <v>510</v>
      </c>
      <c r="O13" s="137"/>
      <c r="P13" s="138">
        <f>V13-U13-O13</f>
        <v>21521.959999999908</v>
      </c>
      <c r="Q13" s="140"/>
      <c r="R13" s="143"/>
      <c r="S13" s="140"/>
      <c r="T13" s="140"/>
      <c r="U13" s="134"/>
      <c r="V13" s="137">
        <f>E39</f>
        <v>21521.959999999908</v>
      </c>
      <c r="W13" s="139">
        <f t="shared" ref="W13:W21" si="4">V13-O13</f>
        <v>21521.959999999908</v>
      </c>
      <c r="X13" s="139">
        <f t="shared" ref="X13:X21" si="5">W13-P13-R13-S13-T13-U13-Q13</f>
        <v>0</v>
      </c>
      <c r="Y13" s="1"/>
    </row>
    <row r="14" spans="1:25" x14ac:dyDescent="0.2">
      <c r="A14" s="134" t="s">
        <v>511</v>
      </c>
      <c r="B14" s="137"/>
      <c r="C14" s="138">
        <f>I14-G14-B14</f>
        <v>-30087.380000000005</v>
      </c>
      <c r="D14" s="140"/>
      <c r="E14" s="143"/>
      <c r="F14" s="140"/>
      <c r="G14" s="140"/>
      <c r="H14" s="134"/>
      <c r="I14" s="137">
        <f>C40</f>
        <v>-30087.380000000005</v>
      </c>
      <c r="J14" s="139">
        <f t="shared" si="0"/>
        <v>-30087.380000000005</v>
      </c>
      <c r="K14" s="157">
        <f t="shared" si="1"/>
        <v>0</v>
      </c>
      <c r="L14" s="1"/>
      <c r="N14" s="134" t="s">
        <v>511</v>
      </c>
      <c r="O14" s="137"/>
      <c r="P14" s="138">
        <f>V14-U14-O14</f>
        <v>-247344.38</v>
      </c>
      <c r="Q14" s="140"/>
      <c r="R14" s="143"/>
      <c r="S14" s="140"/>
      <c r="T14" s="140"/>
      <c r="U14" s="134"/>
      <c r="V14" s="137">
        <f>E40</f>
        <v>-247344.38</v>
      </c>
      <c r="W14" s="139">
        <f t="shared" si="4"/>
        <v>-247344.38</v>
      </c>
      <c r="X14" s="139">
        <f t="shared" si="5"/>
        <v>0</v>
      </c>
      <c r="Y14" s="1"/>
    </row>
    <row r="15" spans="1:25" x14ac:dyDescent="0.2">
      <c r="A15" s="134" t="s">
        <v>145</v>
      </c>
      <c r="B15" s="137"/>
      <c r="C15" s="138">
        <f>I15-G15-B15</f>
        <v>-242042.02999999994</v>
      </c>
      <c r="D15" s="140"/>
      <c r="E15" s="143"/>
      <c r="F15" s="140"/>
      <c r="G15" s="140"/>
      <c r="H15" s="134"/>
      <c r="I15" s="137">
        <f>C41+C42+C43</f>
        <v>-242042.02999999994</v>
      </c>
      <c r="J15" s="139">
        <f t="shared" si="0"/>
        <v>-242042.02999999994</v>
      </c>
      <c r="K15" s="157">
        <f t="shared" si="1"/>
        <v>0</v>
      </c>
      <c r="L15" s="1"/>
      <c r="N15" s="134" t="s">
        <v>145</v>
      </c>
      <c r="O15" s="137"/>
      <c r="P15" s="138">
        <f>V15-U15-O15</f>
        <v>-752869.06</v>
      </c>
      <c r="Q15" s="140"/>
      <c r="R15" s="143"/>
      <c r="S15" s="140"/>
      <c r="T15" s="140"/>
      <c r="U15" s="134"/>
      <c r="V15" s="137">
        <f>E41+E42+E43</f>
        <v>-752869.06</v>
      </c>
      <c r="W15" s="139">
        <f t="shared" si="4"/>
        <v>-752869.06</v>
      </c>
      <c r="X15" s="139">
        <f t="shared" si="5"/>
        <v>0</v>
      </c>
      <c r="Y15" s="1"/>
    </row>
    <row r="16" spans="1:25" x14ac:dyDescent="0.2">
      <c r="A16" s="134" t="s">
        <v>512</v>
      </c>
      <c r="B16" s="137"/>
      <c r="C16" s="138"/>
      <c r="D16" s="140"/>
      <c r="E16" s="143"/>
      <c r="F16" s="140"/>
      <c r="G16" s="140"/>
      <c r="H16" s="134"/>
      <c r="I16" s="137"/>
      <c r="J16" s="139">
        <f t="shared" si="0"/>
        <v>0</v>
      </c>
      <c r="K16" s="157">
        <f t="shared" si="1"/>
        <v>0</v>
      </c>
      <c r="L16" s="1"/>
      <c r="N16" s="134" t="s">
        <v>512</v>
      </c>
      <c r="O16" s="137"/>
      <c r="P16" s="138"/>
      <c r="Q16" s="140"/>
      <c r="R16" s="143"/>
      <c r="S16" s="140"/>
      <c r="T16" s="140"/>
      <c r="U16" s="134"/>
      <c r="V16" s="137"/>
      <c r="W16" s="139">
        <f t="shared" si="4"/>
        <v>0</v>
      </c>
      <c r="X16" s="139">
        <f t="shared" si="5"/>
        <v>0</v>
      </c>
      <c r="Y16" s="1"/>
    </row>
    <row r="17" spans="1:25" x14ac:dyDescent="0.2">
      <c r="A17" s="134" t="s">
        <v>372</v>
      </c>
      <c r="B17" s="137"/>
      <c r="C17" s="138"/>
      <c r="D17" s="140"/>
      <c r="E17" s="143"/>
      <c r="F17" s="140"/>
      <c r="G17" s="140"/>
      <c r="H17" s="134"/>
      <c r="I17" s="137"/>
      <c r="J17" s="139">
        <f t="shared" si="0"/>
        <v>0</v>
      </c>
      <c r="K17" s="157">
        <f t="shared" si="1"/>
        <v>0</v>
      </c>
      <c r="L17" s="1"/>
      <c r="N17" s="134" t="s">
        <v>372</v>
      </c>
      <c r="O17" s="137"/>
      <c r="P17" s="138"/>
      <c r="Q17" s="140"/>
      <c r="R17" s="143"/>
      <c r="S17" s="140"/>
      <c r="T17" s="140"/>
      <c r="U17" s="134"/>
      <c r="V17" s="137"/>
      <c r="W17" s="139">
        <f t="shared" si="4"/>
        <v>0</v>
      </c>
      <c r="X17" s="139">
        <f t="shared" si="5"/>
        <v>0</v>
      </c>
      <c r="Y17" s="1"/>
    </row>
    <row r="18" spans="1:25" x14ac:dyDescent="0.2">
      <c r="A18" s="134" t="s">
        <v>513</v>
      </c>
      <c r="B18" s="137"/>
      <c r="C18" s="138"/>
      <c r="D18" s="140"/>
      <c r="E18" s="143"/>
      <c r="F18" s="140"/>
      <c r="G18" s="140"/>
      <c r="H18" s="134"/>
      <c r="I18" s="137"/>
      <c r="J18" s="139">
        <f t="shared" si="0"/>
        <v>0</v>
      </c>
      <c r="K18" s="157">
        <f t="shared" si="1"/>
        <v>0</v>
      </c>
      <c r="L18" s="1"/>
      <c r="N18" s="134" t="s">
        <v>513</v>
      </c>
      <c r="O18" s="137"/>
      <c r="P18" s="138"/>
      <c r="Q18" s="140"/>
      <c r="R18" s="143"/>
      <c r="S18" s="140"/>
      <c r="T18" s="140"/>
      <c r="U18" s="134"/>
      <c r="V18" s="137"/>
      <c r="W18" s="139">
        <f t="shared" si="4"/>
        <v>0</v>
      </c>
      <c r="X18" s="139">
        <f t="shared" si="5"/>
        <v>0</v>
      </c>
      <c r="Y18" s="1"/>
    </row>
    <row r="19" spans="1:25" x14ac:dyDescent="0.2">
      <c r="A19" s="134" t="s">
        <v>514</v>
      </c>
      <c r="B19" s="137"/>
      <c r="C19" s="138" t="e">
        <f>I19-F19-B19</f>
        <v>#REF!</v>
      </c>
      <c r="D19" s="140"/>
      <c r="E19" s="146"/>
      <c r="F19" s="237"/>
      <c r="G19" s="140"/>
      <c r="H19" s="134"/>
      <c r="I19" s="137" t="e">
        <f>C48+C49+C50</f>
        <v>#REF!</v>
      </c>
      <c r="J19" s="139" t="e">
        <f t="shared" si="0"/>
        <v>#REF!</v>
      </c>
      <c r="K19" s="157" t="e">
        <f t="shared" si="1"/>
        <v>#REF!</v>
      </c>
      <c r="L19" s="1"/>
      <c r="N19" s="134" t="s">
        <v>514</v>
      </c>
      <c r="O19" s="137"/>
      <c r="P19" s="138" t="e">
        <f>V19-S19-O19</f>
        <v>#REF!</v>
      </c>
      <c r="Q19" s="140"/>
      <c r="R19" s="146"/>
      <c r="S19" s="237">
        <v>0</v>
      </c>
      <c r="T19" s="140"/>
      <c r="U19" s="134"/>
      <c r="V19" s="137" t="e">
        <f>E48+E49+E50</f>
        <v>#REF!</v>
      </c>
      <c r="W19" s="139" t="e">
        <f t="shared" si="4"/>
        <v>#REF!</v>
      </c>
      <c r="X19" s="139" t="e">
        <f t="shared" si="5"/>
        <v>#REF!</v>
      </c>
      <c r="Y19" s="1"/>
    </row>
    <row r="20" spans="1:25" ht="15" x14ac:dyDescent="0.25">
      <c r="A20" s="134" t="s">
        <v>515</v>
      </c>
      <c r="B20" s="137"/>
      <c r="C20" s="173">
        <f>I20-B20</f>
        <v>3950207.2080303794</v>
      </c>
      <c r="D20" s="147"/>
      <c r="E20" s="146"/>
      <c r="F20" s="140"/>
      <c r="G20" s="140"/>
      <c r="H20" s="134"/>
      <c r="I20" s="239">
        <f>C53+C52</f>
        <v>3950207.2080303794</v>
      </c>
      <c r="J20" s="139">
        <f t="shared" si="0"/>
        <v>3950207.2080303794</v>
      </c>
      <c r="K20" s="157">
        <f>I20-C20-D20--E20-F20-G20-H20-B20</f>
        <v>0</v>
      </c>
      <c r="L20" s="1"/>
      <c r="N20" s="134" t="s">
        <v>515</v>
      </c>
      <c r="O20" s="137"/>
      <c r="P20" s="147">
        <f>V20-O20</f>
        <v>13345315.11205313</v>
      </c>
      <c r="R20" s="146"/>
      <c r="S20" s="140"/>
      <c r="T20" s="140"/>
      <c r="U20" s="134"/>
      <c r="V20" s="239">
        <f>E53+E52</f>
        <v>13345315.11205313</v>
      </c>
      <c r="W20" s="139">
        <f t="shared" si="4"/>
        <v>13345315.11205313</v>
      </c>
      <c r="X20" s="235">
        <f>V20-P20-Q20--R20-S20-T20-U20-O20</f>
        <v>0</v>
      </c>
      <c r="Y20" s="1"/>
    </row>
    <row r="21" spans="1:25" x14ac:dyDescent="0.2">
      <c r="A21" s="134" t="s">
        <v>151</v>
      </c>
      <c r="B21" s="137"/>
      <c r="C21" s="138"/>
      <c r="D21" s="149"/>
      <c r="E21" s="1"/>
      <c r="F21" s="150">
        <f>I21-B21</f>
        <v>0</v>
      </c>
      <c r="G21" s="140"/>
      <c r="H21" s="134"/>
      <c r="I21" s="148"/>
      <c r="J21" s="139">
        <f t="shared" si="0"/>
        <v>0</v>
      </c>
      <c r="K21" s="157">
        <f t="shared" si="1"/>
        <v>0</v>
      </c>
      <c r="L21" s="1"/>
      <c r="N21" s="134" t="s">
        <v>151</v>
      </c>
      <c r="O21" s="137"/>
      <c r="P21" s="138"/>
      <c r="Q21" s="149"/>
      <c r="R21" s="1"/>
      <c r="S21" s="150">
        <f>V21-O21</f>
        <v>0</v>
      </c>
      <c r="T21" s="140"/>
      <c r="U21" s="134"/>
      <c r="V21" s="148"/>
      <c r="W21" s="139">
        <f t="shared" si="4"/>
        <v>0</v>
      </c>
      <c r="X21" s="139">
        <f t="shared" si="5"/>
        <v>0</v>
      </c>
      <c r="Y21" s="1"/>
    </row>
    <row r="22" spans="1:25" ht="15" x14ac:dyDescent="0.25">
      <c r="A22" s="134"/>
      <c r="B22" s="151">
        <f>SUM(B4:B21)</f>
        <v>0</v>
      </c>
      <c r="C22" s="151" t="e">
        <f t="shared" ref="C22:K22" si="6">SUM(C4:C21)</f>
        <v>#REF!</v>
      </c>
      <c r="D22" s="151">
        <f t="shared" si="6"/>
        <v>0</v>
      </c>
      <c r="E22" s="151">
        <f t="shared" si="6"/>
        <v>32165.01</v>
      </c>
      <c r="F22" s="151">
        <f>SUM(F4:F21)</f>
        <v>0</v>
      </c>
      <c r="G22" s="151">
        <f t="shared" si="6"/>
        <v>0</v>
      </c>
      <c r="H22" s="151">
        <f t="shared" si="6"/>
        <v>18219162.899999999</v>
      </c>
      <c r="I22" s="151" t="e">
        <f t="shared" si="6"/>
        <v>#REF!</v>
      </c>
      <c r="J22" s="151" t="e">
        <f t="shared" si="6"/>
        <v>#REF!</v>
      </c>
      <c r="K22" s="151" t="e">
        <f t="shared" si="6"/>
        <v>#REF!</v>
      </c>
      <c r="L22" s="1"/>
      <c r="N22" s="134"/>
      <c r="O22" s="151">
        <f t="shared" ref="O22:X22" si="7">SUM(O4:O21)</f>
        <v>0</v>
      </c>
      <c r="P22" s="236" t="e">
        <f t="shared" si="7"/>
        <v>#REF!</v>
      </c>
      <c r="Q22" s="236">
        <f t="shared" si="7"/>
        <v>0</v>
      </c>
      <c r="R22" s="236">
        <f t="shared" si="7"/>
        <v>-16098484.462053131</v>
      </c>
      <c r="S22" s="151">
        <f t="shared" si="7"/>
        <v>0</v>
      </c>
      <c r="T22" s="151">
        <f t="shared" si="7"/>
        <v>0</v>
      </c>
      <c r="U22" s="151">
        <f t="shared" si="7"/>
        <v>2968504.29</v>
      </c>
      <c r="V22" s="151" t="e">
        <f t="shared" si="7"/>
        <v>#REF!</v>
      </c>
      <c r="W22" s="151" t="e">
        <f t="shared" si="7"/>
        <v>#REF!</v>
      </c>
      <c r="X22" s="151" t="e">
        <f t="shared" si="7"/>
        <v>#REF!</v>
      </c>
      <c r="Y22" s="1"/>
    </row>
    <row r="24" spans="1:25" x14ac:dyDescent="0.2">
      <c r="C24">
        <v>3965.79</v>
      </c>
    </row>
    <row r="25" spans="1:25" ht="15" thickBot="1" x14ac:dyDescent="0.25"/>
    <row r="26" spans="1:25" ht="15.75" thickBot="1" x14ac:dyDescent="0.3">
      <c r="A26" s="1"/>
      <c r="B26" s="1"/>
      <c r="C26" s="449">
        <v>2020</v>
      </c>
      <c r="D26" s="450"/>
      <c r="E26" s="451"/>
      <c r="P26" s="212"/>
    </row>
    <row r="27" spans="1:25" ht="30.75" thickBot="1" x14ac:dyDescent="0.3">
      <c r="A27" s="1"/>
      <c r="B27" s="1"/>
      <c r="C27" s="22" t="s">
        <v>695</v>
      </c>
      <c r="D27" s="1"/>
      <c r="E27" s="22" t="s">
        <v>101</v>
      </c>
    </row>
    <row r="28" spans="1:25" ht="15.75" thickBot="1" x14ac:dyDescent="0.3">
      <c r="A28" s="1"/>
      <c r="B28" s="1"/>
      <c r="C28" s="23" t="s">
        <v>102</v>
      </c>
      <c r="D28" s="1"/>
      <c r="E28" s="23" t="s">
        <v>103</v>
      </c>
      <c r="K28" s="168" t="s">
        <v>139</v>
      </c>
      <c r="L28" s="166"/>
      <c r="W28" s="168" t="s">
        <v>139</v>
      </c>
      <c r="X28" s="166"/>
    </row>
    <row r="29" spans="1:25" x14ac:dyDescent="0.2">
      <c r="A29" s="15">
        <v>10</v>
      </c>
      <c r="B29" s="7" t="s">
        <v>72</v>
      </c>
      <c r="C29" s="158">
        <f>'2021'!E5</f>
        <v>18219162.899999999</v>
      </c>
      <c r="D29" s="1"/>
      <c r="E29" s="160">
        <f>'2021'!G5</f>
        <v>2968504.29</v>
      </c>
      <c r="K29" s="240">
        <v>13833.08</v>
      </c>
      <c r="L29" s="232" t="s">
        <v>518</v>
      </c>
      <c r="W29" s="240">
        <v>49025.65</v>
      </c>
      <c r="X29" s="232" t="s">
        <v>518</v>
      </c>
    </row>
    <row r="30" spans="1:25" x14ac:dyDescent="0.2">
      <c r="A30" s="20">
        <v>11</v>
      </c>
      <c r="B30" s="3" t="s">
        <v>73</v>
      </c>
      <c r="C30" s="159">
        <f>'2021'!E6</f>
        <v>32165.01</v>
      </c>
      <c r="D30" s="1"/>
      <c r="E30" s="161">
        <f>'2021'!G6</f>
        <v>100033.18</v>
      </c>
      <c r="K30" s="240"/>
      <c r="L30" s="170" t="s">
        <v>516</v>
      </c>
      <c r="W30" s="240"/>
      <c r="X30" s="170" t="s">
        <v>516</v>
      </c>
    </row>
    <row r="31" spans="1:25" x14ac:dyDescent="0.2">
      <c r="A31" s="20">
        <v>12</v>
      </c>
      <c r="B31" s="3" t="s">
        <v>74</v>
      </c>
      <c r="C31" s="159">
        <f>'2021'!E7</f>
        <v>0</v>
      </c>
      <c r="D31" s="1"/>
      <c r="E31" s="161">
        <f>'2021'!G7</f>
        <v>0</v>
      </c>
      <c r="K31" s="241"/>
      <c r="L31" s="170" t="s">
        <v>517</v>
      </c>
      <c r="W31" s="241"/>
      <c r="X31" s="170" t="s">
        <v>517</v>
      </c>
    </row>
    <row r="32" spans="1:25" ht="15" thickBot="1" x14ac:dyDescent="0.25">
      <c r="A32" s="20">
        <v>13</v>
      </c>
      <c r="B32" s="3" t="s">
        <v>75</v>
      </c>
      <c r="C32" s="159">
        <f>'2021'!E8</f>
        <v>16683.489999999998</v>
      </c>
      <c r="D32" s="1"/>
      <c r="E32" s="161">
        <f>'2021'!G8</f>
        <v>24476.7</v>
      </c>
      <c r="K32" s="242">
        <f>K29+K30-K31</f>
        <v>13833.08</v>
      </c>
      <c r="L32" s="233" t="s">
        <v>641</v>
      </c>
      <c r="W32" s="242">
        <f>W29+W30-W31</f>
        <v>49025.65</v>
      </c>
      <c r="X32" s="233" t="s">
        <v>641</v>
      </c>
    </row>
    <row r="33" spans="1:24" ht="15" thickBot="1" x14ac:dyDescent="0.25">
      <c r="A33" s="20">
        <v>14</v>
      </c>
      <c r="B33" s="3" t="s">
        <v>76</v>
      </c>
      <c r="C33" s="159">
        <f>'2021'!E9</f>
        <v>43827.319999999992</v>
      </c>
      <c r="D33" s="1"/>
      <c r="E33" s="161">
        <f>'2021'!G9</f>
        <v>133234.79999999999</v>
      </c>
      <c r="K33" s="35">
        <f>K32-C34</f>
        <v>-200369.92000000001</v>
      </c>
      <c r="W33" s="35">
        <f>W32-E34</f>
        <v>-635132.14</v>
      </c>
    </row>
    <row r="34" spans="1:24" ht="15" x14ac:dyDescent="0.25">
      <c r="A34" s="20">
        <v>27</v>
      </c>
      <c r="B34" s="3" t="s">
        <v>77</v>
      </c>
      <c r="C34" s="159">
        <f>'2021'!E10</f>
        <v>214203</v>
      </c>
      <c r="D34" s="1"/>
      <c r="E34" s="161">
        <f>'2021'!G10</f>
        <v>684157.79</v>
      </c>
      <c r="K34" s="168" t="s">
        <v>519</v>
      </c>
      <c r="L34" s="166"/>
      <c r="W34" s="168" t="s">
        <v>519</v>
      </c>
      <c r="X34" s="166"/>
    </row>
    <row r="35" spans="1:24" x14ac:dyDescent="0.2">
      <c r="A35" s="20">
        <v>28</v>
      </c>
      <c r="B35" s="3" t="s">
        <v>78</v>
      </c>
      <c r="C35" s="159">
        <f>'2021'!E11</f>
        <v>-23340.340000000004</v>
      </c>
      <c r="D35" s="1"/>
      <c r="E35" s="161">
        <f>'2021'!G11</f>
        <v>-78512.75</v>
      </c>
      <c r="K35" s="240">
        <v>-1859.92</v>
      </c>
      <c r="L35" s="169" t="str">
        <f>L29</f>
        <v>31.12.19</v>
      </c>
      <c r="W35" s="240">
        <v>-6639.15</v>
      </c>
      <c r="X35" s="169" t="str">
        <f>X29</f>
        <v>31.12.19</v>
      </c>
    </row>
    <row r="36" spans="1:24" x14ac:dyDescent="0.2">
      <c r="A36" s="9">
        <v>29</v>
      </c>
      <c r="B36" s="3" t="s">
        <v>79</v>
      </c>
      <c r="C36" s="159">
        <f>'2021'!E12</f>
        <v>0</v>
      </c>
      <c r="D36" s="1"/>
      <c r="E36" s="27">
        <f>'2021'!G12</f>
        <v>0</v>
      </c>
      <c r="K36" s="240"/>
      <c r="L36" s="170" t="s">
        <v>520</v>
      </c>
      <c r="W36" s="240"/>
      <c r="X36" s="170" t="s">
        <v>520</v>
      </c>
    </row>
    <row r="37" spans="1:24" ht="15.75" thickBot="1" x14ac:dyDescent="0.3">
      <c r="A37" s="11"/>
      <c r="B37" s="12"/>
      <c r="C37" s="24">
        <f>SUM(C29:C36)</f>
        <v>18502701.379999999</v>
      </c>
      <c r="D37" s="1"/>
      <c r="E37" s="25">
        <f>SUM(E29:E36)</f>
        <v>3831894.0100000002</v>
      </c>
      <c r="K37" s="241"/>
      <c r="L37" s="170" t="s">
        <v>517</v>
      </c>
      <c r="W37" s="241"/>
      <c r="X37" s="170" t="s">
        <v>517</v>
      </c>
    </row>
    <row r="38" spans="1:24" ht="15" thickBot="1" x14ac:dyDescent="0.25">
      <c r="A38" s="1"/>
      <c r="B38" s="1"/>
      <c r="C38" s="1"/>
      <c r="D38" s="1"/>
      <c r="E38" s="1"/>
      <c r="K38" s="242">
        <f>K35+K36-K37</f>
        <v>-1859.92</v>
      </c>
      <c r="L38" s="171" t="str">
        <f>L32</f>
        <v>31.12.20</v>
      </c>
      <c r="W38" s="242">
        <f>W35+W36-W37</f>
        <v>-6639.15</v>
      </c>
      <c r="X38" s="171" t="str">
        <f>X32</f>
        <v>31.12.20</v>
      </c>
    </row>
    <row r="39" spans="1:24" x14ac:dyDescent="0.2">
      <c r="A39" s="15">
        <v>31</v>
      </c>
      <c r="B39" s="16" t="s">
        <v>105</v>
      </c>
      <c r="C39" s="162">
        <f>'2021'!E15</f>
        <v>-54667.22</v>
      </c>
      <c r="D39" s="1"/>
      <c r="E39" s="164">
        <f>'2021'!G15</f>
        <v>21521.959999999908</v>
      </c>
      <c r="K39" s="35">
        <f>K38-C35</f>
        <v>21480.420000000006</v>
      </c>
      <c r="L39" s="172"/>
      <c r="W39" s="35">
        <f>W38-E35</f>
        <v>71873.600000000006</v>
      </c>
    </row>
    <row r="40" spans="1:24" x14ac:dyDescent="0.2">
      <c r="A40" s="18">
        <v>32</v>
      </c>
      <c r="B40" s="13" t="s">
        <v>106</v>
      </c>
      <c r="C40" s="163">
        <f>'2021'!E16</f>
        <v>-30087.380000000005</v>
      </c>
      <c r="D40" s="1"/>
      <c r="E40" s="165">
        <f>'2021'!G16</f>
        <v>-247344.38</v>
      </c>
    </row>
    <row r="41" spans="1:24" ht="15" thickBot="1" x14ac:dyDescent="0.25">
      <c r="A41" s="20">
        <v>33</v>
      </c>
      <c r="B41" s="13" t="s">
        <v>80</v>
      </c>
      <c r="C41" s="163">
        <f>'2021'!E17</f>
        <v>-142655.31999999995</v>
      </c>
      <c r="D41" s="1"/>
      <c r="E41" s="165">
        <f>'2021'!G17</f>
        <v>-443776.38</v>
      </c>
    </row>
    <row r="42" spans="1:24" ht="15" x14ac:dyDescent="0.25">
      <c r="A42" s="18">
        <v>34</v>
      </c>
      <c r="B42" s="13" t="s">
        <v>81</v>
      </c>
      <c r="C42" s="163">
        <f>'2021'!E18</f>
        <v>-99386.709999999992</v>
      </c>
      <c r="D42" s="1"/>
      <c r="E42" s="165">
        <f>'2021'!G18</f>
        <v>-309092.68</v>
      </c>
      <c r="K42" s="168" t="s">
        <v>89</v>
      </c>
      <c r="L42" s="166"/>
      <c r="W42" s="168" t="s">
        <v>89</v>
      </c>
      <c r="X42" s="166"/>
    </row>
    <row r="43" spans="1:24" x14ac:dyDescent="0.2">
      <c r="A43" s="20">
        <v>35</v>
      </c>
      <c r="B43" s="13" t="s">
        <v>82</v>
      </c>
      <c r="C43" s="163">
        <f>'2021'!E19</f>
        <v>0</v>
      </c>
      <c r="D43" s="1"/>
      <c r="E43" s="165">
        <f>'2021'!G19</f>
        <v>0</v>
      </c>
      <c r="K43" s="240">
        <v>-67755.670789571494</v>
      </c>
      <c r="L43" s="243" t="str">
        <f>L35</f>
        <v>31.12.19</v>
      </c>
      <c r="W43" s="240">
        <v>-240058.23531745156</v>
      </c>
      <c r="X43" s="243" t="str">
        <f>X35</f>
        <v>31.12.19</v>
      </c>
    </row>
    <row r="44" spans="1:24" x14ac:dyDescent="0.2">
      <c r="A44" s="18">
        <v>36</v>
      </c>
      <c r="B44" s="1" t="s">
        <v>83</v>
      </c>
      <c r="C44" s="163">
        <f>'2021'!E20</f>
        <v>-0.30999999959021807</v>
      </c>
      <c r="D44" s="1"/>
      <c r="E44" s="29">
        <f>'2021'!G20</f>
        <v>-16198517.642053131</v>
      </c>
      <c r="K44" s="240">
        <f>'AJE LTD'!D9</f>
        <v>-40267.021016136161</v>
      </c>
      <c r="L44" s="244" t="s">
        <v>532</v>
      </c>
      <c r="W44" s="240">
        <f>'AJE LTD'!C9</f>
        <v>-130034.29096740852</v>
      </c>
      <c r="X44" s="244" t="s">
        <v>532</v>
      </c>
    </row>
    <row r="45" spans="1:24" ht="15" thickBot="1" x14ac:dyDescent="0.25">
      <c r="A45" s="20">
        <v>37</v>
      </c>
      <c r="B45" s="13" t="s">
        <v>84</v>
      </c>
      <c r="C45" s="163">
        <f>'2021'!E21</f>
        <v>0</v>
      </c>
      <c r="D45" s="1"/>
      <c r="E45" s="29">
        <f>'2021'!G21</f>
        <v>0</v>
      </c>
      <c r="K45" s="242">
        <f>SUM(K43:K44)</f>
        <v>-108022.69180570765</v>
      </c>
      <c r="L45" s="245" t="str">
        <f>L38</f>
        <v>31.12.20</v>
      </c>
      <c r="W45" s="242">
        <f>SUM(W43:W44)</f>
        <v>-370092.5262848601</v>
      </c>
      <c r="X45" s="245" t="str">
        <f>X38</f>
        <v>31.12.20</v>
      </c>
    </row>
    <row r="46" spans="1:24" x14ac:dyDescent="0.2">
      <c r="A46" s="20">
        <v>40</v>
      </c>
      <c r="B46" s="13" t="s">
        <v>85</v>
      </c>
      <c r="C46" s="163">
        <f>'2021'!E24</f>
        <v>-10363.64</v>
      </c>
      <c r="D46" s="1"/>
      <c r="E46" s="29">
        <f>'2021'!G24</f>
        <v>0</v>
      </c>
      <c r="K46" s="35">
        <f>K45-C50</f>
        <v>-34289.26377532912</v>
      </c>
      <c r="L46" s="172"/>
      <c r="W46" s="35">
        <f>W45-E50</f>
        <v>-370092.5262848601</v>
      </c>
    </row>
    <row r="47" spans="1:24" x14ac:dyDescent="0.2">
      <c r="A47" s="18">
        <v>41</v>
      </c>
      <c r="B47" s="13" t="s">
        <v>86</v>
      </c>
      <c r="C47" s="163">
        <f>'2021'!E25</f>
        <v>-22214001.359999999</v>
      </c>
      <c r="D47" s="1"/>
      <c r="E47" s="29">
        <f>'2021'!G25</f>
        <v>0</v>
      </c>
    </row>
    <row r="48" spans="1:24" x14ac:dyDescent="0.2">
      <c r="A48" s="20">
        <v>44</v>
      </c>
      <c r="B48" s="13" t="s">
        <v>87</v>
      </c>
      <c r="C48" s="163">
        <f>'2021'!E26</f>
        <v>208091.78</v>
      </c>
      <c r="D48" s="1"/>
      <c r="E48" s="165">
        <f>'2021'!G26</f>
        <v>0</v>
      </c>
    </row>
    <row r="49" spans="1:5" x14ac:dyDescent="0.2">
      <c r="A49" s="18">
        <v>45</v>
      </c>
      <c r="B49" s="13" t="s">
        <v>88</v>
      </c>
      <c r="C49" s="163" t="e">
        <f>'2021'!#REF!</f>
        <v>#REF!</v>
      </c>
      <c r="D49" s="1"/>
      <c r="E49" s="165" t="e">
        <f>'2021'!#REF!</f>
        <v>#REF!</v>
      </c>
    </row>
    <row r="50" spans="1:5" x14ac:dyDescent="0.2">
      <c r="A50" s="20">
        <v>46</v>
      </c>
      <c r="B50" s="13" t="s">
        <v>89</v>
      </c>
      <c r="C50" s="163">
        <f>'2021'!E27</f>
        <v>-73733.428030378534</v>
      </c>
      <c r="D50" s="1"/>
      <c r="E50" s="165">
        <f>'2021'!G27</f>
        <v>0</v>
      </c>
    </row>
    <row r="51" spans="1:5" x14ac:dyDescent="0.2">
      <c r="A51" s="18">
        <v>47</v>
      </c>
      <c r="B51" s="13" t="s">
        <v>90</v>
      </c>
      <c r="C51" s="163">
        <f>'2021'!E28</f>
        <v>0</v>
      </c>
      <c r="D51" s="1"/>
      <c r="E51" s="165">
        <f>'2021'!G28</f>
        <v>0</v>
      </c>
    </row>
    <row r="52" spans="1:5" x14ac:dyDescent="0.2">
      <c r="A52" s="20">
        <v>48</v>
      </c>
      <c r="B52" s="14" t="s">
        <v>91</v>
      </c>
      <c r="C52" s="163">
        <f>'2021'!E29</f>
        <v>1248109.4800000004</v>
      </c>
      <c r="D52" s="1"/>
      <c r="E52" s="165">
        <f>'2021'!G29</f>
        <v>4501657.54</v>
      </c>
    </row>
    <row r="53" spans="1:5" x14ac:dyDescent="0.2">
      <c r="A53" s="20"/>
      <c r="B53" s="13" t="s">
        <v>92</v>
      </c>
      <c r="C53" s="163">
        <f>'2021'!E30</f>
        <v>2702097.7280303789</v>
      </c>
      <c r="D53" s="1"/>
      <c r="E53" s="165">
        <f>'2021'!G30</f>
        <v>8843657.5720531289</v>
      </c>
    </row>
    <row r="54" spans="1:5" ht="15.75" thickBot="1" x14ac:dyDescent="0.3">
      <c r="A54" s="11"/>
      <c r="B54" s="12"/>
      <c r="C54" s="26" t="e">
        <f>SUM(C39:C53)</f>
        <v>#REF!</v>
      </c>
      <c r="D54" s="1"/>
      <c r="E54" s="25" t="e">
        <f>SUM(E39:E53)</f>
        <v>#REF!</v>
      </c>
    </row>
    <row r="55" spans="1:5" x14ac:dyDescent="0.2">
      <c r="A55" s="1"/>
      <c r="B55" s="1"/>
      <c r="C55" s="4" t="e">
        <f>IF(ROUND(C54+C37,0)=0,"OK","CHECK")</f>
        <v>#REF!</v>
      </c>
      <c r="D55" s="1"/>
      <c r="E55" s="4" t="e">
        <f>IF(ROUND(E54+E37,0)=0,"OK","CHECK")</f>
        <v>#REF!</v>
      </c>
    </row>
    <row r="56" spans="1:5" x14ac:dyDescent="0.2">
      <c r="A56" s="1"/>
      <c r="B56" s="1"/>
      <c r="C56" s="5"/>
      <c r="D56" s="1"/>
      <c r="E56" s="1"/>
    </row>
    <row r="57" spans="1:5" ht="15" thickBot="1" x14ac:dyDescent="0.25">
      <c r="A57" s="1"/>
      <c r="B57" s="1"/>
      <c r="C57" s="5" t="e">
        <f>C37+C54</f>
        <v>#REF!</v>
      </c>
      <c r="D57" s="1"/>
      <c r="E57" s="1"/>
    </row>
    <row r="58" spans="1:5" x14ac:dyDescent="0.2">
      <c r="A58" s="6">
        <v>51</v>
      </c>
      <c r="B58" s="21" t="s">
        <v>93</v>
      </c>
      <c r="C58" s="8">
        <f>'2021'!E35</f>
        <v>0</v>
      </c>
      <c r="D58" s="1"/>
      <c r="E58" s="28">
        <f>'2021'!G35</f>
        <v>1279228.3310857213</v>
      </c>
    </row>
    <row r="59" spans="1:5" x14ac:dyDescent="0.2">
      <c r="A59" s="18">
        <v>52</v>
      </c>
      <c r="B59" s="1" t="s">
        <v>94</v>
      </c>
      <c r="C59" s="10">
        <f>'2021'!E36</f>
        <v>0</v>
      </c>
      <c r="D59" s="1"/>
      <c r="E59" s="29">
        <f>'2021'!G36</f>
        <v>0</v>
      </c>
    </row>
    <row r="60" spans="1:5" x14ac:dyDescent="0.2">
      <c r="A60" s="18">
        <v>53</v>
      </c>
      <c r="B60" s="1" t="s">
        <v>95</v>
      </c>
      <c r="C60" s="10">
        <f>'2021'!E37</f>
        <v>1649670.9873663043</v>
      </c>
      <c r="D60" s="1"/>
      <c r="E60" s="29">
        <f>'2021'!G37</f>
        <v>5316284.8032423789</v>
      </c>
    </row>
    <row r="61" spans="1:5" x14ac:dyDescent="0.2">
      <c r="A61" s="18">
        <v>54</v>
      </c>
      <c r="B61" s="1" t="s">
        <v>96</v>
      </c>
      <c r="C61" s="10">
        <f>'2021'!E38</f>
        <v>446350.15927426331</v>
      </c>
      <c r="D61" s="1"/>
      <c r="E61" s="29">
        <f>'2021'!G38</f>
        <v>761002.13878393522</v>
      </c>
    </row>
    <row r="62" spans="1:5" x14ac:dyDescent="0.2">
      <c r="A62" s="18">
        <v>55</v>
      </c>
      <c r="B62" s="1" t="s">
        <v>97</v>
      </c>
      <c r="C62" s="10">
        <f>'2021'!E39</f>
        <v>616681.83138981112</v>
      </c>
      <c r="D62" s="1"/>
      <c r="E62" s="29">
        <f>'2021'!G39</f>
        <v>1479453.9089410934</v>
      </c>
    </row>
    <row r="63" spans="1:5" x14ac:dyDescent="0.2">
      <c r="A63" s="18">
        <v>59</v>
      </c>
      <c r="B63" s="1" t="s">
        <v>98</v>
      </c>
      <c r="C63" s="10">
        <f>'2021'!E40</f>
        <v>0</v>
      </c>
      <c r="D63" s="1"/>
      <c r="E63" s="29">
        <f>'2021'!G40</f>
        <v>0</v>
      </c>
    </row>
    <row r="64" spans="1:5" x14ac:dyDescent="0.2">
      <c r="A64" s="18">
        <v>56</v>
      </c>
      <c r="B64" s="1" t="s">
        <v>99</v>
      </c>
      <c r="C64" s="10">
        <f>'2021'!E41</f>
        <v>-21684.35</v>
      </c>
      <c r="D64" s="1"/>
      <c r="E64" s="29">
        <f>'2021'!G41</f>
        <v>7688.3900000000367</v>
      </c>
    </row>
    <row r="65" spans="1:5" x14ac:dyDescent="0.2">
      <c r="A65" s="2">
        <v>58</v>
      </c>
      <c r="B65" s="1" t="s">
        <v>100</v>
      </c>
      <c r="C65" s="10">
        <f>'2021'!E42</f>
        <v>11079.099999999999</v>
      </c>
      <c r="D65" s="1"/>
      <c r="E65" s="29">
        <f>'2021'!G42</f>
        <v>0</v>
      </c>
    </row>
    <row r="66" spans="1:5" ht="15.75" thickBot="1" x14ac:dyDescent="0.3">
      <c r="A66" s="11"/>
      <c r="B66" s="12" t="s">
        <v>104</v>
      </c>
      <c r="C66" s="26">
        <f>SUM(C58:C65)</f>
        <v>2702097.7280303789</v>
      </c>
      <c r="D66" s="1"/>
      <c r="E66" s="25">
        <f>SUM(E58:E65)</f>
        <v>8843657.5720531289</v>
      </c>
    </row>
  </sheetData>
  <mergeCells count="3">
    <mergeCell ref="A2:L2"/>
    <mergeCell ref="C26:E26"/>
    <mergeCell ref="N2:Y2"/>
  </mergeCells>
  <conditionalFormatting sqref="W33">
    <cfRule type="cellIs" dxfId="11" priority="13" operator="greaterThan">
      <formula>0</formula>
    </cfRule>
    <cfRule type="cellIs" dxfId="10" priority="14" operator="lessThan">
      <formula>0</formula>
    </cfRule>
  </conditionalFormatting>
  <conditionalFormatting sqref="K39">
    <cfRule type="cellIs" dxfId="9" priority="3" operator="greaterThan">
      <formula>0</formula>
    </cfRule>
    <cfRule type="cellIs" dxfId="8" priority="4" operator="lessThan">
      <formula>0</formula>
    </cfRule>
  </conditionalFormatting>
  <conditionalFormatting sqref="K46">
    <cfRule type="cellIs" dxfId="7" priority="9" operator="greaterThan">
      <formula>0</formula>
    </cfRule>
    <cfRule type="cellIs" dxfId="6" priority="10" operator="lessThan">
      <formula>0</formula>
    </cfRule>
  </conditionalFormatting>
  <conditionalFormatting sqref="W39">
    <cfRule type="cellIs" dxfId="5" priority="7" operator="greaterThan">
      <formula>0</formula>
    </cfRule>
    <cfRule type="cellIs" dxfId="4" priority="8" operator="lessThan">
      <formula>0</formula>
    </cfRule>
  </conditionalFormatting>
  <conditionalFormatting sqref="W46">
    <cfRule type="cellIs" dxfId="3" priority="5" operator="greaterThan">
      <formula>0</formula>
    </cfRule>
    <cfRule type="cellIs" dxfId="2" priority="6" operator="lessThan">
      <formula>0</formula>
    </cfRule>
  </conditionalFormatting>
  <conditionalFormatting sqref="K33">
    <cfRule type="cellIs" dxfId="1" priority="1" operator="greaterThan">
      <formula>0</formula>
    </cfRule>
    <cfRule type="cellIs" dxfId="0" priority="2" operator="lessThan">
      <formula>0</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7D212-1095-428D-A277-F71BD36EB238}">
  <sheetPr codeName="Sheet9"/>
  <dimension ref="A1:S35"/>
  <sheetViews>
    <sheetView zoomScaleNormal="100" workbookViewId="0">
      <selection activeCell="K6" sqref="K6"/>
    </sheetView>
  </sheetViews>
  <sheetFormatPr defaultRowHeight="14.25" x14ac:dyDescent="0.2"/>
  <cols>
    <col min="1" max="1" width="34.5" bestFit="1" customWidth="1"/>
    <col min="2" max="2" width="7.25" bestFit="1" customWidth="1"/>
    <col min="3" max="3" width="7.75" bestFit="1" customWidth="1"/>
    <col min="4" max="4" width="27" customWidth="1"/>
    <col min="6" max="6" width="29.75" customWidth="1"/>
    <col min="7" max="7" width="17.5" customWidth="1"/>
    <col min="8" max="8" width="20.875" bestFit="1" customWidth="1"/>
    <col min="11" max="11" width="34.5" bestFit="1" customWidth="1"/>
    <col min="12" max="12" width="7.125" bestFit="1" customWidth="1"/>
    <col min="14" max="14" width="7.125" bestFit="1" customWidth="1"/>
    <col min="15" max="15" width="7.75" bestFit="1" customWidth="1"/>
    <col min="16" max="16" width="26.875" bestFit="1" customWidth="1"/>
    <col min="17" max="17" width="21.5" bestFit="1" customWidth="1"/>
    <col min="18" max="18" width="27.25" bestFit="1" customWidth="1"/>
  </cols>
  <sheetData>
    <row r="1" spans="1:19" ht="15" x14ac:dyDescent="0.25">
      <c r="A1" s="192"/>
      <c r="B1" s="477" t="s">
        <v>522</v>
      </c>
      <c r="C1" s="477"/>
      <c r="D1" s="477" t="s">
        <v>523</v>
      </c>
      <c r="E1" s="477"/>
      <c r="F1" s="193" t="s">
        <v>524</v>
      </c>
      <c r="G1" s="193" t="s">
        <v>91</v>
      </c>
      <c r="H1" s="193" t="s">
        <v>525</v>
      </c>
      <c r="I1" s="193" t="s">
        <v>693</v>
      </c>
      <c r="K1" s="192"/>
      <c r="L1" s="477" t="s">
        <v>522</v>
      </c>
      <c r="M1" s="477"/>
      <c r="N1" s="477" t="s">
        <v>523</v>
      </c>
      <c r="O1" s="477"/>
      <c r="P1" s="193" t="s">
        <v>524</v>
      </c>
      <c r="Q1" s="193" t="s">
        <v>91</v>
      </c>
      <c r="R1" s="193" t="s">
        <v>525</v>
      </c>
      <c r="S1" s="193" t="s">
        <v>693</v>
      </c>
    </row>
    <row r="2" spans="1:19" x14ac:dyDescent="0.2">
      <c r="A2" s="252" t="s">
        <v>111</v>
      </c>
      <c r="B2" s="194" t="s">
        <v>526</v>
      </c>
      <c r="C2" s="195" t="s">
        <v>527</v>
      </c>
      <c r="D2" s="194" t="s">
        <v>526</v>
      </c>
      <c r="E2" s="195" t="s">
        <v>527</v>
      </c>
      <c r="F2" s="196"/>
      <c r="G2" s="196"/>
      <c r="H2" s="197"/>
      <c r="K2" s="252" t="s">
        <v>694</v>
      </c>
      <c r="L2" s="194" t="s">
        <v>526</v>
      </c>
      <c r="M2" s="195" t="s">
        <v>527</v>
      </c>
      <c r="N2" s="194" t="s">
        <v>526</v>
      </c>
      <c r="O2" s="195" t="s">
        <v>527</v>
      </c>
      <c r="P2" s="196"/>
      <c r="Q2" s="196"/>
      <c r="R2" s="197"/>
    </row>
    <row r="3" spans="1:19" x14ac:dyDescent="0.2">
      <c r="A3" s="192"/>
      <c r="B3" s="198"/>
      <c r="C3" s="199"/>
      <c r="D3" s="198"/>
      <c r="E3" s="199"/>
      <c r="F3" s="199"/>
      <c r="G3" s="199"/>
      <c r="H3" s="200"/>
      <c r="K3" s="192"/>
      <c r="L3" s="198"/>
      <c r="M3" s="199"/>
      <c r="N3" s="198"/>
      <c r="O3" s="199"/>
      <c r="P3" s="199"/>
      <c r="Q3" s="199"/>
      <c r="R3" s="200"/>
    </row>
    <row r="4" spans="1:19" ht="13.5" customHeight="1" thickBot="1" x14ac:dyDescent="0.25">
      <c r="A4" s="205" t="s">
        <v>528</v>
      </c>
      <c r="B4" s="205">
        <v>0</v>
      </c>
      <c r="C4" s="207">
        <v>0</v>
      </c>
      <c r="D4" s="205">
        <v>0</v>
      </c>
      <c r="E4" s="207">
        <v>0</v>
      </c>
      <c r="F4" s="207">
        <v>0</v>
      </c>
      <c r="G4" s="207">
        <v>0</v>
      </c>
      <c r="H4" s="206">
        <v>0</v>
      </c>
      <c r="K4" s="205" t="s">
        <v>528</v>
      </c>
      <c r="L4" s="205">
        <v>0</v>
      </c>
      <c r="M4" s="207">
        <v>0</v>
      </c>
      <c r="N4" s="205">
        <v>0</v>
      </c>
      <c r="O4" s="207">
        <v>0</v>
      </c>
      <c r="P4" s="207">
        <v>0</v>
      </c>
      <c r="Q4" s="207">
        <v>0</v>
      </c>
      <c r="R4" s="206">
        <v>0</v>
      </c>
    </row>
    <row r="5" spans="1:19" ht="15" thickTop="1" x14ac:dyDescent="0.2">
      <c r="A5" s="192"/>
      <c r="B5" s="192"/>
      <c r="C5" s="192"/>
      <c r="D5" s="192"/>
      <c r="E5" s="198"/>
      <c r="F5" s="192"/>
      <c r="G5" s="192"/>
      <c r="H5" s="192"/>
      <c r="K5" s="192"/>
      <c r="L5" s="192"/>
      <c r="M5" s="192"/>
      <c r="N5" s="192"/>
      <c r="O5" s="198"/>
      <c r="P5" s="192"/>
      <c r="Q5" s="192"/>
      <c r="R5" s="192"/>
    </row>
    <row r="6" spans="1:19" ht="15" thickBot="1" x14ac:dyDescent="0.25">
      <c r="A6" s="201" t="s">
        <v>89</v>
      </c>
      <c r="B6" s="202"/>
      <c r="C6" s="203"/>
      <c r="D6" s="202"/>
      <c r="E6" s="203"/>
      <c r="F6" s="203">
        <v>240.05823531745156</v>
      </c>
      <c r="G6" s="203"/>
      <c r="H6" s="206">
        <v>240.05823531745156</v>
      </c>
      <c r="K6" s="201" t="s">
        <v>89</v>
      </c>
      <c r="L6" s="202"/>
      <c r="M6" s="203"/>
      <c r="N6" s="202"/>
      <c r="O6" s="203"/>
      <c r="P6" s="203">
        <v>67.755640789571402</v>
      </c>
      <c r="Q6" s="203"/>
      <c r="R6" s="206">
        <v>67.755640789571402</v>
      </c>
    </row>
    <row r="7" spans="1:19" ht="15" thickTop="1" x14ac:dyDescent="0.2">
      <c r="A7" s="192"/>
      <c r="B7" s="192"/>
      <c r="C7" s="196"/>
      <c r="D7" s="192"/>
      <c r="E7" s="196"/>
      <c r="F7" s="196"/>
      <c r="G7" s="196"/>
      <c r="H7" s="200"/>
      <c r="K7" s="192"/>
      <c r="L7" s="192"/>
      <c r="M7" s="196"/>
      <c r="N7" s="192"/>
      <c r="O7" s="196"/>
      <c r="P7" s="196"/>
      <c r="Q7" s="196"/>
      <c r="R7" s="192"/>
    </row>
    <row r="8" spans="1:19" ht="15" thickBot="1" x14ac:dyDescent="0.25">
      <c r="A8" s="201" t="s">
        <v>531</v>
      </c>
      <c r="B8" s="202"/>
      <c r="C8" s="203"/>
      <c r="D8" s="202"/>
      <c r="E8" s="203"/>
      <c r="F8" s="203">
        <v>16292.371370430001</v>
      </c>
      <c r="G8" s="203"/>
      <c r="H8" s="206">
        <v>16292.371370430001</v>
      </c>
      <c r="K8" s="201" t="s">
        <v>531</v>
      </c>
      <c r="L8" s="202"/>
      <c r="M8" s="203"/>
      <c r="N8" s="202"/>
      <c r="O8" s="203"/>
      <c r="P8" s="203">
        <v>4500</v>
      </c>
      <c r="Q8" s="203"/>
      <c r="R8" s="206">
        <v>4500</v>
      </c>
    </row>
    <row r="9" spans="1:19" ht="15" thickTop="1" x14ac:dyDescent="0.2">
      <c r="A9" s="192"/>
      <c r="B9" s="192"/>
      <c r="C9" s="196"/>
      <c r="D9" s="192"/>
      <c r="E9" s="196"/>
      <c r="F9" s="196"/>
      <c r="G9" s="196"/>
      <c r="H9" s="200"/>
      <c r="K9" s="192"/>
      <c r="L9" s="192"/>
      <c r="M9" s="196"/>
      <c r="N9" s="192"/>
      <c r="O9" s="196"/>
      <c r="P9" s="196"/>
      <c r="Q9" s="196"/>
      <c r="R9" s="200"/>
    </row>
    <row r="10" spans="1:19" ht="15" thickBot="1" x14ac:dyDescent="0.25">
      <c r="A10" s="201" t="s">
        <v>87</v>
      </c>
      <c r="B10" s="202"/>
      <c r="C10" s="203"/>
      <c r="D10" s="202"/>
      <c r="E10" s="203"/>
      <c r="F10" s="203">
        <v>-111.20962</v>
      </c>
      <c r="G10" s="203"/>
      <c r="H10" s="206">
        <v>-111.20962</v>
      </c>
      <c r="K10" s="201" t="s">
        <v>87</v>
      </c>
      <c r="L10" s="202"/>
      <c r="M10" s="203"/>
      <c r="N10" s="202"/>
      <c r="O10" s="203"/>
      <c r="P10" s="203">
        <v>-30.91621</v>
      </c>
      <c r="Q10" s="203"/>
      <c r="R10" s="206">
        <v>-30.91621</v>
      </c>
    </row>
    <row r="11" spans="1:19" ht="15" thickTop="1" x14ac:dyDescent="0.2">
      <c r="A11" s="192"/>
      <c r="B11" s="192"/>
      <c r="C11" s="196"/>
      <c r="D11" s="192"/>
      <c r="E11" s="196"/>
      <c r="F11" s="196"/>
      <c r="G11" s="196"/>
      <c r="H11" s="200"/>
      <c r="K11" s="192"/>
      <c r="L11" s="192"/>
      <c r="M11" s="196"/>
      <c r="N11" s="192"/>
      <c r="O11" s="196"/>
      <c r="P11" s="196"/>
      <c r="Q11" s="196"/>
      <c r="R11" s="200"/>
    </row>
    <row r="12" spans="1:19" ht="15" thickBot="1" x14ac:dyDescent="0.25">
      <c r="A12" s="201" t="s">
        <v>529</v>
      </c>
      <c r="B12" s="202"/>
      <c r="C12" s="203"/>
      <c r="D12" s="202"/>
      <c r="E12" s="203"/>
      <c r="F12" s="203"/>
      <c r="G12" s="203">
        <v>-3943.5945872770239</v>
      </c>
      <c r="H12" s="206">
        <v>-3943.5945872770239</v>
      </c>
      <c r="K12" s="201" t="s">
        <v>529</v>
      </c>
      <c r="L12" s="202"/>
      <c r="M12" s="203"/>
      <c r="N12" s="202"/>
      <c r="O12" s="203"/>
      <c r="P12" s="203"/>
      <c r="Q12" s="203">
        <v>-924.92142999999999</v>
      </c>
      <c r="R12" s="206">
        <v>-924.92142999999999</v>
      </c>
    </row>
    <row r="13" spans="1:19" ht="15" thickTop="1" x14ac:dyDescent="0.2">
      <c r="A13" s="192"/>
      <c r="B13" s="192"/>
      <c r="C13" s="204"/>
      <c r="D13" s="192"/>
      <c r="E13" s="204"/>
      <c r="F13" s="204"/>
      <c r="G13" s="196"/>
      <c r="H13" s="197"/>
      <c r="K13" s="192"/>
      <c r="L13" s="192"/>
      <c r="M13" s="204"/>
      <c r="N13" s="192"/>
      <c r="O13" s="204"/>
      <c r="P13" s="204"/>
      <c r="Q13" s="196"/>
      <c r="R13" s="200"/>
    </row>
    <row r="14" spans="1:19" ht="15" thickBot="1" x14ac:dyDescent="0.25">
      <c r="A14" s="205" t="s">
        <v>530</v>
      </c>
      <c r="B14" s="205">
        <v>0</v>
      </c>
      <c r="C14" s="207">
        <v>0</v>
      </c>
      <c r="D14" s="205">
        <v>0</v>
      </c>
      <c r="E14" s="207">
        <v>0</v>
      </c>
      <c r="F14" s="207">
        <v>16421.219985747452</v>
      </c>
      <c r="G14" s="207">
        <v>-3943.5945872770239</v>
      </c>
      <c r="H14" s="206">
        <v>12477.625398470427</v>
      </c>
      <c r="K14" s="205" t="s">
        <v>530</v>
      </c>
      <c r="L14" s="205">
        <v>0</v>
      </c>
      <c r="M14" s="207">
        <v>0</v>
      </c>
      <c r="N14" s="205">
        <v>0</v>
      </c>
      <c r="O14" s="207">
        <v>0</v>
      </c>
      <c r="P14" s="207">
        <f>SUM(P6:P13)</f>
        <v>4536.8394307895715</v>
      </c>
      <c r="Q14" s="207">
        <f>SUM(Q6:Q13)</f>
        <v>-924.92142999999999</v>
      </c>
      <c r="R14" s="206">
        <f>P14+Q14+M14+N14</f>
        <v>3611.9180007895716</v>
      </c>
    </row>
    <row r="15" spans="1:19" ht="15" thickTop="1" x14ac:dyDescent="0.2">
      <c r="R15" s="197"/>
    </row>
    <row r="16" spans="1:19" x14ac:dyDescent="0.2">
      <c r="H16" s="30">
        <v>-12477.625398470427</v>
      </c>
      <c r="R16" s="30">
        <v>3611.9180007895716</v>
      </c>
    </row>
    <row r="18" spans="1:19" x14ac:dyDescent="0.2">
      <c r="H18" s="224">
        <v>0</v>
      </c>
      <c r="R18" s="224">
        <v>0</v>
      </c>
    </row>
    <row r="19" spans="1:19" x14ac:dyDescent="0.2">
      <c r="A19" s="192"/>
      <c r="B19" s="192"/>
      <c r="C19" s="204"/>
      <c r="D19" s="192"/>
      <c r="E19" s="204"/>
      <c r="F19" s="204"/>
      <c r="G19" s="196"/>
      <c r="H19" s="197"/>
      <c r="K19" s="192"/>
      <c r="L19" s="192"/>
      <c r="M19" s="204"/>
      <c r="N19" s="192"/>
      <c r="O19" s="204"/>
      <c r="P19" s="204"/>
      <c r="Q19" s="196"/>
      <c r="R19" s="197"/>
    </row>
    <row r="20" spans="1:19" x14ac:dyDescent="0.2">
      <c r="A20" s="192"/>
      <c r="B20" s="192"/>
      <c r="C20" s="204"/>
      <c r="D20" s="192"/>
      <c r="E20" s="204"/>
      <c r="F20" s="204"/>
      <c r="G20" s="196"/>
      <c r="H20" s="197"/>
      <c r="K20" s="192"/>
      <c r="L20" s="192"/>
      <c r="M20" s="204"/>
      <c r="N20" s="192"/>
      <c r="O20" s="204"/>
      <c r="P20" s="204"/>
      <c r="Q20" s="196"/>
      <c r="R20" s="197"/>
    </row>
    <row r="21" spans="1:19" ht="15" thickBot="1" x14ac:dyDescent="0.25">
      <c r="A21" s="205" t="s">
        <v>530</v>
      </c>
      <c r="B21" s="205">
        <f>SUM(B4:B5)</f>
        <v>0</v>
      </c>
      <c r="C21" s="207">
        <f>SUM(C4:C5)</f>
        <v>0</v>
      </c>
      <c r="D21" s="205">
        <f>SUM(D4:D5)</f>
        <v>0</v>
      </c>
      <c r="E21" s="207">
        <f>SUM(E4:E5)</f>
        <v>0</v>
      </c>
      <c r="F21" s="207">
        <v>16421.219985747452</v>
      </c>
      <c r="G21" s="207">
        <v>-3943.5945872770239</v>
      </c>
      <c r="H21" s="206">
        <f>G21+F21+E21+C21</f>
        <v>12477.625398470427</v>
      </c>
      <c r="K21" s="205" t="s">
        <v>530</v>
      </c>
      <c r="L21" s="205">
        <f>SUM(L4:L5)</f>
        <v>0</v>
      </c>
      <c r="M21" s="207">
        <f>SUM(M4:M5)</f>
        <v>0</v>
      </c>
      <c r="N21" s="205">
        <f>SUM(N4:N5)</f>
        <v>0</v>
      </c>
      <c r="O21" s="207">
        <f>SUM(O4:O5)</f>
        <v>0</v>
      </c>
      <c r="P21" s="207">
        <v>4536.8394307895715</v>
      </c>
      <c r="Q21" s="207">
        <v>-924.92142999999999</v>
      </c>
      <c r="R21" s="206">
        <v>3611.9180007895716</v>
      </c>
    </row>
    <row r="22" spans="1:19" ht="15" thickTop="1" x14ac:dyDescent="0.2">
      <c r="A22" s="192"/>
      <c r="B22" s="192"/>
      <c r="C22" s="192"/>
      <c r="D22" s="192"/>
      <c r="E22" s="198"/>
      <c r="F22" s="192"/>
      <c r="G22" s="192"/>
      <c r="H22" s="192"/>
      <c r="K22" s="192"/>
      <c r="L22" s="192"/>
      <c r="M22" s="192"/>
      <c r="N22" s="192"/>
      <c r="O22" s="198"/>
      <c r="P22" s="192"/>
      <c r="Q22" s="192"/>
      <c r="R22" s="192"/>
    </row>
    <row r="23" spans="1:19" ht="15" thickBot="1" x14ac:dyDescent="0.25">
      <c r="A23" s="201" t="s">
        <v>89</v>
      </c>
      <c r="B23" s="202"/>
      <c r="C23" s="203"/>
      <c r="D23" s="202"/>
      <c r="E23" s="203"/>
      <c r="F23" s="246">
        <f>-'AJE LTD'!C9/1000</f>
        <v>130.03429096740854</v>
      </c>
      <c r="G23" s="203"/>
      <c r="H23" s="247">
        <f>H6+F23</f>
        <v>370.09252628486013</v>
      </c>
      <c r="I23" s="35">
        <f>H23+'2021'!G27/1000</f>
        <v>370.09252628486013</v>
      </c>
      <c r="K23" s="201" t="s">
        <v>89</v>
      </c>
      <c r="L23" s="202"/>
      <c r="M23" s="203"/>
      <c r="N23" s="202"/>
      <c r="O23" s="203"/>
      <c r="P23" s="246">
        <f>-'AJE LTD'!D9/1000</f>
        <v>40.267021016136162</v>
      </c>
      <c r="Q23" s="203"/>
      <c r="R23" s="247">
        <f>R6+P23</f>
        <v>108.02266180570757</v>
      </c>
      <c r="S23" s="35">
        <f>R23+'2021'!C27/1000</f>
        <v>108.02266180570757</v>
      </c>
    </row>
    <row r="24" spans="1:19" ht="15" thickTop="1" x14ac:dyDescent="0.2">
      <c r="A24" s="192"/>
      <c r="B24" s="192"/>
      <c r="C24" s="196"/>
      <c r="D24" s="192"/>
      <c r="E24" s="196"/>
      <c r="F24" s="196"/>
      <c r="G24" s="196"/>
      <c r="H24" s="200"/>
      <c r="K24" s="192"/>
      <c r="L24" s="192"/>
      <c r="M24" s="196"/>
      <c r="N24" s="192"/>
      <c r="O24" s="196"/>
      <c r="P24" s="196"/>
      <c r="Q24" s="196"/>
      <c r="R24" s="200"/>
    </row>
    <row r="25" spans="1:19" ht="15" thickBot="1" x14ac:dyDescent="0.25">
      <c r="A25" s="201" t="s">
        <v>531</v>
      </c>
      <c r="B25" s="202"/>
      <c r="C25" s="203"/>
      <c r="D25" s="202"/>
      <c r="E25" s="203"/>
      <c r="F25" s="246" t="e">
        <f>H25-H8</f>
        <v>#REF!</v>
      </c>
      <c r="G25" s="203"/>
      <c r="H25" s="247" t="e">
        <f>-'2021'!#REF!/1000</f>
        <v>#REF!</v>
      </c>
      <c r="K25" s="201" t="s">
        <v>531</v>
      </c>
      <c r="L25" s="202"/>
      <c r="M25" s="203"/>
      <c r="N25" s="202"/>
      <c r="O25" s="203"/>
      <c r="P25" s="246" t="e">
        <f>R25-R8</f>
        <v>#REF!</v>
      </c>
      <c r="Q25" s="203"/>
      <c r="R25" s="247" t="e">
        <f>-'2021'!#REF!/1000</f>
        <v>#REF!</v>
      </c>
    </row>
    <row r="26" spans="1:19" ht="15" thickTop="1" x14ac:dyDescent="0.2">
      <c r="A26" s="192"/>
      <c r="B26" s="192"/>
      <c r="C26" s="196"/>
      <c r="D26" s="192"/>
      <c r="E26" s="196"/>
      <c r="F26" s="196"/>
      <c r="G26" s="196"/>
      <c r="H26" s="200"/>
      <c r="K26" s="192"/>
      <c r="L26" s="192"/>
      <c r="M26" s="196"/>
      <c r="N26" s="192"/>
      <c r="O26" s="196"/>
      <c r="P26" s="196"/>
      <c r="Q26" s="196"/>
      <c r="R26" s="200"/>
    </row>
    <row r="27" spans="1:19" ht="15" thickBot="1" x14ac:dyDescent="0.25">
      <c r="A27" s="201" t="s">
        <v>87</v>
      </c>
      <c r="B27" s="202"/>
      <c r="C27" s="203"/>
      <c r="D27" s="202"/>
      <c r="E27" s="203"/>
      <c r="F27" s="246">
        <f>H27-H10</f>
        <v>111.20962</v>
      </c>
      <c r="G27" s="203"/>
      <c r="H27" s="247">
        <f>-'2021'!G26/1000</f>
        <v>0</v>
      </c>
      <c r="K27" s="201" t="s">
        <v>87</v>
      </c>
      <c r="L27" s="202"/>
      <c r="M27" s="203"/>
      <c r="N27" s="202"/>
      <c r="O27" s="203"/>
      <c r="P27" s="246">
        <f>R27-R10</f>
        <v>30.91621</v>
      </c>
      <c r="Q27" s="203"/>
      <c r="R27" s="247">
        <f>-'2021'!C26/1000</f>
        <v>0</v>
      </c>
    </row>
    <row r="28" spans="1:19" ht="15" thickTop="1" x14ac:dyDescent="0.2">
      <c r="A28" s="192"/>
      <c r="B28" s="192"/>
      <c r="C28" s="196"/>
      <c r="D28" s="192"/>
      <c r="E28" s="196"/>
      <c r="F28" s="196"/>
      <c r="G28" s="196"/>
      <c r="H28" s="200"/>
      <c r="K28" s="192"/>
      <c r="L28" s="192"/>
      <c r="M28" s="196"/>
      <c r="N28" s="192"/>
      <c r="O28" s="196"/>
      <c r="P28" s="196"/>
      <c r="Q28" s="196"/>
      <c r="R28" s="200"/>
    </row>
    <row r="29" spans="1:19" ht="15" thickBot="1" x14ac:dyDescent="0.25">
      <c r="A29" s="201" t="s">
        <v>643</v>
      </c>
      <c r="B29" s="202"/>
      <c r="C29" s="203"/>
      <c r="D29" s="202"/>
      <c r="E29" s="203"/>
      <c r="F29" s="203"/>
      <c r="G29" s="203">
        <f>-'2021'!G30/1000</f>
        <v>-8843.6575720531291</v>
      </c>
      <c r="H29" s="206">
        <f>G29+F29+E29+C29</f>
        <v>-8843.6575720531291</v>
      </c>
      <c r="K29" s="201" t="s">
        <v>643</v>
      </c>
      <c r="L29" s="202"/>
      <c r="M29" s="203"/>
      <c r="N29" s="202"/>
      <c r="O29" s="203"/>
      <c r="P29" s="203"/>
      <c r="Q29" s="203">
        <f>-'2021'!C30/1000</f>
        <v>-2724.3092577318034</v>
      </c>
      <c r="R29" s="206">
        <f>Q29+P29+O29+M29</f>
        <v>-2724.3092577318034</v>
      </c>
    </row>
    <row r="30" spans="1:19" ht="15" thickTop="1" x14ac:dyDescent="0.2">
      <c r="A30" s="192"/>
      <c r="B30" s="192"/>
      <c r="C30" s="204"/>
      <c r="D30" s="192"/>
      <c r="E30" s="204"/>
      <c r="F30" s="204"/>
      <c r="G30" s="196"/>
      <c r="H30" s="197"/>
      <c r="K30" s="192"/>
      <c r="L30" s="192"/>
      <c r="M30" s="204"/>
      <c r="N30" s="192"/>
      <c r="O30" s="204"/>
      <c r="P30" s="204"/>
      <c r="Q30" s="196"/>
      <c r="R30" s="197"/>
    </row>
    <row r="31" spans="1:19" ht="15" thickBot="1" x14ac:dyDescent="0.25">
      <c r="A31" s="205" t="s">
        <v>644</v>
      </c>
      <c r="B31" s="205">
        <f t="shared" ref="B31:G31" si="0">SUM(B21:B30)</f>
        <v>0</v>
      </c>
      <c r="C31" s="207">
        <f t="shared" si="0"/>
        <v>0</v>
      </c>
      <c r="D31" s="205">
        <f t="shared" si="0"/>
        <v>0</v>
      </c>
      <c r="E31" s="207">
        <f t="shared" si="0"/>
        <v>0</v>
      </c>
      <c r="F31" s="207" t="e">
        <f t="shared" si="0"/>
        <v>#REF!</v>
      </c>
      <c r="G31" s="207">
        <f t="shared" si="0"/>
        <v>-12787.252159330154</v>
      </c>
      <c r="H31" s="206" t="e">
        <f>F31+G31+C31+D31</f>
        <v>#REF!</v>
      </c>
      <c r="K31" s="205" t="s">
        <v>644</v>
      </c>
      <c r="L31" s="205">
        <f t="shared" ref="L31:Q31" si="1">SUM(L21:L30)</f>
        <v>0</v>
      </c>
      <c r="M31" s="207">
        <f t="shared" si="1"/>
        <v>0</v>
      </c>
      <c r="N31" s="205">
        <f t="shared" si="1"/>
        <v>0</v>
      </c>
      <c r="O31" s="207">
        <f t="shared" si="1"/>
        <v>0</v>
      </c>
      <c r="P31" s="207" t="e">
        <f t="shared" si="1"/>
        <v>#REF!</v>
      </c>
      <c r="Q31" s="207">
        <f t="shared" si="1"/>
        <v>-3649.2306877318033</v>
      </c>
      <c r="R31" s="206" t="e">
        <f>P31+Q31+M31+N31</f>
        <v>#REF!</v>
      </c>
    </row>
    <row r="32" spans="1:19" ht="15" thickTop="1" x14ac:dyDescent="0.2"/>
    <row r="33" spans="8:18" x14ac:dyDescent="0.2">
      <c r="H33" s="30">
        <f>SUM('2021'!G24:G30)/1000</f>
        <v>13345.315112053129</v>
      </c>
      <c r="R33" s="30">
        <f>SUM('2021'!C24:C30)/1000</f>
        <v>3973.8318977318036</v>
      </c>
    </row>
    <row r="35" spans="8:18" x14ac:dyDescent="0.2">
      <c r="H35" s="224" t="e">
        <f>H33+H31</f>
        <v>#REF!</v>
      </c>
      <c r="R35" s="224" t="e">
        <f>R33+R31</f>
        <v>#REF!</v>
      </c>
    </row>
  </sheetData>
  <mergeCells count="4">
    <mergeCell ref="B1:C1"/>
    <mergeCell ref="D1:E1"/>
    <mergeCell ref="L1:M1"/>
    <mergeCell ref="N1:O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87DB2-1703-487B-BFD1-17DEFD7C4BE0}">
  <dimension ref="A2:K28"/>
  <sheetViews>
    <sheetView showGridLines="0" workbookViewId="0">
      <selection activeCell="F4" sqref="F4"/>
    </sheetView>
  </sheetViews>
  <sheetFormatPr defaultColWidth="9" defaultRowHeight="15.75" x14ac:dyDescent="0.25"/>
  <cols>
    <col min="1" max="1" width="14.75" style="348" bestFit="1" customWidth="1"/>
    <col min="2" max="2" width="24.5" style="348" bestFit="1" customWidth="1"/>
    <col min="3" max="3" width="23.5" style="348" bestFit="1" customWidth="1"/>
    <col min="4" max="4" width="22.5" style="348" bestFit="1" customWidth="1"/>
    <col min="5" max="5" width="26.125" style="348" bestFit="1" customWidth="1"/>
    <col min="6" max="6" width="24.625" style="348" bestFit="1" customWidth="1"/>
    <col min="7" max="16384" width="9" style="348"/>
  </cols>
  <sheetData>
    <row r="2" spans="1:7" x14ac:dyDescent="0.25">
      <c r="A2" s="478" t="s">
        <v>1006</v>
      </c>
      <c r="B2" s="478"/>
      <c r="C2" s="478"/>
      <c r="D2" s="478"/>
      <c r="E2" s="478"/>
      <c r="F2" s="478"/>
    </row>
    <row r="3" spans="1:7" s="354" customFormat="1" x14ac:dyDescent="0.2">
      <c r="A3" s="355" t="s">
        <v>990</v>
      </c>
      <c r="B3" s="355" t="s">
        <v>988</v>
      </c>
      <c r="C3" s="355" t="s">
        <v>989</v>
      </c>
      <c r="D3" s="355" t="s">
        <v>991</v>
      </c>
      <c r="E3" s="355" t="s">
        <v>1003</v>
      </c>
      <c r="F3" s="355" t="s">
        <v>88</v>
      </c>
      <c r="G3" s="353"/>
    </row>
    <row r="4" spans="1:7" x14ac:dyDescent="0.25">
      <c r="A4" s="356">
        <v>44405</v>
      </c>
      <c r="B4" s="357" t="s">
        <v>992</v>
      </c>
      <c r="C4" s="358">
        <v>581818</v>
      </c>
      <c r="D4" s="359">
        <f>C4*0.01</f>
        <v>5818.18</v>
      </c>
      <c r="E4" s="360">
        <v>7999997.5</v>
      </c>
      <c r="F4" s="359">
        <f>E4-D4</f>
        <v>7994179.3200000003</v>
      </c>
    </row>
    <row r="5" spans="1:7" x14ac:dyDescent="0.25">
      <c r="A5" s="356">
        <v>44405</v>
      </c>
      <c r="B5" s="357" t="s">
        <v>993</v>
      </c>
      <c r="C5" s="358">
        <v>218181</v>
      </c>
      <c r="D5" s="359">
        <f t="shared" ref="D5:D10" si="0">C5*0.01</f>
        <v>2181.81</v>
      </c>
      <c r="E5" s="360">
        <v>3000000</v>
      </c>
      <c r="F5" s="359">
        <f>E5-D5</f>
        <v>2997818.19</v>
      </c>
    </row>
    <row r="6" spans="1:7" x14ac:dyDescent="0.25">
      <c r="A6" s="356">
        <v>44406</v>
      </c>
      <c r="B6" s="357" t="s">
        <v>994</v>
      </c>
      <c r="C6" s="358">
        <v>218181</v>
      </c>
      <c r="D6" s="359">
        <f t="shared" si="0"/>
        <v>2181.81</v>
      </c>
      <c r="E6" s="360">
        <v>3000000</v>
      </c>
      <c r="F6" s="359">
        <f t="shared" ref="F6:F10" si="1">E6-D6</f>
        <v>2997818.19</v>
      </c>
    </row>
    <row r="7" spans="1:7" x14ac:dyDescent="0.25">
      <c r="A7" s="356">
        <v>44440</v>
      </c>
      <c r="B7" s="357" t="s">
        <v>995</v>
      </c>
      <c r="C7" s="358">
        <v>15273</v>
      </c>
      <c r="D7" s="359">
        <f t="shared" si="0"/>
        <v>152.72999999999999</v>
      </c>
      <c r="E7" s="360">
        <v>210000</v>
      </c>
      <c r="F7" s="359">
        <f t="shared" si="1"/>
        <v>209847.27</v>
      </c>
    </row>
    <row r="8" spans="1:7" x14ac:dyDescent="0.25">
      <c r="A8" s="356">
        <v>44447</v>
      </c>
      <c r="B8" s="357" t="s">
        <v>996</v>
      </c>
      <c r="C8" s="358">
        <v>728</v>
      </c>
      <c r="D8" s="359">
        <f t="shared" si="0"/>
        <v>7.28</v>
      </c>
      <c r="E8" s="360">
        <v>10000</v>
      </c>
      <c r="F8" s="359">
        <f t="shared" si="1"/>
        <v>9992.7199999999993</v>
      </c>
    </row>
    <row r="9" spans="1:7" x14ac:dyDescent="0.25">
      <c r="A9" s="356">
        <v>44481</v>
      </c>
      <c r="B9" s="357" t="s">
        <v>997</v>
      </c>
      <c r="C9" s="358">
        <v>1455</v>
      </c>
      <c r="D9" s="359">
        <f t="shared" si="0"/>
        <v>14.55</v>
      </c>
      <c r="E9" s="360">
        <v>20000</v>
      </c>
      <c r="F9" s="359">
        <f t="shared" si="1"/>
        <v>19985.45</v>
      </c>
    </row>
    <row r="10" spans="1:7" x14ac:dyDescent="0.25">
      <c r="A10" s="356">
        <v>44452</v>
      </c>
      <c r="B10" s="357" t="s">
        <v>998</v>
      </c>
      <c r="C10" s="358">
        <v>728</v>
      </c>
      <c r="D10" s="359">
        <f t="shared" si="0"/>
        <v>7.28</v>
      </c>
      <c r="E10" s="360">
        <v>10000</v>
      </c>
      <c r="F10" s="359">
        <f t="shared" si="1"/>
        <v>9992.7199999999993</v>
      </c>
    </row>
    <row r="11" spans="1:7" x14ac:dyDescent="0.25">
      <c r="A11" s="362"/>
      <c r="C11" s="363">
        <f>SUM(C4:C10)</f>
        <v>1036364</v>
      </c>
      <c r="D11" s="364">
        <f t="shared" ref="D11" si="2">SUM(D4:D10)</f>
        <v>10363.64</v>
      </c>
      <c r="E11" s="364">
        <f>SUM(E4:E10)</f>
        <v>14249997.5</v>
      </c>
      <c r="F11" s="364">
        <f>SUM(F4:F10)</f>
        <v>14239633.859999999</v>
      </c>
    </row>
    <row r="14" spans="1:7" x14ac:dyDescent="0.25">
      <c r="A14" s="478" t="s">
        <v>1007</v>
      </c>
      <c r="B14" s="478"/>
      <c r="C14" s="478"/>
      <c r="D14" s="478"/>
      <c r="E14" s="478"/>
      <c r="F14" s="478"/>
    </row>
    <row r="15" spans="1:7" s="354" customFormat="1" x14ac:dyDescent="0.2">
      <c r="A15" s="355" t="s">
        <v>999</v>
      </c>
      <c r="B15" s="355" t="s">
        <v>1000</v>
      </c>
      <c r="C15" s="355" t="s">
        <v>1001</v>
      </c>
      <c r="D15" s="355" t="s">
        <v>991</v>
      </c>
      <c r="E15" s="355" t="s">
        <v>1002</v>
      </c>
      <c r="F15" s="355" t="s">
        <v>88</v>
      </c>
      <c r="G15" s="353"/>
    </row>
    <row r="16" spans="1:7" x14ac:dyDescent="0.25">
      <c r="A16" s="356">
        <v>44551</v>
      </c>
      <c r="B16" s="357" t="s">
        <v>995</v>
      </c>
      <c r="C16" s="358">
        <v>8000</v>
      </c>
      <c r="D16" s="359">
        <f>C16*0.01</f>
        <v>80</v>
      </c>
      <c r="E16" s="360">
        <v>8000</v>
      </c>
      <c r="F16" s="359">
        <f>E16-D16</f>
        <v>7920</v>
      </c>
    </row>
    <row r="17" spans="1:11" x14ac:dyDescent="0.25">
      <c r="A17" s="356">
        <v>44559</v>
      </c>
      <c r="B17" s="357" t="s">
        <v>1004</v>
      </c>
      <c r="C17" s="358">
        <v>2500</v>
      </c>
      <c r="D17" s="359">
        <f>C17*0.01</f>
        <v>25</v>
      </c>
      <c r="E17" s="360">
        <v>2472.5</v>
      </c>
      <c r="F17" s="359">
        <f>E17-D17</f>
        <v>2447.5</v>
      </c>
    </row>
    <row r="18" spans="1:11" x14ac:dyDescent="0.25">
      <c r="C18" s="363">
        <f>SUM(C16:C17)</f>
        <v>10500</v>
      </c>
      <c r="D18" s="364">
        <f t="shared" ref="D18:F18" si="3">SUM(D16:D17)</f>
        <v>105</v>
      </c>
      <c r="E18" s="364">
        <f t="shared" si="3"/>
        <v>10472.5</v>
      </c>
      <c r="F18" s="364">
        <f t="shared" si="3"/>
        <v>10367.5</v>
      </c>
    </row>
    <row r="21" spans="1:11" x14ac:dyDescent="0.25">
      <c r="I21" s="354"/>
      <c r="J21" s="350"/>
      <c r="K21" s="354"/>
    </row>
    <row r="22" spans="1:11" x14ac:dyDescent="0.25">
      <c r="J22" s="350"/>
    </row>
    <row r="23" spans="1:11" x14ac:dyDescent="0.25">
      <c r="A23" s="478" t="s">
        <v>1008</v>
      </c>
      <c r="B23" s="478"/>
      <c r="C23" s="478"/>
      <c r="I23" s="350"/>
    </row>
    <row r="24" spans="1:11" s="354" customFormat="1" x14ac:dyDescent="0.25">
      <c r="A24" s="361">
        <v>44196</v>
      </c>
      <c r="B24" s="355" t="s">
        <v>1005</v>
      </c>
      <c r="C24" s="361">
        <v>44561</v>
      </c>
      <c r="I24" s="350"/>
      <c r="J24" s="348"/>
      <c r="K24" s="348"/>
    </row>
    <row r="25" spans="1:11" x14ac:dyDescent="0.25">
      <c r="A25" s="359">
        <v>85128</v>
      </c>
      <c r="B25" s="359">
        <f>C25-A25</f>
        <v>122963.78</v>
      </c>
      <c r="C25" s="359">
        <f>'TB INC'!F20</f>
        <v>208091.78</v>
      </c>
    </row>
    <row r="28" spans="1:11" x14ac:dyDescent="0.25">
      <c r="A28" s="350"/>
    </row>
  </sheetData>
  <mergeCells count="3">
    <mergeCell ref="A2:F2"/>
    <mergeCell ref="A14:F14"/>
    <mergeCell ref="A23:C2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B8F4-1EF0-4D21-B312-E846E30EB8E7}">
  <dimension ref="A2:C20"/>
  <sheetViews>
    <sheetView workbookViewId="0">
      <selection activeCell="C20" sqref="C20"/>
    </sheetView>
  </sheetViews>
  <sheetFormatPr defaultRowHeight="14.25" x14ac:dyDescent="0.2"/>
  <cols>
    <col min="1" max="1" width="18.5" bestFit="1" customWidth="1"/>
    <col min="3" max="3" width="9.875" bestFit="1" customWidth="1"/>
  </cols>
  <sheetData>
    <row r="2" spans="1:3" x14ac:dyDescent="0.2">
      <c r="A2" s="397" t="s">
        <v>1024</v>
      </c>
      <c r="C2" s="398">
        <v>44522</v>
      </c>
    </row>
    <row r="3" spans="1:3" ht="15" thickBot="1" x14ac:dyDescent="0.25">
      <c r="A3" s="399"/>
    </row>
    <row r="4" spans="1:3" x14ac:dyDescent="0.2">
      <c r="A4" s="404" t="s">
        <v>1012</v>
      </c>
      <c r="B4" s="266"/>
      <c r="C4" s="405">
        <v>4.25</v>
      </c>
    </row>
    <row r="5" spans="1:3" x14ac:dyDescent="0.2">
      <c r="A5" s="406" t="s">
        <v>1013</v>
      </c>
      <c r="C5" s="407">
        <v>1.26</v>
      </c>
    </row>
    <row r="6" spans="1:3" x14ac:dyDescent="0.2">
      <c r="A6" s="408" t="s">
        <v>1014</v>
      </c>
      <c r="C6" s="409">
        <v>1.6299999999999999E-2</v>
      </c>
    </row>
    <row r="7" spans="1:3" x14ac:dyDescent="0.2">
      <c r="A7" s="408" t="s">
        <v>1015</v>
      </c>
      <c r="C7" s="410">
        <v>10</v>
      </c>
    </row>
    <row r="8" spans="1:3" x14ac:dyDescent="0.2">
      <c r="A8" s="406" t="s">
        <v>1016</v>
      </c>
      <c r="C8" s="411">
        <v>0.8</v>
      </c>
    </row>
    <row r="9" spans="1:3" x14ac:dyDescent="0.2">
      <c r="A9" s="408"/>
      <c r="C9" s="412"/>
    </row>
    <row r="10" spans="1:3" ht="15" x14ac:dyDescent="0.25">
      <c r="A10" s="413" t="s">
        <v>1017</v>
      </c>
      <c r="C10" s="414">
        <f t="shared" ref="C10" si="0">(LN(C4/C5)+(C6+0.5*C8^2)*C7)/(C8*SQRT(C7))</f>
        <v>1.8099324893442206</v>
      </c>
    </row>
    <row r="11" spans="1:3" ht="15" x14ac:dyDescent="0.25">
      <c r="A11" s="413" t="s">
        <v>1018</v>
      </c>
      <c r="C11" s="414">
        <f t="shared" ref="C11" si="1">C10-SQRT(C7)*C8</f>
        <v>-0.7198896387904834</v>
      </c>
    </row>
    <row r="12" spans="1:3" x14ac:dyDescent="0.2">
      <c r="A12" s="408"/>
      <c r="C12" s="412"/>
    </row>
    <row r="13" spans="1:3" ht="15" x14ac:dyDescent="0.25">
      <c r="A13" s="413" t="s">
        <v>1019</v>
      </c>
      <c r="C13" s="415">
        <f t="shared" ref="C13:C14" si="2">NORMSDIST(C10)</f>
        <v>0.96484687146219494</v>
      </c>
    </row>
    <row r="14" spans="1:3" ht="15.75" thickBot="1" x14ac:dyDescent="0.3">
      <c r="A14" s="416" t="s">
        <v>1020</v>
      </c>
      <c r="B14" s="268"/>
      <c r="C14" s="417">
        <f t="shared" si="2"/>
        <v>0.23579647396649603</v>
      </c>
    </row>
    <row r="15" spans="1:3" ht="15" thickBot="1" x14ac:dyDescent="0.25">
      <c r="A15" s="400"/>
    </row>
    <row r="16" spans="1:3" ht="16.5" thickBot="1" x14ac:dyDescent="0.3">
      <c r="A16" s="401" t="s">
        <v>1021</v>
      </c>
      <c r="C16" s="402">
        <f>C13*C4-C5*EXP(-C6*C7)*C14</f>
        <v>3.8481826394724603</v>
      </c>
    </row>
    <row r="17" spans="1:3" ht="15" thickBot="1" x14ac:dyDescent="0.25"/>
    <row r="18" spans="1:3" ht="15.75" thickBot="1" x14ac:dyDescent="0.3">
      <c r="A18" s="403" t="s">
        <v>1022</v>
      </c>
      <c r="B18" s="31"/>
      <c r="C18" s="418">
        <v>2509</v>
      </c>
    </row>
    <row r="19" spans="1:3" ht="15" thickBot="1" x14ac:dyDescent="0.25"/>
    <row r="20" spans="1:3" ht="15.75" thickBot="1" x14ac:dyDescent="0.3">
      <c r="A20" s="403" t="s">
        <v>1023</v>
      </c>
      <c r="B20" s="31"/>
      <c r="C20" s="418">
        <f>C16*C18</f>
        <v>9655.0902424364031</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A333F-9D12-4B6A-8932-3E9FCA3B720D}">
  <dimension ref="A1:E8"/>
  <sheetViews>
    <sheetView workbookViewId="0">
      <selection activeCell="C2" sqref="C2"/>
    </sheetView>
  </sheetViews>
  <sheetFormatPr defaultRowHeight="14.25" x14ac:dyDescent="0.2"/>
  <cols>
    <col min="1" max="1" width="29.875" bestFit="1" customWidth="1"/>
    <col min="3" max="3" width="11.5" customWidth="1"/>
  </cols>
  <sheetData>
    <row r="1" spans="1:5" ht="15" thickBot="1" x14ac:dyDescent="0.25"/>
    <row r="2" spans="1:5" ht="15" x14ac:dyDescent="0.25">
      <c r="A2" s="422" t="s">
        <v>1025</v>
      </c>
      <c r="B2" s="423"/>
      <c r="C2" s="424">
        <f>SUM('TB INC'!F24:F60)-'TB INC'!F53-'TB INC'!F54-'TB INC'!F55-'TB INC'!F56-'TB INC'!F57-'TB INC'!D51-'TB INC'!D52</f>
        <v>367277.19701424183</v>
      </c>
      <c r="E2" s="432"/>
    </row>
    <row r="3" spans="1:5" ht="15" x14ac:dyDescent="0.25">
      <c r="A3" s="425" t="s">
        <v>1026</v>
      </c>
      <c r="B3" s="426"/>
      <c r="C3" s="427">
        <v>0.1</v>
      </c>
    </row>
    <row r="4" spans="1:5" ht="15.75" thickBot="1" x14ac:dyDescent="0.3">
      <c r="A4" s="428" t="s">
        <v>1027</v>
      </c>
      <c r="B4" s="429"/>
      <c r="C4" s="433">
        <f>C2*1.1</f>
        <v>404004.91671566607</v>
      </c>
    </row>
    <row r="5" spans="1:5" ht="15" x14ac:dyDescent="0.25">
      <c r="A5" s="430" t="s">
        <v>1029</v>
      </c>
      <c r="C5" s="431">
        <f>-'TB INC'!D23</f>
        <v>392958.09</v>
      </c>
    </row>
    <row r="7" spans="1:5" ht="15.75" thickBot="1" x14ac:dyDescent="0.3">
      <c r="A7" s="430" t="s">
        <v>1005</v>
      </c>
      <c r="C7" s="434">
        <f>C4-C5</f>
        <v>11046.826715666044</v>
      </c>
    </row>
    <row r="8" spans="1:5" ht="15" thickTop="1"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d06723a-5385-47dc-a9aa-5283738f3a92">
      <Terms xmlns="http://schemas.microsoft.com/office/infopath/2007/PartnerControls"/>
    </lcf76f155ced4ddcb4097134ff3c332f>
    <TaxCatchAll xmlns="f3551168-7625-438d-b1c6-775724c69ca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מסמך" ma:contentTypeID="0x010100A54CBC73139CE340A8A775820E65AFC9" ma:contentTypeVersion="15" ma:contentTypeDescription="צור מסמך חדש." ma:contentTypeScope="" ma:versionID="4764247f29f18189f1bc3f1481f0bb8e">
  <xsd:schema xmlns:xsd="http://www.w3.org/2001/XMLSchema" xmlns:xs="http://www.w3.org/2001/XMLSchema" xmlns:p="http://schemas.microsoft.com/office/2006/metadata/properties" xmlns:ns2="7d06723a-5385-47dc-a9aa-5283738f3a92" xmlns:ns3="f3551168-7625-438d-b1c6-775724c69cae" targetNamespace="http://schemas.microsoft.com/office/2006/metadata/properties" ma:root="true" ma:fieldsID="63787ef9448bad35c60ab66e9256866a" ns2:_="" ns3:_="">
    <xsd:import namespace="7d06723a-5385-47dc-a9aa-5283738f3a92"/>
    <xsd:import namespace="f3551168-7625-438d-b1c6-775724c69ca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06723a-5385-47dc-a9aa-5283738f3a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תגיות תמונה"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3551168-7625-438d-b1c6-775724c69ca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d2fbabb-d07a-43f5-9864-c00c40247140}" ma:internalName="TaxCatchAll" ma:showField="CatchAllData" ma:web="f3551168-7625-438d-b1c6-775724c69ca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משותף עם"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משותף עם פרטים"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99561D-3989-4B1A-9F85-C409B0FB1351}">
  <ds:schemaRefs>
    <ds:schemaRef ds:uri="http://schemas.openxmlformats.org/package/2006/metadata/core-properties"/>
    <ds:schemaRef ds:uri="http://purl.org/dc/terms/"/>
    <ds:schemaRef ds:uri="f3551168-7625-438d-b1c6-775724c69cae"/>
    <ds:schemaRef ds:uri="http://schemas.microsoft.com/office/2006/documentManagement/types"/>
    <ds:schemaRef ds:uri="http://schemas.microsoft.com/office/2006/metadata/properties"/>
    <ds:schemaRef ds:uri="http://purl.org/dc/elements/1.1/"/>
    <ds:schemaRef ds:uri="http://schemas.microsoft.com/office/infopath/2007/PartnerControls"/>
    <ds:schemaRef ds:uri="7d06723a-5385-47dc-a9aa-5283738f3a92"/>
    <ds:schemaRef ds:uri="http://www.w3.org/XML/1998/namespace"/>
    <ds:schemaRef ds:uri="http://purl.org/dc/dcmitype/"/>
  </ds:schemaRefs>
</ds:datastoreItem>
</file>

<file path=customXml/itemProps2.xml><?xml version="1.0" encoding="utf-8"?>
<ds:datastoreItem xmlns:ds="http://schemas.openxmlformats.org/officeDocument/2006/customXml" ds:itemID="{4BAAEEEC-AE23-4A49-80D9-8C192D472B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06723a-5385-47dc-a9aa-5283738f3a92"/>
    <ds:schemaRef ds:uri="f3551168-7625-438d-b1c6-775724c69c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EBE6B8-37B9-4120-B93C-E7D697B0FB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14</vt:i4>
      </vt:variant>
      <vt:variant>
        <vt:lpstr>טווחים בעלי שם</vt:lpstr>
      </vt:variant>
      <vt:variant>
        <vt:i4>21</vt:i4>
      </vt:variant>
    </vt:vector>
  </HeadingPairs>
  <TitlesOfParts>
    <vt:vector size="35" baseType="lpstr">
      <vt:lpstr>2021</vt:lpstr>
      <vt:lpstr>TB LTD 2021</vt:lpstr>
      <vt:lpstr>AJE LTD</vt:lpstr>
      <vt:lpstr>TB INC</vt:lpstr>
      <vt:lpstr>AJE INC</vt:lpstr>
      <vt:lpstr>Equity </vt:lpstr>
      <vt:lpstr>CF </vt:lpstr>
      <vt:lpstr>Allocation - G&amp;A</vt:lpstr>
      <vt:lpstr>FS</vt:lpstr>
      <vt:lpstr>CF</vt:lpstr>
      <vt:lpstr>Equity</vt:lpstr>
      <vt:lpstr>Investment 2021</vt:lpstr>
      <vt:lpstr>Warrants</vt:lpstr>
      <vt:lpstr>TP 2021</vt:lpstr>
      <vt:lpstr>FS!_Toc26607186</vt:lpstr>
      <vt:lpstr>FS!_Toc26607187</vt:lpstr>
      <vt:lpstr>FS!_Toc26607193</vt:lpstr>
      <vt:lpstr>FS!_Toc26607196</vt:lpstr>
      <vt:lpstr>FS!_Toc26607197</vt:lpstr>
      <vt:lpstr>FS!_Toc26607205</vt:lpstr>
      <vt:lpstr>FS!_Toc26607206</vt:lpstr>
      <vt:lpstr>FS!_Toc26607242</vt:lpstr>
      <vt:lpstr>FS!_Toc26607715</vt:lpstr>
      <vt:lpstr>FS!_Toc26607716</vt:lpstr>
      <vt:lpstr>FS!_Toc26607722</vt:lpstr>
      <vt:lpstr>FS!_Toc26607725</vt:lpstr>
      <vt:lpstr>FS!_Toc26607734</vt:lpstr>
      <vt:lpstr>FS!_Toc26607735</vt:lpstr>
      <vt:lpstr>FS!_Toc26607771</vt:lpstr>
      <vt:lpstr>FS!_Toc29796629</vt:lpstr>
      <vt:lpstr>FS!_Toc532800353</vt:lpstr>
      <vt:lpstr>FS!_Toc532800357</vt:lpstr>
      <vt:lpstr>FS!_Toc532800360</vt:lpstr>
      <vt:lpstr>FS!_Toc535127680</vt:lpstr>
      <vt:lpstr>FS!_Toc60984435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Dvori Davidian</dc:creator>
  <cp:lastModifiedBy>Asaf Damari</cp:lastModifiedBy>
  <dcterms:created xsi:type="dcterms:W3CDTF">2020-03-25T08:04:53Z</dcterms:created>
  <dcterms:modified xsi:type="dcterms:W3CDTF">2024-03-11T11:32:43Z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0x010100A54CBC73139CE340A8A775820E65AFC9</vt:lpwstr>
  </property>
  <property fmtid="{D5CDD505-2E9C-101B-9397-08002B2CF9AE}" pid="3" name="Order">
    <vt:r8>24600</vt:r8>
  </property>
  <property fmtid="{D5CDD505-2E9C-101B-9397-08002B2CF9AE}" pid="4" name="MediaServiceImageTags">
    <vt:lpwstr/>
  </property>
</Properties>
</file>